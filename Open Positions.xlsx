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88810A78-6E79-4FCB-8BA9-5F96CDB7221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ositions" sheetId="1" r:id="rId1"/>
    <sheet name="Sheet2" sheetId="3" r:id="rId2"/>
    <sheet name="Sheet1" sheetId="4" r:id="rId3"/>
  </sheets>
  <definedNames>
    <definedName name="_xlnm._FilterDatabase" localSheetId="0" hidden="1">Positions!$A$1:$X$47</definedName>
    <definedName name="_xlnm._FilterDatabase" localSheetId="2" hidden="1">Sheet1!$R$5:$U$42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2" i="4" l="1"/>
  <c r="AG31" i="4"/>
  <c r="AG30" i="4"/>
  <c r="AG29" i="4"/>
  <c r="AG28" i="4"/>
  <c r="AG27" i="4"/>
  <c r="AG26" i="4"/>
  <c r="AG25" i="4"/>
  <c r="AG24" i="4"/>
  <c r="AG23" i="4"/>
  <c r="E34" i="4"/>
  <c r="E33" i="4"/>
  <c r="E32" i="4"/>
  <c r="E31" i="4"/>
  <c r="E30" i="4"/>
  <c r="E29" i="4"/>
  <c r="E28" i="4"/>
  <c r="E27" i="4"/>
  <c r="E26" i="4"/>
  <c r="E25" i="4"/>
  <c r="E24" i="4"/>
  <c r="BG14" i="3"/>
  <c r="BG13" i="3"/>
  <c r="BG12" i="3"/>
  <c r="BG11" i="3"/>
  <c r="BG10" i="3"/>
  <c r="BG9" i="3"/>
  <c r="BG8" i="3"/>
  <c r="BG7" i="3"/>
  <c r="BG6" i="3"/>
  <c r="BG5" i="3"/>
  <c r="BG4" i="3"/>
  <c r="BR14" i="3"/>
  <c r="BR13" i="3"/>
  <c r="BR12" i="3"/>
  <c r="BR11" i="3"/>
  <c r="BR10" i="3"/>
  <c r="BR9" i="3"/>
  <c r="BR8" i="3"/>
  <c r="BR7" i="3"/>
  <c r="BR6" i="3"/>
  <c r="BR5" i="3"/>
  <c r="BR4" i="3"/>
  <c r="AO15" i="4"/>
  <c r="AO14" i="4"/>
  <c r="AO13" i="4"/>
  <c r="AO12" i="4"/>
  <c r="AO11" i="4"/>
  <c r="AO10" i="4"/>
  <c r="AO9" i="4"/>
  <c r="AO8" i="4"/>
  <c r="AO7" i="4"/>
  <c r="AA7" i="4"/>
  <c r="O45" i="1" a="1"/>
  <c r="O27" i="1" a="1"/>
  <c r="O35" i="1" a="1"/>
  <c r="O17" i="1" a="1"/>
  <c r="O37" i="1" a="1"/>
  <c r="O8" i="1" a="1"/>
  <c r="O34" i="1" a="1"/>
  <c r="O36" i="1" a="1"/>
  <c r="O32" i="1" a="1"/>
  <c r="O16" i="1" a="1"/>
  <c r="O9" i="1" a="1"/>
  <c r="O22" i="1" a="1"/>
  <c r="O18" i="1" a="1"/>
  <c r="O28" i="1" a="1"/>
  <c r="O23" i="1" a="1"/>
  <c r="O26" i="1" a="1"/>
  <c r="O15" i="1" a="1"/>
  <c r="O10" i="1" a="1"/>
  <c r="O40" i="1" a="1"/>
  <c r="O25" i="1" a="1"/>
  <c r="O4" i="1" a="1"/>
  <c r="O21" i="1" a="1"/>
  <c r="O29" i="1" a="1"/>
  <c r="O39" i="1" a="1"/>
  <c r="O11" i="1" a="1"/>
  <c r="O31" i="1" a="1"/>
  <c r="O30" i="1" a="1"/>
  <c r="O33" i="1" a="1"/>
  <c r="O20" i="1" a="1"/>
  <c r="O19" i="1" a="1"/>
  <c r="O36" i="1" l="1"/>
  <c r="O20" i="1"/>
  <c r="O40" i="1"/>
  <c r="O25" i="1"/>
  <c r="O45" i="1"/>
  <c r="O11" i="1"/>
  <c r="O35" i="1"/>
  <c r="O18" i="1"/>
  <c r="O16" i="1"/>
  <c r="O32" i="1"/>
  <c r="O15" i="1"/>
  <c r="O33" i="1"/>
  <c r="O30" i="1"/>
  <c r="O31" i="1"/>
  <c r="O17" i="1"/>
  <c r="O21" i="1"/>
  <c r="O34" i="1"/>
  <c r="O28" i="1"/>
  <c r="O9" i="1"/>
  <c r="O37" i="1"/>
  <c r="O27" i="1"/>
  <c r="O19" i="1"/>
  <c r="O29" i="1"/>
  <c r="O4" i="1"/>
  <c r="O10" i="1"/>
  <c r="O22" i="1"/>
  <c r="O23" i="1"/>
  <c r="O8" i="1"/>
  <c r="O39" i="1"/>
  <c r="O26" i="1"/>
  <c r="AI8" i="4"/>
  <c r="AJ8" i="4" s="1"/>
  <c r="AI9" i="4"/>
  <c r="AJ9" i="4" s="1"/>
  <c r="AI10" i="4"/>
  <c r="AJ10" i="4" s="1"/>
  <c r="AI11" i="4"/>
  <c r="AJ11" i="4" s="1"/>
  <c r="AI12" i="4"/>
  <c r="AJ12" i="4" s="1"/>
  <c r="AI13" i="4"/>
  <c r="AJ13" i="4" s="1"/>
  <c r="AI14" i="4"/>
  <c r="AJ14" i="4" s="1"/>
  <c r="AI15" i="4"/>
  <c r="AJ15" i="4" s="1"/>
  <c r="AI16" i="4"/>
  <c r="AJ16" i="4" s="1"/>
  <c r="AI7" i="4"/>
  <c r="AJ7" i="4" s="1"/>
  <c r="AG16" i="4"/>
  <c r="AG15" i="4"/>
  <c r="AG14" i="4"/>
  <c r="AG13" i="4"/>
  <c r="AG12" i="4"/>
  <c r="AG11" i="4"/>
  <c r="AG10" i="4"/>
  <c r="AG9" i="4"/>
  <c r="AG8" i="4"/>
  <c r="AG7" i="4"/>
  <c r="AA16" i="4"/>
  <c r="AA15" i="4"/>
  <c r="AA14" i="4"/>
  <c r="AA13" i="4"/>
  <c r="AA12" i="4"/>
  <c r="AA11" i="4"/>
  <c r="AA10" i="4"/>
  <c r="AA9" i="4"/>
  <c r="AA8" i="4"/>
  <c r="BQ14" i="3" l="1"/>
  <c r="BQ13" i="3"/>
  <c r="BQ12" i="3"/>
  <c r="BQ11" i="3"/>
  <c r="BQ10" i="3"/>
  <c r="BQ9" i="3"/>
  <c r="BQ8" i="3"/>
  <c r="BQ7" i="3"/>
  <c r="BQ6" i="3"/>
  <c r="BQ5" i="3"/>
  <c r="BQ4" i="3"/>
  <c r="BF14" i="3" l="1"/>
  <c r="BF13" i="3"/>
  <c r="BF12" i="3"/>
  <c r="BF11" i="3"/>
  <c r="BF10" i="3"/>
  <c r="BF9" i="3"/>
  <c r="BF8" i="3"/>
  <c r="BF7" i="3"/>
  <c r="BF6" i="3"/>
  <c r="BF5" i="3"/>
  <c r="BF4" i="3"/>
  <c r="AN14" i="3" l="1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AG14" i="3"/>
  <c r="R40" i="1"/>
  <c r="T40" i="1" s="1"/>
  <c r="M40" i="1"/>
  <c r="N40" i="1" s="1"/>
  <c r="J40" i="1"/>
  <c r="G40" i="1"/>
  <c r="L40" i="1" s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P40" i="1" l="1"/>
  <c r="Q40" i="1" s="1"/>
  <c r="P24" i="1"/>
  <c r="P41" i="1"/>
  <c r="S40" i="1"/>
  <c r="U40" i="1" s="1"/>
  <c r="R24" i="1" l="1"/>
  <c r="T24" i="1" s="1"/>
  <c r="M24" i="1"/>
  <c r="J24" i="1"/>
  <c r="G24" i="1"/>
  <c r="R3" i="1"/>
  <c r="T3" i="1" s="1"/>
  <c r="M3" i="1"/>
  <c r="S3" i="1" s="1"/>
  <c r="J3" i="1"/>
  <c r="G3" i="1"/>
  <c r="R12" i="1"/>
  <c r="T12" i="1" s="1"/>
  <c r="M12" i="1"/>
  <c r="S12" i="1" s="1"/>
  <c r="J12" i="1"/>
  <c r="G12" i="1"/>
  <c r="R14" i="1"/>
  <c r="T14" i="1" s="1"/>
  <c r="M14" i="1"/>
  <c r="S14" i="1" s="1"/>
  <c r="J14" i="1"/>
  <c r="G14" i="1"/>
  <c r="L14" i="1" s="1"/>
  <c r="U3" i="1" l="1"/>
  <c r="L12" i="1"/>
  <c r="P12" i="1"/>
  <c r="Q12" i="1" s="1"/>
  <c r="Q24" i="1"/>
  <c r="L24" i="1"/>
  <c r="L3" i="1"/>
  <c r="P3" i="1"/>
  <c r="Q3" i="1" s="1"/>
  <c r="S24" i="1"/>
  <c r="U24" i="1" s="1"/>
  <c r="N24" i="1"/>
  <c r="P14" i="1"/>
  <c r="Q14" i="1" s="1"/>
  <c r="U14" i="1"/>
  <c r="U12" i="1"/>
  <c r="N3" i="1"/>
  <c r="N12" i="1"/>
  <c r="N14" i="1"/>
  <c r="P13" i="3"/>
  <c r="Z13" i="3" l="1"/>
  <c r="N8" i="1"/>
  <c r="N27" i="1"/>
  <c r="R2" i="1"/>
  <c r="T2" i="1" s="1"/>
  <c r="M2" i="1"/>
  <c r="S2" i="1" s="1"/>
  <c r="J2" i="1"/>
  <c r="G2" i="1"/>
  <c r="H8" i="1"/>
  <c r="R8" i="1" s="1"/>
  <c r="T8" i="1" s="1"/>
  <c r="R18" i="1"/>
  <c r="T18" i="1" s="1"/>
  <c r="M18" i="1"/>
  <c r="S18" i="1" s="1"/>
  <c r="J18" i="1"/>
  <c r="G18" i="1"/>
  <c r="R41" i="1"/>
  <c r="T41" i="1" s="1"/>
  <c r="M41" i="1"/>
  <c r="S41" i="1" s="1"/>
  <c r="J41" i="1"/>
  <c r="G41" i="1"/>
  <c r="R39" i="1"/>
  <c r="T39" i="1" s="1"/>
  <c r="M39" i="1"/>
  <c r="S39" i="1" s="1"/>
  <c r="J39" i="1"/>
  <c r="G39" i="1"/>
  <c r="S8" i="1"/>
  <c r="G8" i="1"/>
  <c r="R20" i="1"/>
  <c r="T20" i="1" s="1"/>
  <c r="M20" i="1"/>
  <c r="S20" i="1" s="1"/>
  <c r="J20" i="1"/>
  <c r="G20" i="1"/>
  <c r="R43" i="1"/>
  <c r="T43" i="1" s="1"/>
  <c r="M43" i="1"/>
  <c r="S43" i="1" s="1"/>
  <c r="J43" i="1"/>
  <c r="G43" i="1"/>
  <c r="R34" i="1"/>
  <c r="T34" i="1" s="1"/>
  <c r="M34" i="1"/>
  <c r="S34" i="1" s="1"/>
  <c r="J34" i="1"/>
  <c r="G34" i="1"/>
  <c r="M35" i="1"/>
  <c r="S35" i="1" s="1"/>
  <c r="M44" i="1"/>
  <c r="S44" i="1" s="1"/>
  <c r="J44" i="1"/>
  <c r="G44" i="1"/>
  <c r="R33" i="1"/>
  <c r="T33" i="1" s="1"/>
  <c r="G33" i="1"/>
  <c r="H29" i="1"/>
  <c r="M29" i="1" s="1"/>
  <c r="S29" i="1" s="1"/>
  <c r="M7" i="1"/>
  <c r="S7" i="1" s="1"/>
  <c r="R25" i="1"/>
  <c r="T25" i="1" s="1"/>
  <c r="H6" i="1"/>
  <c r="M6" i="1" s="1"/>
  <c r="S6" i="1" s="1"/>
  <c r="H28" i="1"/>
  <c r="J28" i="1" s="1"/>
  <c r="R23" i="1"/>
  <c r="T23" i="1" s="1"/>
  <c r="H5" i="1"/>
  <c r="J5" i="1" s="1"/>
  <c r="H45" i="1"/>
  <c r="M45" i="1" s="1"/>
  <c r="S45" i="1" s="1"/>
  <c r="R32" i="1"/>
  <c r="T32" i="1" s="1"/>
  <c r="J17" i="1"/>
  <c r="H11" i="1"/>
  <c r="R11" i="1" s="1"/>
  <c r="T11" i="1" s="1"/>
  <c r="M19" i="1"/>
  <c r="S19" i="1" s="1"/>
  <c r="M36" i="1"/>
  <c r="S36" i="1" s="1"/>
  <c r="R26" i="1"/>
  <c r="T26" i="1" s="1"/>
  <c r="R15" i="1"/>
  <c r="T15" i="1" s="1"/>
  <c r="M15" i="1"/>
  <c r="S15" i="1" s="1"/>
  <c r="J15" i="1"/>
  <c r="G15" i="1"/>
  <c r="D15" i="1"/>
  <c r="R22" i="1"/>
  <c r="T22" i="1" s="1"/>
  <c r="M22" i="1"/>
  <c r="S22" i="1" s="1"/>
  <c r="J22" i="1"/>
  <c r="G22" i="1"/>
  <c r="J27" i="1"/>
  <c r="R27" i="1"/>
  <c r="T27" i="1" s="1"/>
  <c r="S27" i="1"/>
  <c r="G27" i="1"/>
  <c r="R31" i="1"/>
  <c r="T31" i="1" s="1"/>
  <c r="M31" i="1"/>
  <c r="S31" i="1" s="1"/>
  <c r="J31" i="1"/>
  <c r="G31" i="1"/>
  <c r="M10" i="1"/>
  <c r="S10" i="1" s="1"/>
  <c r="R10" i="1"/>
  <c r="T10" i="1" s="1"/>
  <c r="M13" i="1"/>
  <c r="S13" i="1" s="1"/>
  <c r="R13" i="1"/>
  <c r="T13" i="1" s="1"/>
  <c r="M38" i="1"/>
  <c r="S38" i="1" s="1"/>
  <c r="R38" i="1"/>
  <c r="T38" i="1" s="1"/>
  <c r="M46" i="1"/>
  <c r="S46" i="1" s="1"/>
  <c r="R46" i="1"/>
  <c r="T46" i="1" s="1"/>
  <c r="M4" i="1"/>
  <c r="S4" i="1" s="1"/>
  <c r="R4" i="1"/>
  <c r="T4" i="1" s="1"/>
  <c r="M37" i="1"/>
  <c r="S37" i="1" s="1"/>
  <c r="R37" i="1"/>
  <c r="T37" i="1" s="1"/>
  <c r="M16" i="1"/>
  <c r="S16" i="1" s="1"/>
  <c r="R16" i="1"/>
  <c r="T16" i="1" s="1"/>
  <c r="M30" i="1"/>
  <c r="S30" i="1" s="1"/>
  <c r="R30" i="1"/>
  <c r="T30" i="1" s="1"/>
  <c r="M42" i="1"/>
  <c r="S42" i="1" s="1"/>
  <c r="R42" i="1"/>
  <c r="T42" i="1" s="1"/>
  <c r="M9" i="1"/>
  <c r="S9" i="1" s="1"/>
  <c r="R9" i="1"/>
  <c r="T9" i="1" s="1"/>
  <c r="J10" i="1"/>
  <c r="J13" i="1"/>
  <c r="J38" i="1"/>
  <c r="J46" i="1"/>
  <c r="J4" i="1"/>
  <c r="J37" i="1"/>
  <c r="J16" i="1"/>
  <c r="J30" i="1"/>
  <c r="J42" i="1"/>
  <c r="J9" i="1"/>
  <c r="G30" i="1"/>
  <c r="G38" i="1"/>
  <c r="G26" i="1"/>
  <c r="G32" i="1"/>
  <c r="G29" i="1"/>
  <c r="G21" i="1"/>
  <c r="G25" i="1"/>
  <c r="G6" i="1"/>
  <c r="G23" i="1"/>
  <c r="G13" i="1"/>
  <c r="G10" i="1"/>
  <c r="G36" i="1"/>
  <c r="G28" i="1"/>
  <c r="G19" i="1"/>
  <c r="G46" i="1"/>
  <c r="G7" i="1"/>
  <c r="G35" i="1"/>
  <c r="G17" i="1"/>
  <c r="G5" i="1"/>
  <c r="G42" i="1"/>
  <c r="G11" i="1"/>
  <c r="G9" i="1"/>
  <c r="G37" i="1"/>
  <c r="G4" i="1"/>
  <c r="G16" i="1"/>
  <c r="G45" i="1"/>
  <c r="L5" i="1" l="1"/>
  <c r="P5" i="1"/>
  <c r="Q5" i="1" s="1"/>
  <c r="L7" i="1"/>
  <c r="P7" i="1"/>
  <c r="Q7" i="1" s="1"/>
  <c r="L45" i="1"/>
  <c r="P45" i="1"/>
  <c r="Q45" i="1" s="1"/>
  <c r="L17" i="1"/>
  <c r="P17" i="1"/>
  <c r="Q17" i="1" s="1"/>
  <c r="L15" i="1"/>
  <c r="P15" i="1"/>
  <c r="Q15" i="1" s="1"/>
  <c r="L8" i="1"/>
  <c r="P8" i="1"/>
  <c r="Q8" i="1" s="1"/>
  <c r="L32" i="1"/>
  <c r="P32" i="1"/>
  <c r="Q32" i="1" s="1"/>
  <c r="L16" i="1"/>
  <c r="P16" i="1"/>
  <c r="Q16" i="1" s="1"/>
  <c r="L30" i="1"/>
  <c r="P30" i="1"/>
  <c r="Q30" i="1" s="1"/>
  <c r="L21" i="1"/>
  <c r="P21" i="1"/>
  <c r="Q21" i="1" s="1"/>
  <c r="L31" i="1"/>
  <c r="P31" i="1"/>
  <c r="Q31" i="1" s="1"/>
  <c r="L29" i="1"/>
  <c r="P29" i="1"/>
  <c r="Q29" i="1" s="1"/>
  <c r="L43" i="1"/>
  <c r="P43" i="1"/>
  <c r="Q43" i="1" s="1"/>
  <c r="P36" i="1"/>
  <c r="Q36" i="1" s="1"/>
  <c r="L36" i="1"/>
  <c r="L10" i="1"/>
  <c r="P10" i="1"/>
  <c r="Q10" i="1" s="1"/>
  <c r="L33" i="1"/>
  <c r="P33" i="1"/>
  <c r="Q33" i="1" s="1"/>
  <c r="Q41" i="1"/>
  <c r="L41" i="1"/>
  <c r="L18" i="1"/>
  <c r="P18" i="1"/>
  <c r="Q18" i="1" s="1"/>
  <c r="L35" i="1"/>
  <c r="P35" i="1"/>
  <c r="Q35" i="1" s="1"/>
  <c r="L34" i="1"/>
  <c r="P34" i="1"/>
  <c r="Q34" i="1" s="1"/>
  <c r="L39" i="1"/>
  <c r="P39" i="1"/>
  <c r="Q39" i="1" s="1"/>
  <c r="L19" i="1"/>
  <c r="P19" i="1"/>
  <c r="Q19" i="1" s="1"/>
  <c r="L4" i="1"/>
  <c r="P4" i="1"/>
  <c r="Q4" i="1" s="1"/>
  <c r="L37" i="1"/>
  <c r="P37" i="1"/>
  <c r="Q37" i="1" s="1"/>
  <c r="L9" i="1"/>
  <c r="P9" i="1"/>
  <c r="Q9" i="1" s="1"/>
  <c r="L13" i="1"/>
  <c r="P13" i="1"/>
  <c r="Q13" i="1" s="1"/>
  <c r="L22" i="1"/>
  <c r="P22" i="1"/>
  <c r="Q22" i="1" s="1"/>
  <c r="L46" i="1"/>
  <c r="P46" i="1"/>
  <c r="Q46" i="1" s="1"/>
  <c r="L38" i="1"/>
  <c r="P38" i="1"/>
  <c r="Q38" i="1" s="1"/>
  <c r="L27" i="1"/>
  <c r="P27" i="1"/>
  <c r="Q27" i="1" s="1"/>
  <c r="L11" i="1"/>
  <c r="P11" i="1"/>
  <c r="Q11" i="1" s="1"/>
  <c r="L23" i="1"/>
  <c r="P23" i="1"/>
  <c r="Q23" i="1" s="1"/>
  <c r="L44" i="1"/>
  <c r="P44" i="1"/>
  <c r="Q44" i="1" s="1"/>
  <c r="L20" i="1"/>
  <c r="P20" i="1"/>
  <c r="Q20" i="1" s="1"/>
  <c r="L25" i="1"/>
  <c r="P25" i="1"/>
  <c r="Q25" i="1" s="1"/>
  <c r="L26" i="1"/>
  <c r="P26" i="1"/>
  <c r="Q26" i="1" s="1"/>
  <c r="L2" i="1"/>
  <c r="P2" i="1"/>
  <c r="Q2" i="1" s="1"/>
  <c r="L28" i="1"/>
  <c r="P28" i="1"/>
  <c r="Q28" i="1" s="1"/>
  <c r="L42" i="1"/>
  <c r="P42" i="1"/>
  <c r="Q42" i="1" s="1"/>
  <c r="L6" i="1"/>
  <c r="P6" i="1"/>
  <c r="Q6" i="1" s="1"/>
  <c r="N42" i="1"/>
  <c r="N45" i="1"/>
  <c r="N34" i="1"/>
  <c r="N18" i="1"/>
  <c r="N43" i="1"/>
  <c r="N15" i="1"/>
  <c r="N29" i="1"/>
  <c r="N39" i="1"/>
  <c r="N19" i="1"/>
  <c r="N46" i="1"/>
  <c r="N4" i="1"/>
  <c r="N37" i="1"/>
  <c r="N38" i="1"/>
  <c r="N41" i="1"/>
  <c r="N20" i="1"/>
  <c r="N13" i="1"/>
  <c r="N16" i="1"/>
  <c r="N35" i="1"/>
  <c r="N22" i="1"/>
  <c r="N10" i="1"/>
  <c r="N30" i="1"/>
  <c r="N36" i="1"/>
  <c r="N9" i="1"/>
  <c r="N31" i="1"/>
  <c r="N6" i="1"/>
  <c r="N2" i="1"/>
  <c r="N44" i="1"/>
  <c r="N7" i="1"/>
  <c r="J45" i="1"/>
  <c r="R45" i="1"/>
  <c r="T45" i="1" s="1"/>
  <c r="U45" i="1" s="1"/>
  <c r="U39" i="1"/>
  <c r="U2" i="1"/>
  <c r="U41" i="1"/>
  <c r="U18" i="1"/>
  <c r="J8" i="1"/>
  <c r="U8" i="1"/>
  <c r="R29" i="1"/>
  <c r="T29" i="1" s="1"/>
  <c r="U29" i="1" s="1"/>
  <c r="R7" i="1"/>
  <c r="T7" i="1" s="1"/>
  <c r="U7" i="1" s="1"/>
  <c r="U34" i="1"/>
  <c r="U20" i="1"/>
  <c r="U43" i="1"/>
  <c r="R44" i="1"/>
  <c r="T44" i="1" s="1"/>
  <c r="U44" i="1" s="1"/>
  <c r="M28" i="1"/>
  <c r="J7" i="1"/>
  <c r="J25" i="1"/>
  <c r="R28" i="1"/>
  <c r="T28" i="1" s="1"/>
  <c r="M23" i="1"/>
  <c r="J33" i="1"/>
  <c r="M33" i="1"/>
  <c r="R35" i="1"/>
  <c r="T35" i="1" s="1"/>
  <c r="U35" i="1" s="1"/>
  <c r="J35" i="1"/>
  <c r="M32" i="1"/>
  <c r="R5" i="1"/>
  <c r="T5" i="1" s="1"/>
  <c r="J29" i="1"/>
  <c r="J23" i="1"/>
  <c r="M17" i="1"/>
  <c r="J32" i="1"/>
  <c r="M25" i="1"/>
  <c r="R17" i="1"/>
  <c r="T17" i="1" s="1"/>
  <c r="J6" i="1"/>
  <c r="M5" i="1"/>
  <c r="R6" i="1"/>
  <c r="T6" i="1" s="1"/>
  <c r="U6" i="1" s="1"/>
  <c r="M11" i="1"/>
  <c r="J21" i="1"/>
  <c r="R21" i="1"/>
  <c r="T21" i="1" s="1"/>
  <c r="M21" i="1"/>
  <c r="J11" i="1"/>
  <c r="R36" i="1"/>
  <c r="T36" i="1" s="1"/>
  <c r="U36" i="1" s="1"/>
  <c r="J36" i="1"/>
  <c r="J19" i="1"/>
  <c r="R19" i="1"/>
  <c r="T19" i="1" s="1"/>
  <c r="U19" i="1" s="1"/>
  <c r="M26" i="1"/>
  <c r="J26" i="1"/>
  <c r="U27" i="1"/>
  <c r="U15" i="1"/>
  <c r="U22" i="1"/>
  <c r="U31" i="1"/>
  <c r="U16" i="1"/>
  <c r="U13" i="1"/>
  <c r="U37" i="1"/>
  <c r="U38" i="1"/>
  <c r="U9" i="1"/>
  <c r="U46" i="1"/>
  <c r="U30" i="1"/>
  <c r="U4" i="1"/>
  <c r="U42" i="1"/>
  <c r="U10" i="1"/>
  <c r="K40" i="1" l="1"/>
  <c r="K3" i="1"/>
  <c r="K24" i="1"/>
  <c r="S17" i="1"/>
  <c r="U17" i="1" s="1"/>
  <c r="N17" i="1"/>
  <c r="S28" i="1"/>
  <c r="U28" i="1" s="1"/>
  <c r="N28" i="1"/>
  <c r="S21" i="1"/>
  <c r="U21" i="1" s="1"/>
  <c r="N21" i="1"/>
  <c r="S32" i="1"/>
  <c r="U32" i="1" s="1"/>
  <c r="N32" i="1"/>
  <c r="S11" i="1"/>
  <c r="U11" i="1" s="1"/>
  <c r="N11" i="1"/>
  <c r="S5" i="1"/>
  <c r="U5" i="1" s="1"/>
  <c r="N5" i="1"/>
  <c r="S26" i="1"/>
  <c r="U26" i="1" s="1"/>
  <c r="N26" i="1"/>
  <c r="S23" i="1"/>
  <c r="U23" i="1" s="1"/>
  <c r="N23" i="1"/>
  <c r="S33" i="1"/>
  <c r="U33" i="1" s="1"/>
  <c r="N33" i="1"/>
  <c r="K14" i="1"/>
  <c r="K12" i="1"/>
  <c r="S25" i="1"/>
  <c r="U25" i="1" s="1"/>
  <c r="N25" i="1"/>
  <c r="K2" i="1"/>
  <c r="K43" i="1"/>
  <c r="K41" i="1"/>
  <c r="K20" i="1"/>
  <c r="K39" i="1"/>
  <c r="K18" i="1"/>
  <c r="K44" i="1"/>
  <c r="K8" i="1"/>
  <c r="K34" i="1"/>
  <c r="K21" i="1"/>
  <c r="K33" i="1"/>
  <c r="K13" i="1"/>
  <c r="K37" i="1"/>
  <c r="K17" i="1"/>
  <c r="K16" i="1"/>
  <c r="K19" i="1"/>
  <c r="K38" i="1"/>
  <c r="K46" i="1"/>
  <c r="K32" i="1"/>
  <c r="K28" i="1"/>
  <c r="K36" i="1"/>
  <c r="K25" i="1"/>
  <c r="K30" i="1"/>
  <c r="K11" i="1"/>
  <c r="K45" i="1"/>
  <c r="K42" i="1"/>
  <c r="K7" i="1"/>
  <c r="K23" i="1"/>
  <c r="K5" i="1"/>
  <c r="K27" i="1"/>
  <c r="K35" i="1"/>
  <c r="K4" i="1"/>
  <c r="K15" i="1"/>
  <c r="K31" i="1"/>
  <c r="K6" i="1"/>
  <c r="K29" i="1"/>
  <c r="K9" i="1"/>
  <c r="K10" i="1"/>
  <c r="K22" i="1"/>
  <c r="K26" i="1"/>
  <c r="V40" i="1" l="1"/>
  <c r="V14" i="1"/>
  <c r="V24" i="1"/>
  <c r="V3" i="1"/>
  <c r="V12" i="1"/>
  <c r="V2" i="1"/>
  <c r="V26" i="1"/>
  <c r="V41" i="1"/>
  <c r="V39" i="1"/>
  <c r="V18" i="1"/>
  <c r="V20" i="1"/>
  <c r="V44" i="1"/>
  <c r="V8" i="1"/>
  <c r="V34" i="1"/>
  <c r="V43" i="1"/>
  <c r="V10" i="1"/>
  <c r="V33" i="1"/>
  <c r="V4" i="1"/>
  <c r="V21" i="1"/>
  <c r="V25" i="1"/>
  <c r="V6" i="1"/>
  <c r="V35" i="1"/>
  <c r="V22" i="1"/>
  <c r="V29" i="1"/>
  <c r="V31" i="1"/>
  <c r="V37" i="1"/>
  <c r="V46" i="1"/>
  <c r="V5" i="1"/>
  <c r="V28" i="1"/>
  <c r="V15" i="1"/>
  <c r="V16" i="1"/>
  <c r="V17" i="1"/>
  <c r="V32" i="1"/>
  <c r="V30" i="1"/>
  <c r="V19" i="1"/>
  <c r="V38" i="1"/>
  <c r="V11" i="1"/>
  <c r="V27" i="1"/>
  <c r="V7" i="1"/>
  <c r="V42" i="1"/>
  <c r="V23" i="1"/>
  <c r="V13" i="1"/>
  <c r="V36" i="1"/>
  <c r="V45" i="1"/>
  <c r="V9" i="1"/>
  <c r="X40" i="1" l="1"/>
  <c r="W40" i="1"/>
  <c r="X24" i="1"/>
  <c r="W24" i="1"/>
  <c r="X3" i="1"/>
  <c r="W3" i="1"/>
  <c r="X12" i="1"/>
  <c r="W12" i="1"/>
  <c r="X14" i="1"/>
  <c r="W14" i="1"/>
  <c r="X2" i="1"/>
  <c r="W2" i="1"/>
  <c r="X18" i="1"/>
  <c r="W18" i="1"/>
  <c r="X41" i="1"/>
  <c r="W41" i="1"/>
  <c r="X39" i="1"/>
  <c r="W39" i="1"/>
  <c r="X8" i="1"/>
  <c r="W8" i="1"/>
  <c r="X20" i="1"/>
  <c r="W20" i="1"/>
  <c r="W43" i="1"/>
  <c r="X43" i="1"/>
  <c r="X34" i="1"/>
  <c r="W34" i="1"/>
  <c r="W44" i="1"/>
  <c r="X44" i="1"/>
  <c r="W26" i="1"/>
  <c r="W21" i="1"/>
  <c r="W9" i="1"/>
  <c r="W5" i="1"/>
  <c r="W6" i="1"/>
  <c r="X19" i="1"/>
  <c r="W32" i="1"/>
  <c r="W31" i="1"/>
  <c r="W37" i="1"/>
  <c r="W16" i="1"/>
  <c r="W45" i="1"/>
  <c r="W27" i="1"/>
  <c r="W10" i="1"/>
  <c r="W30" i="1"/>
  <c r="W7" i="1"/>
  <c r="W35" i="1"/>
  <c r="W13" i="1"/>
  <c r="W42" i="1"/>
  <c r="X7" i="1"/>
  <c r="W11" i="1"/>
  <c r="X27" i="1"/>
  <c r="W17" i="1"/>
  <c r="X31" i="1"/>
  <c r="W15" i="1"/>
  <c r="W46" i="1"/>
  <c r="X10" i="1"/>
  <c r="W22" i="1"/>
  <c r="X25" i="1"/>
  <c r="W25" i="1"/>
  <c r="W33" i="1"/>
  <c r="X36" i="1"/>
  <c r="W28" i="1"/>
  <c r="W29" i="1"/>
  <c r="X26" i="1"/>
  <c r="W4" i="1"/>
  <c r="W38" i="1"/>
  <c r="X11" i="1"/>
  <c r="X21" i="1"/>
  <c r="X5" i="1"/>
  <c r="X29" i="1"/>
  <c r="X13" i="1"/>
  <c r="X42" i="1"/>
  <c r="X22" i="1"/>
  <c r="X37" i="1"/>
  <c r="X17" i="1"/>
  <c r="X4" i="1"/>
  <c r="W36" i="1"/>
  <c r="X15" i="1"/>
  <c r="W23" i="1"/>
  <c r="X38" i="1"/>
  <c r="W19" i="1"/>
  <c r="X33" i="1"/>
  <c r="X23" i="1"/>
  <c r="X6" i="1"/>
  <c r="X45" i="1"/>
  <c r="X28" i="1"/>
  <c r="X32" i="1"/>
  <c r="X16" i="1"/>
  <c r="X30" i="1"/>
  <c r="X35" i="1"/>
  <c r="X9" i="1"/>
  <c r="X4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<sst xmlns="http://schemas.openxmlformats.org/spreadsheetml/2006/main" count="594" uniqueCount="162">
  <si>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</si>
  <si>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</si>
  <si>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</si>
  <si>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</si>
  <si>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</si>
  <si>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</si>
  <si>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</si>
  <si>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</si>
  <si>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</si>
  <si>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</si>
  <si>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</si>
  <si>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</si>
  <si>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</si>
  <si>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</si>
  <si>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</si>
  <si>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</si>
  <si>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</si>
  <si>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</si>
  <si>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</si>
  <si>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</si>
  <si>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</si>
  <si>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</si>
  <si>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</si>
  <si>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</si>
  <si>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</si>
  <si>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</si>
  <si>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</si>
  <si>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</si>
  <si>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</si>
  <si>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</si>
  <si>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</si>
  <si>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</si>
  <si>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</si>
  <si>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</si>
  <si>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</si>
  <si>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</si>
  <si>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</si>
  <si>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</si>
  <si>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</si>
  <si>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</si>
  <si>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</si>
  <si>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</si>
  <si>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</si>
  <si>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</si>
  <si>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</si>
  <si>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</si>
  <si>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</si>
  <si>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</si>
  <si>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</si>
  <si>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</si>
  <si>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</si>
  <si>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</si>
  <si>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</si>
  <si>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</si>
  <si>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</si>
  <si>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</si>
  <si>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</si>
  <si>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</si>
  <si>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</si>
  <si>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</si>
  <si>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</si>
  <si>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</si>
  <si>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</si>
  <si>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</si>
  <si>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</si>
  <si>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</si>
  <si>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</si>
  <si>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</si>
  <si>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</si>
  <si>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</si>
  <si>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</si>
  <si>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</si>
  <si>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</si>
  <si>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</si>
  <si>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</si>
  <si>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</si>
  <si>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</si>
  <si>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</si>
  <si>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</si>
  <si>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</si>
  <si>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</si>
  <si>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</si>
  <si>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</si>
  <si>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</si>
  <si>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</si>
  <si>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</si>
  <si>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</si>
  <si>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</si>
  <si>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</si>
  <si>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</si>
  <si>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</si>
  <si>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</si>
  <si>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</si>
  <si>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</si>
  <si>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</si>
  <si>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</si>
  <si>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</si>
  <si>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</si>
  <si>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</si>
  <si>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</si>
  <si>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</si>
  <si>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</si>
  <si>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</si>
  <si>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</si>
  <si>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</si>
  <si>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</si>
  <si>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</si>
  <si>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</si>
  <si>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</si>
  <si>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</si>
  <si>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</si>
  <si>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</si>
  <si>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</si>
  <si>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</si>
  <si>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</si>
  <si>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</si>
  <si>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BOTZ.UK</t>
  </si>
  <si>
    <t>BATT.NL</t>
  </si>
  <si>
    <t>VBTC.DE</t>
  </si>
  <si>
    <t>ETF5</t>
  </si>
  <si>
    <t>BONDS</t>
  </si>
  <si>
    <t>VWO.US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</si>
  <si>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</si>
  <si>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</si>
  <si>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</si>
  <si>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</si>
  <si>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</si>
  <si>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</si>
  <si>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</si>
  <si>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</si>
  <si>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</si>
  <si>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</si>
  <si>
    <t>Ingredion</t>
  </si>
  <si>
    <t>WK06</t>
  </si>
  <si>
    <t>%</t>
  </si>
  <si>
    <t>Consumer</t>
  </si>
  <si>
    <t>Close Price</t>
  </si>
  <si>
    <t>Actual Value</t>
  </si>
  <si>
    <t>Actual P&amp;L</t>
  </si>
  <si>
    <t>Actual Return %</t>
  </si>
  <si>
    <t xml:space="preserve">Actual P&amp;L </t>
  </si>
  <si>
    <t>WK07</t>
  </si>
  <si>
    <t>W/Avg Volatility</t>
  </si>
  <si>
    <t xml:space="preserve">Volatility </t>
  </si>
  <si>
    <t>WK08</t>
  </si>
  <si>
    <t>P&amp;L vs LV</t>
  </si>
  <si>
    <t>WK09</t>
  </si>
  <si>
    <t>Merged</t>
  </si>
  <si>
    <t>Risk Aversion:</t>
  </si>
  <si>
    <t>Avg</t>
  </si>
  <si>
    <t>Consider Dividend Kings</t>
  </si>
  <si>
    <t>Dividend</t>
  </si>
  <si>
    <t>*It dosent matter the individual returns when distributing a portafolio at max aversion.</t>
  </si>
  <si>
    <t>*Plan exit stragety for KMB, 7% profit</t>
  </si>
  <si>
    <t>*Good moment to buy as prices just droped</t>
  </si>
  <si>
    <t>P&amp;L% Delta</t>
  </si>
  <si>
    <t>P&amp;L vs Last Week</t>
  </si>
  <si>
    <t>Top Jodidos</t>
  </si>
  <si>
    <t>Top Buenos</t>
  </si>
  <si>
    <t>Others</t>
  </si>
  <si>
    <t>DataFrame:</t>
  </si>
  <si>
    <t>Evaluate an exit stragety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</si>
</sst>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  <xf numFmtId="0" fontId="2" fillId="8" borderId="1" xfId="0" applyFont="1" applyFill="1" applyBorder="1" applyAlignment="1">
      <alignment horizontal="center" vertical="center" wrapText="1"/>
    </xf>
    <xf numFmtId="44" fontId="0" fillId="12" borderId="0" xfId="0" applyNumberFormat="1" applyFill="1"/>
    <xf numFmtId="0" fontId="2" fillId="8" borderId="0" xfId="0" applyFont="1" applyFill="1" applyAlignment="1">
      <alignment horizontal="center" vertical="center" wrapText="1"/>
    </xf>
    <xf numFmtId="0" fontId="2" fillId="11" borderId="4" xfId="0" applyFont="1" applyFill="1" applyBorder="1"/>
    <xf numFmtId="0" fontId="0" fillId="4" borderId="3" xfId="0" applyFill="1" applyBorder="1"/>
    <xf numFmtId="10" fontId="0" fillId="4" borderId="3" xfId="0" applyNumberFormat="1" applyFill="1" applyBorder="1"/>
    <xf numFmtId="0" fontId="0" fillId="0" borderId="5" xfId="0" applyBorder="1"/>
    <xf numFmtId="0" fontId="0" fillId="9" borderId="3" xfId="0" applyFill="1" applyBorder="1"/>
    <xf numFmtId="10" fontId="0" fillId="9" borderId="3" xfId="0" applyNumberFormat="1" applyFill="1" applyBorder="1"/>
    <xf numFmtId="0" fontId="0" fillId="0" borderId="0" xfId="0" applyAlignment="1">
      <alignment horizontal="left" indent="1"/>
    </xf>
    <xf numFmtId="10" fontId="2" fillId="0" borderId="1" xfId="2" applyNumberFormat="1" applyFont="1" applyBorder="1" applyAlignment="1">
      <alignment horizontal="center" vertical="center"/>
    </xf>
    <xf numFmtId="10" fontId="2" fillId="8" borderId="2" xfId="2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 indent="2"/>
    </xf>
  </cellXfs>
  <cellStyles count="3">
    <cellStyle name="Currency" xfId="1" builtinId="4"/>
    <cellStyle name="Normal" xfId="0" builtinId="0"/>
    <cellStyle name="Percent" xfId="2" builtinId="5"/>
  </cellStyles>
  <dxfs count="72"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wrapText="1"/>
    </dxf>
    <dxf>
      <alignment horizontal="center"/>
    </dxf>
    <dxf>
      <alignment vertical="center"/>
    </dxf>
    <dxf>
      <numFmt numFmtId="14" formatCode="0.00%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ichStyles" Target="richData/rich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Array" Target="richData/rdarray.xml"/><Relationship Id="rId5" Type="http://schemas.openxmlformats.org/officeDocument/2006/relationships/theme" Target="theme/theme1.xml"/><Relationship Id="rId15" Type="http://schemas.microsoft.com/office/2017/06/relationships/rdRichValueTypes" Target="richData/rdRichValueTypes.xml"/><Relationship Id="rId10" Type="http://schemas.microsoft.com/office/2017/06/relationships/rdRichValueStructure" Target="richData/rdrichvaluestructure.xml"/><Relationship Id="rId4" Type="http://schemas.openxmlformats.org/officeDocument/2006/relationships/pivotCacheDefinition" Target="pivotCache/pivotCacheDefinition1.xml"/><Relationship Id="rId9" Type="http://schemas.microsoft.com/office/2017/06/relationships/rdRichValue" Target="richData/rdrichvalue.xml"/><Relationship Id="rId14" Type="http://schemas.microsoft.com/office/2017/06/relationships/rdSupportingPropertyBag" Target="richData/rdsupportingpropertybag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 walton" refreshedDate="45717.557911226853" createdVersion="8" refreshedVersion="8" minRefreshableVersion="3" recordCount="45" xr:uid="{8231C5FD-6A38-425A-8202-1B139D24CA84}">
  <cacheSource type="worksheet">
    <worksheetSource ref="A1:X46" sheet="Positions"/>
  </cacheSource>
  <cacheFields count="30">
    <cacheField name="Chapter" numFmtId="0">
      <sharedItems count="10">
        <s v="Energy"/>
        <s v="ETF"/>
        <s v="Tech"/>
        <s v="US Consumer"/>
        <s v="Asia Consumer"/>
        <s v="Forex"/>
        <s v="Health"/>
        <s v="Automotive"/>
        <s v="Industrials"/>
        <s v="Banking"/>
      </sharedItems>
    </cacheField>
    <cacheField name="Name" numFmtId="0">
      <sharedItems/>
    </cacheField>
    <cacheField name="Ticker" numFmtId="0">
      <sharedItems count="46">
        <s v="YPF"/>
        <s v="VBTC.DE"/>
        <s v="MSFT"/>
        <s v="TSM"/>
        <s v="FSLR"/>
        <s v="NEE"/>
        <s v="APA"/>
        <s v="PEP"/>
        <s v="DAR"/>
        <s v="GOOGL"/>
        <s v="BATT.NL"/>
        <s v="INGR"/>
        <s v="BOTZ.UK"/>
        <s v="GC=F"/>
        <s v="QCOM"/>
        <s v="NVDA"/>
        <s v="HCA"/>
        <s v="AMAT"/>
        <s v="PCG"/>
        <s v="MAXN"/>
        <s v="USDJPY=X"/>
        <s v="CSIQ"/>
        <s v="BONDS"/>
        <s v="JKS"/>
        <s v="YUMC"/>
        <s v="USDMXN=X"/>
        <s v="DUK"/>
        <s v="SWI"/>
        <s v="ASML"/>
        <s v="APTV"/>
        <s v="WMT"/>
        <s v="PLTR"/>
        <s v="MMM"/>
        <s v="V"/>
        <s v="MC.PA"/>
        <s v="AAPL"/>
        <s v="YUM"/>
        <s v="AGIO"/>
        <s v="VWO.US"/>
        <s v="ACI"/>
        <s v="KMB"/>
        <s v="EXC"/>
        <s v="ING"/>
        <s v="MO"/>
        <s v="MA"/>
        <s v="LVMH" u="1"/>
      </sharedItems>
      <fieldGroup par="29"/>
    </cacheField>
    <cacheField name="Date" numFmtId="165">
      <sharedItems containsSemiMixedTypes="0" containsNonDate="0" containsDate="1" containsString="0" minDate="2024-06-17T00:00:00" maxDate="2025-02-10T00:00:00"/>
    </cacheField>
    <cacheField name="Volume" numFmtId="164">
      <sharedItems containsSemiMixedTypes="0" containsString="0" containsNumber="1" minValue="9.9999999999999998E-20" maxValue="3.1236000000000002"/>
    </cacheField>
    <cacheField name="Price" numFmtId="44">
      <sharedItems containsSemiMixedTypes="0" containsString="0" containsNumber="1" minValue="10.92" maxValue="2742.9"/>
    </cacheField>
    <cacheField name="Value" numFmtId="44">
      <sharedItems containsSemiMixedTypes="0" containsString="0" containsNumber="1" minValue="1.092E-18" maxValue="112.93678800000001"/>
    </cacheField>
    <cacheField name="Expected Return QoQ%" numFmtId="10">
      <sharedItems containsSemiMixedTypes="0" containsString="0" containsNumber="1" minValue="2.4701323861801683E-2" maxValue="1"/>
    </cacheField>
    <cacheField name="Volatility" numFmtId="0">
      <sharedItems containsSemiMixedTypes="0" containsString="0" containsNumber="1" minValue="5.7000000000000002E-2" maxValue="1.8652"/>
    </cacheField>
    <cacheField name="Ranking" numFmtId="9">
      <sharedItems containsSemiMixedTypes="0" containsString="0" containsNumber="1" minValue="6.7668155366084726E-2" maxValue="1"/>
    </cacheField>
    <cacheField name="Mix %" numFmtId="9">
      <sharedItems containsSemiMixedTypes="0" containsString="0" containsNumber="1" minValue="3.2815488729667345E-3" maxValue="4.8494729244702398E-2"/>
    </cacheField>
    <cacheField name="W/Avg Volatility" numFmtId="9">
      <sharedItems containsSemiMixedTypes="0" containsString="0" containsNumber="1" minValue="2.5499999999999999E-19" maxValue="41.786611560000004"/>
    </cacheField>
    <cacheField name="Target Price" numFmtId="44">
      <sharedItems containsSemiMixedTypes="0" containsString="0" containsNumber="1" minValue="11.602500000000001" maxValue="3017.1900000000005"/>
    </cacheField>
    <cacheField name="Target Value" numFmtId="44">
      <sharedItems containsSemiMixedTypes="0" containsString="0" containsNumber="1" minValue="1.16025E-18" maxValue="137.94084000000001"/>
    </cacheField>
    <cacheField name="Close Price" numFmtId="44">
      <sharedItems containsSemiMixedTypes="0" containsString="0" containsNumber="1" minValue="0.71099999999999997" maxValue="709.08"/>
    </cacheField>
    <cacheField name="Actual Value" numFmtId="44">
      <sharedItems containsSemiMixedTypes="0" containsString="0" containsNumber="1" minValue="7.1099999999999989E-20" maxValue="109.40031"/>
    </cacheField>
    <cacheField name="Actual P&amp;L" numFmtId="44">
      <sharedItems containsSemiMixedTypes="0" containsString="0" containsNumber="1" minValue="-13.213118999999999" maxValue="9.3465620000000058"/>
    </cacheField>
    <cacheField name="Tolerance" numFmtId="44">
      <sharedItems containsSemiMixedTypes="0" containsString="0" containsNumber="1" minValue="5.8546000428908433" maxValue="1959.214285714286"/>
    </cacheField>
    <cacheField name="Unit Profit" numFmtId="44">
      <sharedItems containsSemiMixedTypes="0" containsString="0" containsNumber="1" minValue="0.55250000000000021" maxValue="274.29000000000042"/>
    </cacheField>
    <cacheField name="Unit Half Loss" numFmtId="44">
      <sharedItems containsSemiMixedTypes="0" containsString="0" containsNumber="1" minValue="-391.84285714285704" maxValue="0"/>
    </cacheField>
    <cacheField name="Balance Risk" numFmtId="44">
      <sharedItems containsSemiMixedTypes="0" containsString="0" containsNumber="1" minValue="-117.55285714285662" maxValue="114.13244508118439"/>
    </cacheField>
    <cacheField name="Normalized Risk" numFmtId="44">
      <sharedItems containsSemiMixedTypes="0" containsString="0" containsNumber="1" minValue="0" maxValue="231.68530222404101"/>
    </cacheField>
    <cacheField name="Risk Mix" numFmtId="9">
      <sharedItems containsSemiMixedTypes="0" containsString="0" containsNumber="1" minValue="0" maxValue="3.1618826437462423E-2"/>
    </cacheField>
    <cacheField name="Normalized Risk %" numFmtId="9">
      <sharedItems containsSemiMixedTypes="0" containsString="0" containsNumber="1" minValue="0" maxValue="1"/>
    </cacheField>
    <cacheField name="TargetReturn%_Metric" numFmtId="0" formula="'Target Value'/Value-1" databaseField="0"/>
    <cacheField name="TargetP&amp;L_metric" numFmtId="0" formula="'Target Value'-Value" databaseField="0"/>
    <cacheField name="ActualP&amp;L_Metric" numFmtId="0" formula="'Actual Value'-Value" databaseField="0"/>
    <cacheField name="ActualReturn_Metric" numFmtId="0" formula="'ActualP&amp;L_Metric'/Value" databaseField="0"/>
    <cacheField name="AvgVolatility_Metric" numFmtId="0" formula="'W/Avg Volatility'/Value" databaseField="0"/>
    <cacheField name="Ticker2" numFmtId="0" databaseField="0">
      <fieldGroup base="2">
        <discretePr count="46">
          <x v="24"/>
          <x v="24"/>
          <x v="24"/>
          <x v="25"/>
          <x v="24"/>
          <x v="24"/>
          <x v="26"/>
          <x v="25"/>
          <x v="24"/>
          <x v="24"/>
          <x v="26"/>
          <x v="25"/>
          <x v="26"/>
          <x v="0"/>
          <x v="1"/>
          <x v="2"/>
          <x v="3"/>
          <x v="4"/>
          <x v="5"/>
          <x v="6"/>
          <x v="7"/>
          <x v="8"/>
          <x v="26"/>
          <x v="9"/>
          <x v="10"/>
          <x v="11"/>
          <x v="12"/>
          <x v="13"/>
          <x v="14"/>
          <x v="15"/>
          <x v="16"/>
          <x v="17"/>
          <x v="18"/>
          <x v="19"/>
          <x v="20"/>
          <x v="21"/>
          <x v="22"/>
          <x v="26"/>
          <x v="25"/>
          <x v="26"/>
          <x v="25"/>
          <x v="26"/>
          <x v="26"/>
          <x v="25"/>
          <x v="25"/>
          <x v="23"/>
        </discretePr>
        <groupItems count="27">
          <s v="GC=F"/>
          <s v="QCOM"/>
          <s v="NVDA"/>
          <s v="HCA"/>
          <s v="AMAT"/>
          <s v="PCG"/>
          <s v="MAXN"/>
          <s v="USDJPY=X"/>
          <s v="CSIQ"/>
          <s v="JKS"/>
          <s v="YUMC"/>
          <s v="USDMXN=X"/>
          <s v="DUK"/>
          <s v="SWI"/>
          <s v="ASML"/>
          <s v="APTV"/>
          <s v="WMT"/>
          <s v="PLTR"/>
          <s v="MMM"/>
          <s v="V"/>
          <s v="MC.PA"/>
          <s v="AAPL"/>
          <s v="YUM"/>
          <s v="LVMH"/>
          <s v="Group1"/>
          <s v="Group2"/>
          <s v="Group3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231C5FD-6A38-425A-8202-1B139D24CA84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YPF"/>
    <x v="0"/>
    <d v="2024-12-01T00:00:00"/>
    <n v="1.5004999999999999"/>
    <n v="40"/>
    <n v="60.019999999999996"/>
    <n v="0.1"/>
    <n v="0.2"/>
    <n v="0.5"/>
    <n v="2.4247364622351199E-2"/>
    <n v="12.004"/>
    <n v="44"/>
    <n v="66.021999999999991"/>
    <n v="34.97"/>
    <n v="52.472484999999999"/>
    <n v="-7.5475149999999971"/>
    <n v="36.363636363636367"/>
    <n v="4"/>
    <n v="-1.8181818181818166"/>
    <n v="2.1818181818181834"/>
    <n v="111.9506268993662"/>
    <n v="8.9325091577996465E-3"/>
    <n v="0.48320124679773302"/>
  </r>
  <r>
    <x v="1"/>
    <s v="Bitcoin ETF"/>
    <x v="1"/>
    <d v="2024-07-08T00:00:00"/>
    <n v="1"/>
    <n v="48.68"/>
    <n v="48.68"/>
    <n v="0.1"/>
    <n v="0.2"/>
    <n v="0.5"/>
    <n v="2.4247364622351199E-2"/>
    <n v="9.7360000000000007"/>
    <n v="53.548000000000002"/>
    <n v="53.548000000000002"/>
    <n v="42.898000000000003"/>
    <n v="42.898000000000003"/>
    <n v="-5.7819999999999965"/>
    <n v="44.254545454545458"/>
    <n v="4.8680000000000021"/>
    <n v="-2.2127272727272711"/>
    <n v="2.655272727272731"/>
    <n v="111.47717235391166"/>
    <n v="8.9704464051640499E-3"/>
    <n v="0.48115772249597688"/>
  </r>
  <r>
    <x v="2"/>
    <s v="Microsoft"/>
    <x v="2"/>
    <d v="2024-10-09T00:00:00"/>
    <n v="0.16059999999999999"/>
    <n v="421.18"/>
    <n v="67.641508000000002"/>
    <n v="0.15"/>
    <n v="0.1963"/>
    <n v="0.76413652572592972"/>
    <n v="3.7056593921066534E-2"/>
    <n v="13.278028020400001"/>
    <n v="484.35699999999997"/>
    <n v="77.787734199999989"/>
    <n v="396.99"/>
    <n v="63.756594"/>
    <n v="-3.884914000000002"/>
    <n v="402.54229188569246"/>
    <n v="63.176999999999964"/>
    <n v="-9.3188540571537715"/>
    <n v="53.858145942846193"/>
    <n v="60.274299138338193"/>
    <n v="1.6590819209773906E-2"/>
    <n v="0.26015590354563189"/>
  </r>
  <r>
    <x v="2"/>
    <s v="TSMC"/>
    <x v="3"/>
    <d v="2024-07-11T00:00:00"/>
    <n v="0.60660000000000003"/>
    <n v="186.18"/>
    <n v="112.93678800000001"/>
    <n v="0.22139864647115703"/>
    <n v="0.37"/>
    <n v="0.5983747201923163"/>
    <n v="2.9018020042600935E-2"/>
    <n v="41.786611560000004"/>
    <n v="227.4"/>
    <n v="137.94084000000001"/>
    <n v="180.35"/>
    <n v="109.40031"/>
    <n v="-3.5364780000000025"/>
    <n v="162.09279174885174"/>
    <n v="41.22"/>
    <n v="-12.043604125574134"/>
    <n v="29.176395874425864"/>
    <n v="84.956049206758522"/>
    <n v="1.1770792184159698E-2"/>
    <n v="0.3666872623823394"/>
  </r>
  <r>
    <x v="0"/>
    <s v="First Solar"/>
    <x v="4"/>
    <d v="2024-08-07T00:00:00"/>
    <n v="0.34489999999999998"/>
    <n v="173.73"/>
    <n v="59.919476999999993"/>
    <n v="0.12830253842168893"/>
    <n v="0.52980000000000005"/>
    <n v="0.24217164670005459"/>
    <n v="1.1744048437462875E-2"/>
    <n v="31.745338914599998"/>
    <n v="196.02"/>
    <n v="67.607298"/>
    <n v="135.41999999999999"/>
    <n v="46.706357999999994"/>
    <n v="-13.213118999999999"/>
    <n v="123.9602673303112"/>
    <n v="22.29000000000002"/>
    <n v="-24.884866334844396"/>
    <n v="-2.5948663348443759"/>
    <n v="116.72731141602875"/>
    <n v="8.5669753536590249E-3"/>
    <n v="0.50381837041675082"/>
  </r>
  <r>
    <x v="0"/>
    <s v="NextEra Energy"/>
    <x v="5"/>
    <d v="2024-08-07T00:00:00"/>
    <n v="0.74609999999999999"/>
    <n v="73.7"/>
    <n v="54.987569999999998"/>
    <n v="0.1"/>
    <n v="0.25990000000000002"/>
    <n v="0.38476337052712584"/>
    <n v="1.8658995476992075E-2"/>
    <n v="14.291269443000001"/>
    <n v="81.070000000000007"/>
    <n v="60.486327000000003"/>
    <n v="70.13"/>
    <n v="52.323992999999994"/>
    <n v="-2.6635770000000036"/>
    <n v="63.539960341408751"/>
    <n v="7.3700000000000045"/>
    <n v="-5.080019829295626"/>
    <n v="2.2899801707043785"/>
    <n v="111.84246491048"/>
    <n v="8.9411477188061934E-3"/>
    <n v="0.48273439806866858"/>
  </r>
  <r>
    <x v="0"/>
    <s v="APA"/>
    <x v="6"/>
    <d v="2024-12-01T00:00:00"/>
    <n v="3.0230999999999999"/>
    <n v="21.49"/>
    <n v="64.966418999999988"/>
    <n v="0.23685435086086559"/>
    <n v="0.45929999999999999"/>
    <n v="0.5156855015477152"/>
    <n v="2.5008028772975009E-2"/>
    <n v="29.839076246699992"/>
    <n v="26.58"/>
    <n v="80.35399799999999"/>
    <n v="20.7"/>
    <n v="62.578169999999993"/>
    <n v="-2.3882489999999947"/>
    <n v="17.57951367010353"/>
    <n v="5.09"/>
    <n v="-1.955243164948234"/>
    <n v="3.1347568350517658"/>
    <n v="110.99768824613263"/>
    <n v="9.009196640046617E-3"/>
    <n v="0.47908817339995624"/>
  </r>
  <r>
    <x v="3"/>
    <s v="Pepsi"/>
    <x v="7"/>
    <d v="2024-06-17T00:00:00"/>
    <n v="0.51239999999999997"/>
    <n v="157.99"/>
    <n v="80.954076000000001"/>
    <n v="6.7199999999999996E-2"/>
    <n v="0.16439999999999999"/>
    <n v="0.40875912408759124"/>
    <n v="1.9822663048929448E-2"/>
    <n v="13.308850094399999"/>
    <n v="168.60692800000001"/>
    <n v="86.394189907200001"/>
    <n v="153.47"/>
    <n v="78.638027999999991"/>
    <n v="-2.3160480000000092"/>
    <n v="143.99380240612467"/>
    <n v="10.616928000000001"/>
    <n v="-6.9980987969376685"/>
    <n v="3.618829203062333"/>
    <n v="110.51361587812205"/>
    <n v="9.0486587743435348E-3"/>
    <n v="0.47699882045713349"/>
  </r>
  <r>
    <x v="4"/>
    <s v="MSG"/>
    <x v="8"/>
    <d v="2024-08-03T00:00:00"/>
    <n v="0.52270000000000005"/>
    <n v="38.229999999999997"/>
    <n v="19.982821000000001"/>
    <n v="7.0000000000000007E-2"/>
    <n v="0.4"/>
    <n v="0.17500000000000002"/>
    <n v="8.4865776178229199E-3"/>
    <n v="7.9931284000000007"/>
    <n v="40.906100000000002"/>
    <n v="21.381618470000003"/>
    <n v="36.090000000000003"/>
    <n v="18.864243000000005"/>
    <n v="-1.1185779999999959"/>
    <n v="28.744360902255639"/>
    <n v="2.6761000000000053"/>
    <n v="-4.7428195488721787"/>
    <n v="-2.0667195488721735"/>
    <n v="116.19916463005656"/>
    <n v="8.6059138478637217E-3"/>
    <n v="0.50153878349042313"/>
  </r>
  <r>
    <x v="2"/>
    <s v="Google"/>
    <x v="9"/>
    <d v="2025-01-21T00:00:00"/>
    <n v="5.3800000000000001E-2"/>
    <n v="185.82"/>
    <n v="9.9971160000000001"/>
    <n v="2.4701323861801683E-2"/>
    <n v="0.26790000000000003"/>
    <n v="9.2203523187016356E-2"/>
    <n v="4.4713848923619978E-3"/>
    <n v="2.6782273764000002"/>
    <n v="190.40999999999997"/>
    <n v="10.244057999999999"/>
    <n v="170.28"/>
    <n v="9.1610639999999997"/>
    <n v="-0.83605200000000046"/>
    <n v="149.46927113630838"/>
    <n v="4.589999999999975"/>
    <n v="-18.175364431845807"/>
    <n v="-13.585364431845832"/>
    <n v="127.71780951303022"/>
    <n v="7.8297615956056353E-3"/>
    <n v="0.55125555349008015"/>
  </r>
  <r>
    <x v="1"/>
    <s v="Batterey Value-Chain"/>
    <x v="10"/>
    <d v="2024-07-08T00:00:00"/>
    <n v="2"/>
    <n v="16.399000000000001"/>
    <n v="32.798000000000002"/>
    <n v="3.5000000000000003E-2"/>
    <n v="0.16500000000000001"/>
    <n v="0.21212121212121213"/>
    <n v="1.0286760748876267E-2"/>
    <n v="5.4116700000000009"/>
    <n v="16.972964999999999"/>
    <n v="33.945929999999997"/>
    <n v="16.152000000000001"/>
    <n v="32.304000000000002"/>
    <n v="-0.49399999999999977"/>
    <n v="14.512389380530973"/>
    <n v="0.57396499999999762"/>
    <n v="-0.9433053097345141"/>
    <n v="-0.36934030973451648"/>
    <n v="114.5017853909189"/>
    <n v="8.7334882734440723E-3"/>
    <n v="0.49421255596177188"/>
  </r>
  <r>
    <x v="4"/>
    <s v="Ingredion"/>
    <x v="11"/>
    <d v="2024-10-15T00:00:00"/>
    <n v="0.34860000000000002"/>
    <n v="131.91"/>
    <n v="45.983826000000001"/>
    <n v="0.1202"/>
    <n v="0.33710000000000001"/>
    <n v="0.35657075051913378"/>
    <n v="1.7291802003005719E-2"/>
    <n v="15.501147744600001"/>
    <n v="147.76558199999999"/>
    <n v="51.511081885199999"/>
    <n v="130.51"/>
    <n v="45.495786000000003"/>
    <n v="-0.48803999999999803"/>
    <n v="108.39838934998768"/>
    <n v="15.855581999999998"/>
    <n v="-11.755805325006158"/>
    <n v="4.0997766749938407"/>
    <n v="110.03266840619054"/>
    <n v="9.0882100242125827E-3"/>
    <n v="0.47492295518939875"/>
  </r>
  <r>
    <x v="1"/>
    <s v="Robotics &amp; AI"/>
    <x v="12"/>
    <d v="2024-07-08T00:00:00"/>
    <n v="2"/>
    <n v="20.927"/>
    <n v="41.853999999999999"/>
    <n v="3.5000000000000003E-2"/>
    <n v="0.16500000000000001"/>
    <n v="0.21212121212121213"/>
    <n v="1.0286760748876267E-2"/>
    <n v="6.9059100000000004"/>
    <n v="21.659444999999998"/>
    <n v="43.318889999999996"/>
    <n v="20.864999999999998"/>
    <n v="41.73"/>
    <n v="-0.12400000000000233"/>
    <n v="18.51946902654867"/>
    <n v="0.73244499999999846"/>
    <n v="-1.2037654867256649"/>
    <n v="-0.4713204867256664"/>
    <n v="114.60376556791005"/>
    <n v="8.7257167776693696E-3"/>
    <n v="0.49465272275704203"/>
  </r>
  <r>
    <x v="5"/>
    <s v="Gold"/>
    <x v="13"/>
    <d v="2025-02-09T00:00:00"/>
    <n v="9.9999999999999998E-20"/>
    <n v="2742.9"/>
    <n v="2.7429000000000002E-16"/>
    <n v="0.1"/>
    <n v="0.5"/>
    <n v="0.2"/>
    <n v="9.6989458489404809E-3"/>
    <n v="1.3714500000000001E-16"/>
    <n v="3017.1900000000005"/>
    <n v="3.0171900000000003E-16"/>
    <n v="0.71099999999999997"/>
    <n v="7.1099999999999989E-20"/>
    <n v="-2.742189E-16"/>
    <n v="1959.214285714286"/>
    <n v="274.29000000000042"/>
    <n v="-391.84285714285704"/>
    <n v="-117.55285714285662"/>
    <n v="231.68530222404101"/>
    <n v="4.316199562080957E-3"/>
    <n v="1"/>
  </r>
  <r>
    <x v="2"/>
    <s v="QualComm2"/>
    <x v="14"/>
    <d v="2024-09-09T00:00:00"/>
    <n v="9.9999999999999998E-20"/>
    <n v="188.12"/>
    <n v="1.8812000000000001E-17"/>
    <n v="0.15"/>
    <n v="0.37780000000000002"/>
    <n v="0.39703546850185278"/>
    <n v="1.9254127545540917E-2"/>
    <n v="7.1071736000000005E-18"/>
    <n v="216.33799999999999"/>
    <n v="2.16338E-17"/>
    <n v="157.16999999999999"/>
    <n v="1.5716999999999997E-17"/>
    <n v="-3.0950000000000039E-18"/>
    <n v="153.21713634142367"/>
    <n v="28.217999999999989"/>
    <n v="-17.451431829288168"/>
    <n v="10.766568170711821"/>
    <n v="103.36587691047256"/>
    <n v="9.674372528819369E-3"/>
    <n v="0.44614775265509582"/>
  </r>
  <r>
    <x v="2"/>
    <s v="Nvidia"/>
    <x v="15"/>
    <d v="2024-07-09T00:00:00"/>
    <n v="9.9999999999999998E-20"/>
    <n v="147.01"/>
    <n v="1.4700999999999999E-17"/>
    <n v="0.15"/>
    <n v="0.52380000000000004"/>
    <n v="0.28636884306987398"/>
    <n v="1.388737950879221E-2"/>
    <n v="7.7003838000000003E-18"/>
    <n v="169.06149999999997"/>
    <n v="1.6906149999999997E-17"/>
    <n v="124.92"/>
    <n v="1.2491999999999999E-17"/>
    <n v="-2.2089999999999996E-18"/>
    <n v="107.00975396709855"/>
    <n v="22.051499999999976"/>
    <n v="-20.000123016450722"/>
    <n v="2.0513769835492539"/>
    <n v="112.08106809763513"/>
    <n v="8.9221134039237406E-3"/>
    <n v="0.48376425704057868"/>
  </r>
  <r>
    <x v="6"/>
    <s v="HCA Healthcare"/>
    <x v="16"/>
    <d v="2024-12-04T00:00:00"/>
    <n v="9.9999999999999998E-20"/>
    <n v="323.75"/>
    <n v="3.2375000000000002E-17"/>
    <n v="0.2"/>
    <n v="0.2"/>
    <n v="1"/>
    <n v="4.8494729244702398E-2"/>
    <n v="6.4750000000000006E-18"/>
    <n v="388.5"/>
    <n v="3.8849999999999999E-17"/>
    <n v="306.3"/>
    <n v="3.0629999999999998E-17"/>
    <n v="-1.7450000000000042E-18"/>
    <n v="323.75"/>
    <n v="64.75"/>
    <n v="0"/>
    <n v="64.75"/>
    <n v="49.382445081184386"/>
    <n v="2.0250111114506524E-2"/>
    <n v="0.21314448783389495"/>
  </r>
  <r>
    <x v="2"/>
    <s v="Applied Material"/>
    <x v="17"/>
    <d v="2024-07-08T00:00:00"/>
    <n v="9.9999999999999998E-20"/>
    <n v="169.34"/>
    <n v="1.6933999999999999E-17"/>
    <n v="0.1"/>
    <n v="0.4259"/>
    <n v="0.23479690068091102"/>
    <n v="1.1386412126016061E-2"/>
    <n v="7.2121906000000005E-18"/>
    <n v="186.27400000000003"/>
    <n v="1.8627400000000003E-17"/>
    <n v="158.07"/>
    <n v="1.5806999999999999E-17"/>
    <n v="-1.1270000000000002E-18"/>
    <n v="127.71702239987934"/>
    <n v="16.934000000000026"/>
    <n v="-20.811488800060332"/>
    <n v="-3.8774888000603056"/>
    <n v="118.00993388124469"/>
    <n v="8.4738628953585898E-3"/>
    <n v="0.50935442493943106"/>
  </r>
  <r>
    <x v="0"/>
    <s v="PG&amp;E"/>
    <x v="18"/>
    <d v="2024-12-01T00:00:00"/>
    <n v="9.9999999999999998E-20"/>
    <n v="26.63"/>
    <n v="2.663E-18"/>
    <n v="0.1"/>
    <n v="0.2"/>
    <n v="0.5"/>
    <n v="2.4247364622351199E-2"/>
    <n v="5.3260000000000006E-19"/>
    <n v="29.293000000000003"/>
    <n v="2.9293000000000003E-18"/>
    <n v="16.34"/>
    <n v="1.6339999999999999E-18"/>
    <n v="-1.0290000000000001E-18"/>
    <n v="24.209090909090911"/>
    <n v="2.6630000000000038"/>
    <n v="-1.2104545454545441"/>
    <n v="1.4525454545454597"/>
    <n v="112.67989962663893"/>
    <n v="8.8746972912956655E-3"/>
    <n v="0.48634893342382512"/>
  </r>
  <r>
    <x v="0"/>
    <s v="Maxeon Solar"/>
    <x v="19"/>
    <d v="2024-08-07T00:00:00"/>
    <n v="9.9999999999999998E-20"/>
    <n v="10.92"/>
    <n v="1.092E-18"/>
    <n v="1"/>
    <n v="1.8652"/>
    <n v="0.53613553506326406"/>
    <n v="2.5999747611356639E-2"/>
    <n v="2.0367984000000001E-18"/>
    <n v="21.84"/>
    <n v="2.1840000000000001E-18"/>
    <n v="4.3"/>
    <n v="4.2999999999999997E-19"/>
    <n v="-6.6200000000000002E-19"/>
    <n v="5.8546000428908433"/>
    <n v="10.92"/>
    <n v="-2.5326999785545783"/>
    <n v="8.3873000214454212"/>
    <n v="105.74514505973896"/>
    <n v="9.456698928684306E-3"/>
    <n v="0.45641714879903256"/>
  </r>
  <r>
    <x v="5"/>
    <s v="Japan Yen"/>
    <x v="20"/>
    <d v="2024-10-09T00:00:00"/>
    <n v="9.9999999999999998E-20"/>
    <n v="153.7552"/>
    <n v="1.5375519999999999E-17"/>
    <n v="7.0000000000000007E-2"/>
    <n v="0.19"/>
    <n v="0.36842105263157898"/>
    <n v="1.7866479195416674E-2"/>
    <n v="2.9213487999999999E-18"/>
    <n v="164.51806400000001"/>
    <n v="1.6451806399999999E-17"/>
    <n v="150.6"/>
    <n v="1.5059999999999998E-17"/>
    <n v="-3.1552000000000061E-19"/>
    <n v="137.28142857142859"/>
    <n v="10.762864000000008"/>
    <n v="-8.2368857142857053"/>
    <n v="2.5259782857143023"/>
    <n v="111.60646679547008"/>
    <n v="8.9600542756415637E-3"/>
    <n v="0.48171578310801083"/>
  </r>
  <r>
    <x v="0"/>
    <s v="Canadian Solar"/>
    <x v="21"/>
    <d v="2024-08-07T00:00:00"/>
    <n v="9.9999999999999998E-20"/>
    <n v="11.05"/>
    <n v="1.1050000000000001E-18"/>
    <n v="0.05"/>
    <n v="0.72170000000000001"/>
    <n v="6.9280864625190522E-2"/>
    <n v="3.3597567718374947E-3"/>
    <n v="7.9747850000000009E-19"/>
    <n v="11.602500000000001"/>
    <n v="1.16025E-18"/>
    <n v="10.050000000000001"/>
    <n v="1.005E-18"/>
    <n v="-1.0000000000000005E-19"/>
    <n v="6.6100376861877139"/>
    <n v="0.55250000000000021"/>
    <n v="-2.2199811569061434"/>
    <n v="-1.6674811569061432"/>
    <n v="115.79992623809053"/>
    <n v="8.6355840844315312E-3"/>
    <n v="0.49981559091785349"/>
  </r>
  <r>
    <x v="1"/>
    <s v="ETF5"/>
    <x v="22"/>
    <d v="2024-07-08T00:00:00"/>
    <n v="1"/>
    <n v="51.28"/>
    <n v="51.28"/>
    <n v="4.2999999999999997E-2"/>
    <n v="5.7000000000000002E-2"/>
    <n v="0.7543859649122806"/>
    <n v="3.6583743114424611E-2"/>
    <n v="2.9229600000000002"/>
    <n v="53.485039999999998"/>
    <n v="53.485039999999998"/>
    <n v="51.28"/>
    <n v="51.28"/>
    <n v="0"/>
    <n v="50.57199211045365"/>
    <n v="2.2050399999999968"/>
    <n v="-0.35400394477317576"/>
    <n v="1.851036055226821"/>
    <n v="112.28140902595757"/>
    <n v="8.9061938986606127E-3"/>
    <n v="0.4846289684676709"/>
  </r>
  <r>
    <x v="0"/>
    <s v="Jinko Solar"/>
    <x v="23"/>
    <d v="2024-08-07T00:00:00"/>
    <n v="9.9999999999999998E-20"/>
    <n v="20.82"/>
    <n v="2.0820000000000002E-18"/>
    <n v="0.05"/>
    <n v="0.7389"/>
    <n v="6.7668155366084726E-2"/>
    <n v="3.2815488729667345E-3"/>
    <n v="1.5383898E-18"/>
    <n v="21.861000000000001"/>
    <n v="2.1860999999999999E-18"/>
    <n v="22.53"/>
    <n v="2.2529999999999999E-18"/>
    <n v="1.7099999999999971E-19"/>
    <n v="12.327550476641601"/>
    <n v="1.0410000000000004"/>
    <n v="-4.2462247616791995"/>
    <n v="-3.2052247616791991"/>
    <n v="117.33766984286359"/>
    <n v="8.5224122938454567E-3"/>
    <n v="0.50645279919136776"/>
  </r>
  <r>
    <x v="4"/>
    <s v="Yum China Holding"/>
    <x v="24"/>
    <d v="2024-10-09T00:00:00"/>
    <n v="9.9999999999999998E-20"/>
    <n v="47.42"/>
    <n v="4.7419999999999999E-18"/>
    <n v="7.0000000000000007E-2"/>
    <n v="0.4"/>
    <n v="0.17500000000000002"/>
    <n v="8.4865776178229199E-3"/>
    <n v="1.8968000000000002E-18"/>
    <n v="50.739400000000003"/>
    <n v="5.0739400000000001E-18"/>
    <n v="49.41"/>
    <n v="4.9409999999999994E-18"/>
    <n v="1.9899999999999948E-19"/>
    <n v="35.654135338345867"/>
    <n v="3.3194000000000017"/>
    <n v="-5.8829323308270673"/>
    <n v="-2.5635323308270657"/>
    <n v="116.69597741201144"/>
    <n v="8.5692756697976005E-3"/>
    <n v="0.50368312660233305"/>
  </r>
  <r>
    <x v="5"/>
    <s v="Mexican Peso"/>
    <x v="25"/>
    <d v="2024-10-15T00:00:00"/>
    <n v="9.9999999999999998E-20"/>
    <n v="17"/>
    <n v="1.7E-18"/>
    <n v="0.1"/>
    <n v="0.15"/>
    <n v="0.66666666666666674"/>
    <n v="3.2329819496468272E-2"/>
    <n v="2.5499999999999999E-19"/>
    <n v="21.2"/>
    <n v="2.1199999999999999E-18"/>
    <n v="20.530999999999999"/>
    <n v="2.0530999999999999E-18"/>
    <n v="3.5309999999999988E-19"/>
    <n v="16.190476190476193"/>
    <n v="4.1999999999999993"/>
    <n v="-0.40476190476190332"/>
    <n v="3.795238095238096"/>
    <n v="110.3372069859463"/>
    <n v="9.063125914791104E-3"/>
    <n v="0.47623740447397733"/>
  </r>
  <r>
    <x v="0"/>
    <s v="Duke Energy"/>
    <x v="26"/>
    <d v="2024-08-07T00:00:00"/>
    <n v="9.9999999999999998E-20"/>
    <n v="113.58"/>
    <n v="1.1357999999999999E-17"/>
    <n v="6.664905793273479E-2"/>
    <n v="0.16439999999999999"/>
    <n v="0.40540789496797319"/>
    <n v="1.9660146100136607E-2"/>
    <n v="1.8672551999999998E-18"/>
    <n v="121.15000000000002"/>
    <n v="1.2115000000000002E-17"/>
    <n v="117.49"/>
    <n v="1.1749E-17"/>
    <n v="3.9100000000000046E-19"/>
    <n v="103.46609203186667"/>
    <n v="7.5700000000000216"/>
    <n v="-5.0569539840666664"/>
    <n v="2.5130460159333552"/>
    <n v="111.61939906525103"/>
    <n v="8.9590161600441431E-3"/>
    <n v="0.48177160136517611"/>
  </r>
  <r>
    <x v="0"/>
    <s v="SolarWinds"/>
    <x v="27"/>
    <d v="2024-08-07T00:00:00"/>
    <n v="9.9999999999999998E-20"/>
    <n v="13.04"/>
    <n v="1.304E-18"/>
    <n v="5.2147239263803824E-2"/>
    <n v="0.30159999999999998"/>
    <n v="0.17290198694895167"/>
    <n v="8.3848350429604791E-3"/>
    <n v="3.9328639999999997E-19"/>
    <n v="13.72"/>
    <n v="1.3720000000000001E-18"/>
    <n v="18.309999999999999"/>
    <n v="1.8309999999999997E-18"/>
    <n v="5.2699999999999978E-19"/>
    <n v="10.436569040286594"/>
    <n v="0.68000000000000149"/>
    <n v="-1.3017154798567026"/>
    <n v="-0.62171547985670106"/>
    <n v="114.75416056104109"/>
    <n v="8.7142809908671744E-3"/>
    <n v="0.49530185756053341"/>
  </r>
  <r>
    <x v="2"/>
    <s v="ASML"/>
    <x v="28"/>
    <d v="2024-07-08T00:00:00"/>
    <n v="9.9999999999999998E-20"/>
    <n v="700.32"/>
    <n v="7.0031999999999998E-17"/>
    <n v="0.1"/>
    <n v="0.45340000000000003"/>
    <n v="0.22055580061755625"/>
    <n v="1.0695793834296956E-2"/>
    <n v="3.1752508800000004E-17"/>
    <n v="770.35200000000009"/>
    <n v="7.7035200000000004E-17"/>
    <n v="709.08"/>
    <n v="7.0908000000000005E-17"/>
    <n v="8.7600000000000674E-19"/>
    <n v="517.45234224915032"/>
    <n v="70.032000000000039"/>
    <n v="-91.433828875424865"/>
    <n v="-21.401828875424826"/>
    <n v="135.53427395660921"/>
    <n v="7.3782075249847591E-3"/>
    <n v="0.58499297389847715"/>
  </r>
  <r>
    <x v="7"/>
    <s v="Aptive Autoparts"/>
    <x v="29"/>
    <d v="2024-09-27T00:00:00"/>
    <n v="9.9999999999999998E-20"/>
    <n v="56"/>
    <n v="5.5999999999999995E-18"/>
    <n v="7.0000000000000007E-2"/>
    <n v="0.19"/>
    <n v="0.36842105263157898"/>
    <n v="1.7866479195416674E-2"/>
    <n v="1.0639999999999999E-18"/>
    <n v="59.92"/>
    <n v="5.9920000000000002E-18"/>
    <n v="65.12"/>
    <n v="6.5120000000000005E-18"/>
    <n v="9.12000000000001E-19"/>
    <n v="50.000000000000007"/>
    <n v="3.9200000000000017"/>
    <n v="-2.9999999999999964"/>
    <n v="0.92000000000000526"/>
    <n v="113.21244508118438"/>
    <n v="8.832951176727102E-3"/>
    <n v="0.48864750588152245"/>
  </r>
  <r>
    <x v="3"/>
    <s v="Walmart"/>
    <x v="30"/>
    <d v="2024-08-01T00:00:00"/>
    <n v="9.9999999999999998E-20"/>
    <n v="86.6"/>
    <n v="8.6599999999999986E-18"/>
    <n v="7.0000000000000007E-2"/>
    <n v="0.17249999999999999"/>
    <n v="0.40579710144927544"/>
    <n v="1.9679020563067643E-2"/>
    <n v="1.4938499999999996E-18"/>
    <n v="92.662000000000006"/>
    <n v="9.2662000000000008E-18"/>
    <n v="98.61"/>
    <n v="9.8610000000000001E-18"/>
    <n v="1.2010000000000015E-18"/>
    <n v="78.548752834467123"/>
    <n v="6.0620000000000118"/>
    <n v="-4.0256235827664355"/>
    <n v="2.0363764172335763"/>
    <n v="112.0960686639508"/>
    <n v="8.9209194570227784E-3"/>
    <n v="0.48382900247834137"/>
  </r>
  <r>
    <x v="2"/>
    <s v="Palantir"/>
    <x v="31"/>
    <d v="2024-07-08T00:00:00"/>
    <n v="9.9999999999999998E-20"/>
    <n v="64.349999999999994"/>
    <n v="6.4349999999999993E-18"/>
    <n v="0.15"/>
    <n v="0.67300000000000004"/>
    <n v="0.22288261515601782"/>
    <n v="1.0808632075342287E-2"/>
    <n v="4.3307549999999997E-18"/>
    <n v="74.002499999999984"/>
    <n v="7.4002499999999988E-18"/>
    <n v="84.92"/>
    <n v="8.4920000000000007E-18"/>
    <n v="2.0570000000000015E-18"/>
    <n v="42.252133946158892"/>
    <n v="9.6524999999999892"/>
    <n v="-11.048933026920551"/>
    <n v="-1.3964330269205618"/>
    <n v="115.52887810810495"/>
    <n v="8.6558444639638962E-3"/>
    <n v="0.49864569309790685"/>
  </r>
  <r>
    <x v="8"/>
    <s v="3M"/>
    <x v="32"/>
    <d v="2024-12-01T00:00:00"/>
    <n v="9.9999999999999998E-20"/>
    <n v="133.53"/>
    <n v="1.3353E-17"/>
    <n v="7.0000000000000007E-2"/>
    <n v="0.2"/>
    <n v="0.35000000000000003"/>
    <n v="1.697315523564584E-2"/>
    <n v="2.6706000000000003E-18"/>
    <n v="142.87710000000001"/>
    <n v="1.428771E-17"/>
    <n v="155.12"/>
    <n v="1.5511999999999999E-17"/>
    <n v="2.1589999999999991E-18"/>
    <n v="118.16814159292036"/>
    <n v="9.3471000000000117"/>
    <n v="-7.6809292035398187"/>
    <n v="1.6661707964601931"/>
    <n v="112.46627428472419"/>
    <n v="8.8915544358512261E-3"/>
    <n v="0.48542688381660337"/>
  </r>
  <r>
    <x v="9"/>
    <s v="Visa"/>
    <x v="33"/>
    <d v="2025-01-28T00:00:00"/>
    <n v="9.9999999999999998E-20"/>
    <n v="336.69"/>
    <n v="3.3669000000000002E-17"/>
    <n v="0.25"/>
    <n v="0.26"/>
    <n v="0.96153846153846145"/>
    <n v="4.6629547350675378E-2"/>
    <n v="8.7539400000000014E-18"/>
    <n v="420.86250000000001"/>
    <n v="4.2086250000000001E-17"/>
    <n v="362.71"/>
    <n v="3.6270999999999994E-17"/>
    <n v="2.6019999999999928E-18"/>
    <n v="333.35643564356434"/>
    <n v="84.172500000000014"/>
    <n v="-1.6667821782178294"/>
    <n v="82.505717821782184"/>
    <n v="31.626727259402202"/>
    <n v="3.1618826437462423E-2"/>
    <n v="0.13650726634708565"/>
  </r>
  <r>
    <x v="4"/>
    <s v="LVMH"/>
    <x v="34"/>
    <d v="2024-09-27T00:00:00"/>
    <n v="9.9999999999999998E-20"/>
    <n v="668.82"/>
    <n v="6.6881999999999999E-17"/>
    <n v="0.05"/>
    <n v="0.28000000000000003"/>
    <n v="0.17857142857142858"/>
    <n v="8.6597730794111434E-3"/>
    <n v="1.872696E-17"/>
    <n v="702.26100000000008"/>
    <n v="7.0226100000000009E-17"/>
    <n v="694.9"/>
    <n v="6.9489999999999996E-17"/>
    <n v="2.6079999999999972E-18"/>
    <n v="543.7560975609756"/>
    <n v="33.441000000000031"/>
    <n v="-62.531951219512223"/>
    <n v="-29.090951219512192"/>
    <n v="143.22339630069658"/>
    <n v="6.9820994741704541E-3"/>
    <n v="0.61818076039281389"/>
  </r>
  <r>
    <x v="2"/>
    <s v="Apple2"/>
    <x v="35"/>
    <d v="2024-07-09T00:00:00"/>
    <n v="1E-4"/>
    <n v="227.38"/>
    <n v="2.2738000000000001E-2"/>
    <n v="0.15"/>
    <n v="0.2271"/>
    <n v="0.66050198150594452"/>
    <n v="3.2030864758720211E-2"/>
    <n v="5.1637998000000004E-3"/>
    <n v="261.48699999999997"/>
    <n v="2.6148699999999997E-2"/>
    <n v="241.84"/>
    <n v="2.4184000000000001E-2"/>
    <n v="1.4459999999999994E-3"/>
    <n v="211.10389007520189"/>
    <n v="34.106999999999971"/>
    <n v="-8.1380549623990532"/>
    <n v="25.968945037600918"/>
    <n v="88.163500043583468"/>
    <n v="1.1342562392664218E-2"/>
    <n v="0.38053126027963941"/>
  </r>
  <r>
    <x v="4"/>
    <s v="Yum! Brands"/>
    <x v="36"/>
    <d v="2025-02-07T00:00:00"/>
    <n v="2.9999999999999997E-4"/>
    <n v="143.18"/>
    <n v="4.2953999999999999E-2"/>
    <n v="7.0000000000000007E-2"/>
    <n v="0.1623"/>
    <n v="0.43130006161429457"/>
    <n v="2.0915779711208678E-2"/>
    <n v="6.9714341999999995E-3"/>
    <n v="153.20260000000002"/>
    <n v="4.596078E-2"/>
    <n v="156.41"/>
    <n v="4.6922999999999992E-2"/>
    <n v="3.9689999999999934E-3"/>
    <n v="131.08120479721688"/>
    <n v="10.022600000000011"/>
    <n v="-6.0493976013915614"/>
    <n v="3.9732023986084499"/>
    <n v="110.15924268257594"/>
    <n v="9.0777675631040951E-3"/>
    <n v="0.47546927502570413"/>
  </r>
  <r>
    <x v="6"/>
    <s v="Agios"/>
    <x v="37"/>
    <d v="2024-12-04T00:00:00"/>
    <n v="0.28749999999999998"/>
    <n v="34.78"/>
    <n v="9.99925"/>
    <n v="0.2"/>
    <n v="0.2"/>
    <n v="1"/>
    <n v="4.8494729244702398E-2"/>
    <n v="1.9998500000000001"/>
    <n v="41.735999999999997"/>
    <n v="11.999099999999999"/>
    <n v="35.54"/>
    <n v="10.217749999999999"/>
    <n v="0.21849999999999881"/>
    <n v="34.78"/>
    <n v="6.955999999999996"/>
    <n v="0"/>
    <n v="6.955999999999996"/>
    <n v="107.1764450811844"/>
    <n v="9.3304083676456744E-3"/>
    <n v="0.46259492532480184"/>
  </r>
  <r>
    <x v="1"/>
    <s v="Emergin Markets"/>
    <x v="38"/>
    <d v="2025-01-31T00:00:00"/>
    <n v="2"/>
    <n v="44.37"/>
    <n v="88.74"/>
    <n v="8.3000000000000004E-2"/>
    <n v="0.16800000000000001"/>
    <n v="0.49404761904761907"/>
    <n v="2.3958705519704162E-2"/>
    <n v="14.90832"/>
    <n v="48.052709999999998"/>
    <n v="96.105419999999995"/>
    <n v="44.73"/>
    <n v="89.46"/>
    <n v="0.71999999999999886"/>
    <n v="40.894009216589858"/>
    <n v="3.6827100000000002"/>
    <n v="-1.7379953917050699"/>
    <n v="1.9447146082949303"/>
    <n v="112.18773047288946"/>
    <n v="8.9136307133127497E-3"/>
    <n v="0.4842246331379419"/>
  </r>
  <r>
    <x v="3"/>
    <s v="Albertson Companies"/>
    <x v="39"/>
    <d v="2024-12-04T00:00:00"/>
    <n v="2"/>
    <n v="20.5"/>
    <n v="41"/>
    <n v="0.2"/>
    <n v="0.2"/>
    <n v="1"/>
    <n v="4.8494729244702398E-2"/>
    <n v="8.2000000000000011"/>
    <n v="24.599999999999998"/>
    <n v="49.199999999999996"/>
    <n v="21.06"/>
    <n v="42.12"/>
    <n v="1.1199999999999974"/>
    <n v="20.5"/>
    <n v="4.0999999999999979"/>
    <n v="0"/>
    <n v="4.0999999999999979"/>
    <n v="110.03244508118439"/>
    <n v="9.0882284699042876E-3"/>
    <n v="0.47492199127410506"/>
  </r>
  <r>
    <x v="3"/>
    <s v="Kimberly Clark"/>
    <x v="40"/>
    <d v="2024-09-09T00:00:00"/>
    <n v="0.51380000000000003"/>
    <n v="138.53"/>
    <n v="71.176714000000004"/>
    <n v="7.0000000000000007E-2"/>
    <n v="0.18340000000000001"/>
    <n v="0.38167938931297712"/>
    <n v="1.8509438643016185E-2"/>
    <n v="13.053809347600001"/>
    <n v="148.22710000000001"/>
    <n v="76.159083980000005"/>
    <n v="141.62"/>
    <n v="72.764356000000006"/>
    <n v="1.5876420000000024"/>
    <n v="124.42069337165439"/>
    <n v="9.697100000000006"/>
    <n v="-7.0546533141728034"/>
    <n v="2.6424466858272027"/>
    <n v="111.48999839535719"/>
    <n v="8.969414426340536E-3"/>
    <n v="0.48121308225044729"/>
  </r>
  <r>
    <x v="0"/>
    <s v="Excelon"/>
    <x v="41"/>
    <d v="2024-12-01T00:00:00"/>
    <n v="0.75290000000000001"/>
    <n v="41.16"/>
    <n v="30.989363999999998"/>
    <n v="0.1"/>
    <n v="0.2"/>
    <n v="0.5"/>
    <n v="2.4247364622351199E-2"/>
    <n v="6.1978727999999998"/>
    <n v="45.276000000000003"/>
    <n v="34.088300400000001"/>
    <n v="44.17"/>
    <n v="33.255593000000005"/>
    <n v="2.2662290000000063"/>
    <n v="37.418181818181822"/>
    <n v="4.1160000000000068"/>
    <n v="-1.8709090909090875"/>
    <n v="2.2450909090909192"/>
    <n v="111.88735417209347"/>
    <n v="8.9375605259366855E-3"/>
    <n v="0.48292814907998677"/>
  </r>
  <r>
    <x v="9"/>
    <s v="ING Group NV"/>
    <x v="42"/>
    <d v="2024-11-27T00:00:00"/>
    <n v="3.1236000000000002"/>
    <n v="16"/>
    <n v="49.977600000000002"/>
    <n v="0.35"/>
    <n v="0.39532299999999998"/>
    <n v="0.88535197800279775"/>
    <n v="4.2934904459507393E-2"/>
    <n v="19.757294764800001"/>
    <n v="21.6"/>
    <n v="67.469760000000008"/>
    <n v="17.71"/>
    <n v="55.318956000000007"/>
    <n v="5.3413560000000047"/>
    <n v="15.306273754619388"/>
    <n v="5.6000000000000014"/>
    <n v="-0.34686312269030584"/>
    <n v="5.2531368773096956"/>
    <n v="108.87930820387469"/>
    <n v="9.1844815741069612E-3"/>
    <n v="0.46994482238924146"/>
  </r>
  <r>
    <x v="3"/>
    <s v="Altaria"/>
    <x v="43"/>
    <d v="2024-09-18T00:00:00"/>
    <n v="1.7345999999999999"/>
    <n v="51.88"/>
    <n v="89.991048000000006"/>
    <n v="0.18430000000000002"/>
    <n v="0.19980000000000001"/>
    <n v="0.92242242242242245"/>
    <n v="4.4732625624617883E-2"/>
    <n v="17.980211390400001"/>
    <n v="61.441483999999996"/>
    <n v="106.57639814639998"/>
    <n v="55.85"/>
    <n v="96.877409999999998"/>
    <n v="6.8863619999999912"/>
    <n v="51.088133924175295"/>
    <n v="9.561483999999993"/>
    <n v="-0.39593303791235357"/>
    <n v="9.1655509620876394"/>
    <n v="104.96689411909675"/>
    <n v="9.526813271862531E-3"/>
    <n v="0.45305806242984359"/>
  </r>
  <r>
    <x v="9"/>
    <s v="Master Card"/>
    <x v="44"/>
    <d v="2024-08-07T00:00:00"/>
    <n v="0.12939999999999999"/>
    <n v="501.56"/>
    <n v="64.901863999999989"/>
    <n v="0.25"/>
    <n v="0.29699999999999999"/>
    <n v="0.84175084175084181"/>
    <n v="4.0820479162207407E-2"/>
    <n v="19.275853607999995"/>
    <n v="626.95000000000005"/>
    <n v="81.127330000000001"/>
    <n v="573.79"/>
    <n v="74.248425999999995"/>
    <n v="9.3465620000000058"/>
    <n v="479.04489016236869"/>
    <n v="125.39000000000004"/>
    <n v="-11.257554918815657"/>
    <n v="114.13244508118439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53820F-3516-4CF2-993A-BA724C9372C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14" firstHeaderRow="0" firstDataRow="1" firstDataCol="1"/>
  <pivotFields count="30">
    <pivotField axis="axisRow" showAll="0" sortType="descending">
      <items count="11">
        <item sd="0" x="4"/>
        <item sd="0" x="7"/>
        <item sd="0" x="9"/>
        <item x="0"/>
        <item sd="0" x="5"/>
        <item sd="0" x="6"/>
        <item sd="0" x="8"/>
        <item sd="0" x="2"/>
        <item sd="0" x="3"/>
        <item sd="0" x="1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measureFilter="1" sortType="ascending">
      <items count="47">
        <item sd="0" x="35"/>
        <item sd="0" x="39"/>
        <item sd="0" x="37"/>
        <item sd="0" x="17"/>
        <item sd="0" x="6"/>
        <item sd="0" x="29"/>
        <item sd="0" x="28"/>
        <item sd="0" x="10"/>
        <item sd="0" x="22"/>
        <item sd="0" x="12"/>
        <item sd="0" x="21"/>
        <item sd="0" x="8"/>
        <item sd="0" x="26"/>
        <item sd="0" x="41"/>
        <item sd="0" x="4"/>
        <item sd="0" x="13"/>
        <item sd="0" x="9"/>
        <item sd="0" x="16"/>
        <item sd="0" x="42"/>
        <item sd="0" x="11"/>
        <item sd="0" x="23"/>
        <item sd="0" x="40"/>
        <item sd="0" x="44"/>
        <item sd="0" x="19"/>
        <item sd="0" x="34"/>
        <item sd="0" x="32"/>
        <item sd="0" x="43"/>
        <item sd="0" x="2"/>
        <item sd="0" x="5"/>
        <item sd="0" x="15"/>
        <item sd="0" x="18"/>
        <item sd="0" x="7"/>
        <item sd="0" x="31"/>
        <item sd="0" x="14"/>
        <item sd="0" x="27"/>
        <item sd="0" x="3"/>
        <item sd="0" x="20"/>
        <item sd="0" x="25"/>
        <item sd="0" x="33"/>
        <item sd="0" x="1"/>
        <item sd="0" x="30"/>
        <item sd="0" x="0"/>
        <item sd="0" x="36"/>
        <item sd="0" x="24"/>
        <item sd="0" x="38"/>
        <item sd="0" m="1" x="45"/>
        <item t="default" sd="0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9" showAll="0"/>
    <pivotField numFmtId="44"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axis="axisRow" showAll="0" sortType="descending">
      <items count="28">
        <item sd="0" x="21"/>
        <item sd="0" x="4"/>
        <item sd="0" x="15"/>
        <item sd="0" x="14"/>
        <item sd="0" x="8"/>
        <item n="Top Jodidos" x="24"/>
        <item sd="0" x="12"/>
        <item sd="0" x="0"/>
        <item sd="0" x="3"/>
        <item n="Top Buenos" sd="0" x="25"/>
        <item sd="0" x="9"/>
        <item sd="0" x="6"/>
        <item sd="0" x="20"/>
        <item sd="0" x="18"/>
        <item sd="0" x="2"/>
        <item sd="0" x="5"/>
        <item sd="0" x="17"/>
        <item sd="0" x="1"/>
        <item sd="0" x="13"/>
        <item sd="0" x="7"/>
        <item sd="0" x="11"/>
        <item sd="0" x="19"/>
        <item sd="0" x="16"/>
        <item sd="0" x="22"/>
        <item sd="0" x="10"/>
        <item sd="0" x="23"/>
        <item n="Others" sd="0" x="26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3">
    <field x="29"/>
    <field x="0"/>
    <field x="2"/>
  </rowFields>
  <rowItems count="11">
    <i>
      <x v="9"/>
    </i>
    <i>
      <x v="26"/>
    </i>
    <i>
      <x v="5"/>
    </i>
    <i r="1">
      <x v="3"/>
    </i>
    <i r="2">
      <x v="14"/>
    </i>
    <i r="2">
      <x v="41"/>
    </i>
    <i r="2">
      <x v="28"/>
    </i>
    <i r="1">
      <x v="7"/>
    </i>
    <i r="1">
      <x v="9"/>
    </i>
    <i r="1">
      <x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Volatility " fld="28" baseField="0" baseItem="8" numFmtId="10"/>
    <dataField name="Target Return %" fld="24" baseField="0" baseItem="0" numFmtId="10"/>
    <dataField name="Target P&amp;L" fld="25" baseField="0" baseItem="0" numFmtId="44"/>
    <dataField name="Actual Return %" fld="27" baseField="0" baseItem="8" numFmtId="10"/>
    <dataField name="Actual P&amp;L " fld="26" baseField="0" baseItem="0" numFmtId="44"/>
  </dataFields>
  <formats count="8">
    <format dxfId="7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9">
      <pivotArea outline="0" fieldPosition="0">
        <references count="1">
          <reference field="4294967294" count="1">
            <x v="3"/>
          </reference>
        </references>
      </pivotArea>
    </format>
    <format dxfId="68">
      <pivotArea outline="0" fieldPosition="0">
        <references count="1">
          <reference field="4294967294" count="1">
            <x v="5"/>
          </reference>
        </references>
      </pivotArea>
    </format>
    <format dxfId="67">
      <pivotArea outline="0" fieldPosition="0">
        <references count="1">
          <reference field="4294967294" count="1">
            <x v="2"/>
          </reference>
        </references>
      </pivotArea>
    </format>
    <format dxfId="66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65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64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valueGreaterThan" evalOrder="-1" id="1" iMeasureFld="0">
      <autoFilter ref="A1">
        <filterColumn colId="0">
          <customFilters>
            <customFilter operator="greaterThan" val="1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46">
    <v t="e">#NULL!</v>
    <v t="e">#NULL!</v>
    <v t="r">2</v>
    <v t="e">#NULL!</v>
    <v t="e">#NULL!</v>
    <v t="e">#NULL!</v>
    <v t="r">3</v>
    <v t="r">4</v>
    <v t="r">5</v>
    <v t="r">6</v>
    <v t="e">#NULL!</v>
    <v t="e">#NULL!</v>
    <v t="e">#NULL!</v>
    <v t="r">7</v>
    <v t="r">8</v>
    <v t="r">9</v>
    <v t="r">10</v>
    <v t="r">11</v>
    <v t="r">12</v>
    <v t="r">13</v>
    <v t="r">14</v>
    <v t="r">15</v>
    <v t="e">#NULL!</v>
    <v t="r">16</v>
    <v t="r">17</v>
    <v t="r">18</v>
    <v t="r">19</v>
    <v t="r">20</v>
    <v t="r">21</v>
    <v t="r">22</v>
    <v t="r">23</v>
    <v t="r">24</v>
    <v t="r">25</v>
    <v t="r">26</v>
    <v t="r">27</v>
    <v t="r">28</v>
    <v t="e">#NULL!</v>
    <v t="r">29</v>
    <v t="r">30</v>
    <v t="e">#NULL!</v>
    <v t="e">#NULL!</v>
    <v t="e">#NULL!</v>
    <v t="e">#NULL!</v>
    <v t="r">31</v>
    <v t="e">#NULL!</v>
    <v t="i">2</v>
  </a>
</arrayData>
</file>

<file path=xl/richData/rdrichvalue.xml><?xml version="1.0" encoding="utf-8"?>
<rvData xmlns="http://schemas.microsoft.com/office/spreadsheetml/2017/richdata" count="34">
  <rv s="0">
    <v>9</v>
    <v>1</v>
  </rv>
  <rv s="0">
    <v>2</v>
    <v>11</v>
  </rv>
  <rv s="1">
    <fb>396.99</fb>
    <v>1</v>
  </rv>
  <rv s="1">
    <fb>20.7</fb>
    <v>1</v>
  </rv>
  <rv s="1">
    <fb>153.47</fb>
    <v>1</v>
  </rv>
  <rv s="1">
    <fb>36.090000000000003</fb>
    <v>1</v>
  </rv>
  <rv s="1">
    <fb>170.28</fb>
    <v>1</v>
  </rv>
  <rv s="1">
    <fb>0.71099999999999997</fb>
    <v>1</v>
  </rv>
  <rv s="1">
    <fb>157.16999999999999</fb>
    <v>1</v>
  </rv>
  <rv s="1">
    <fb>124.92</fb>
    <v>1</v>
  </rv>
  <rv s="1">
    <fb>306.3</fb>
    <v>1</v>
  </rv>
  <rv s="1">
    <fb>158.07</fb>
    <v>1</v>
  </rv>
  <rv s="1">
    <fb>16.34</fb>
    <v>1</v>
  </rv>
  <rv s="1">
    <fb>4.3</fb>
    <v>1</v>
  </rv>
  <rv s="1">
    <fb>150.6</fb>
    <v>2</v>
  </rv>
  <rv s="1">
    <fb>10.050000000000001</fb>
    <v>1</v>
  </rv>
  <rv s="1">
    <fb>22.53</fb>
    <v>1</v>
  </rv>
  <rv s="1">
    <fb>49.41</fb>
    <v>1</v>
  </rv>
  <rv s="1">
    <fb>20.530999999999999</fb>
    <v>3</v>
  </rv>
  <rv s="1">
    <fb>117.49</fb>
    <v>1</v>
  </rv>
  <rv s="1">
    <fb>18.309999999999999</fb>
    <v>1</v>
  </rv>
  <rv s="1">
    <fb>709.08</fb>
    <v>1</v>
  </rv>
  <rv s="1">
    <fb>65.12</fb>
    <v>1</v>
  </rv>
  <rv s="1">
    <fb>98.61</fb>
    <v>1</v>
  </rv>
  <rv s="1">
    <fb>84.92</fb>
    <v>1</v>
  </rv>
  <rv s="1">
    <fb>155.12</fb>
    <v>1</v>
  </rv>
  <rv s="1">
    <fb>362.71</fb>
    <v>1</v>
  </rv>
  <rv s="1">
    <fb>694.9</fb>
    <v>4</v>
  </rv>
  <rv s="1">
    <fb>241.84</fb>
    <v>1</v>
  </rv>
  <rv s="1">
    <fb>35.54</fb>
    <v>1</v>
  </rv>
  <rv s="1">
    <fb>44.73</fb>
    <v>1</v>
  </rv>
  <rv s="1">
    <fb>55.85</fb>
    <v>1</v>
  </rv>
  <rv s="2">
    <v>0</v>
  </rv>
  <rv s="3">
    <v>{8231C5FD-6A38-425A-8202-1B139D24CA84}</v>
    <v>0</v>
    <v>0</v>
    <v>32</v>
  </rv>
</rvData>
</file>

<file path=xl/richData/rdrichvaluestructure.xml><?xml version="1.0" encoding="utf-8"?>
<rvStructures xmlns="http://schemas.microsoft.com/office/spreadsheetml/2017/richdata" count="4">
  <s t="_error">
    <k n="errorType" t="i"/>
    <k n="subType" t="i"/>
  </s>
  <s t="_formattednumber">
    <k n="_Format" t="spb"/>
  </s>
  <s t="_array">
    <k n="array" t="a"/>
  </s>
  <s t="_datasourcecontainer">
    <k n="%XLUID" t="s"/>
    <k n="_CRID" t="i"/>
    <k n="_Display" t="spb"/>
    <k n="Close Pric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Close Price</v>
      <v t="s">_CRID</v>
      <v t="s">%XLUID</v>
      <v t="s">_Display</v>
    </a>
  </spbArrays>
  <spbData count="5">
    <spb s="0">
      <v>0</v>
    </spb>
    <spb s="1">
      <v>1</v>
    </spb>
    <spb s="1">
      <v>2</v>
    </spb>
    <spb s="1">
      <v>3</v>
    </spb>
    <spb s="1">
      <v>4</v>
    </spb>
  </spbData>
</supportingPropertyBags>
</file>

<file path=xl/richData/rdsupportingpropertybagstructure.xml><?xml version="1.0" encoding="utf-8"?>
<spbStructures xmlns="http://schemas.microsoft.com/office/spreadsheetml/2017/richdata2" count="2">
  <s>
    <k n="^Order" t="spba"/>
  </s>
  <s>
    <k n="_Self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0" formatCode="General"/>
    </x:dxf>
  </dxfs>
  <richProperties>
    <rPr n="NumberFormat" t="s"/>
  </richProperties>
  <richStyles>
    <rSty dxfid="0">
      <rpv i="0">_([$$-en-US]* #,##0.00_);_([$$-en-US]* (#,##0.00);_([$$-en-US]* "-"??_);_(@_)</rpv>
    </rSty>
    <rSty dxfid="0">
      <rpv i="0">_-[$¥-ja-JP]* #,##0.00_-;-[$¥-ja-JP]* #,##0.00_-;_-[$¥-ja-JP]* "-"??_-;_-@_-</rpv>
    </rSty>
    <rSty dxfid="0">
      <rpv i="0">_-[$$-es-MX]* #,##0.00_-;-[$$-es-MX]* #,##0.00_-;_-[$$-es-MX]* "-"??_-;_-@_-</rpv>
    </rSty>
    <rSty dxfid="0">
      <rpv i="0">_([$€-x-euro2] * #,##0.00_);_([$€-x-euro2] * (#,##0.00);_([$€-x-euro2] * "-"??_);_(@_)</rpv>
    </rSty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1"/>
  <sheetViews>
    <sheetView workbookViewId="0">
      <selection activeCell="L29" sqref="L29"/>
    </sheetView>
  </sheetViews>
  <sheetFormatPr defaultRowHeight="15" x14ac:dyDescent="0.25"/>
  <cols>
    <col min="1" max="1" width="14.28515625" bestFit="1" customWidth="1"/>
    <col min="2" max="2" width="20.28515625" bestFit="1" customWidth="1"/>
    <col min="3" max="3" width="11" bestFit="1" customWidth="1"/>
    <col min="4" max="4" width="30.42578125" style="8" customWidth="1"/>
    <col min="5" max="5" width="10.5703125" style="2" bestFit="1" customWidth="1"/>
    <col min="6" max="6" width="10.5703125" style="1" bestFit="1" customWidth="1"/>
    <col min="7" max="7" width="11.5703125" style="1" bestFit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2.7109375" style="10" customWidth="1"/>
    <col min="13" max="13" width="11.42578125" bestFit="1" customWidth="1"/>
    <col min="14" max="14" width="14.28515625" bestFit="1" customWidth="1"/>
    <col min="15" max="15" width="15.28515625" bestFit="1" customWidth="1"/>
    <col min="16" max="16" width="14.28515625" bestFit="1" customWidth="1"/>
    <col min="17" max="17" width="15" bestFit="1" customWidth="1"/>
    <col min="18" max="18" width="14.28515625" bestFit="1" customWidth="1"/>
    <col min="19" max="19" width="10.5703125" bestFit="1" customWidth="1"/>
    <col min="20" max="20" width="13.28515625" bestFit="1" customWidth="1"/>
    <col min="21" max="21" width="12.42578125" bestFit="1" customWidth="1"/>
    <col min="22" max="22" width="14.7109375" bestFit="1" customWidth="1"/>
    <col min="23" max="23" width="12.85546875" bestFit="1" customWidth="1"/>
    <col min="24" max="24" width="15.85546875" bestFit="1" customWidth="1"/>
  </cols>
  <sheetData>
    <row r="1" spans="1:24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142</v>
      </c>
      <c r="M1" s="16" t="s">
        <v>64</v>
      </c>
      <c r="N1" s="16" t="s">
        <v>110</v>
      </c>
      <c r="O1" s="16" t="s">
        <v>136</v>
      </c>
      <c r="P1" s="16" t="s">
        <v>137</v>
      </c>
      <c r="Q1" s="16" t="s">
        <v>138</v>
      </c>
      <c r="R1" s="16" t="s">
        <v>65</v>
      </c>
      <c r="S1" s="16" t="s">
        <v>66</v>
      </c>
      <c r="T1" s="16" t="s">
        <v>67</v>
      </c>
      <c r="U1" s="16" t="s">
        <v>68</v>
      </c>
      <c r="V1" s="16" t="s">
        <v>69</v>
      </c>
      <c r="W1" s="16" t="s">
        <v>81</v>
      </c>
      <c r="X1" s="16" t="s">
        <v>70</v>
      </c>
    </row>
    <row r="2" spans="1:24" x14ac:dyDescent="0.25">
      <c r="A2" t="s">
        <v>40</v>
      </c>
      <c r="B2" s="7" t="s">
        <v>103</v>
      </c>
      <c r="C2" t="s">
        <v>103</v>
      </c>
      <c r="D2" s="8">
        <v>45627</v>
      </c>
      <c r="E2" s="2">
        <v>1.5004999999999999</v>
      </c>
      <c r="F2" s="1">
        <v>40</v>
      </c>
      <c r="G2" s="1">
        <f t="shared" ref="G2:G46" si="0">E2*F2</f>
        <v>60.019999999999996</v>
      </c>
      <c r="H2" s="13">
        <v>0.1</v>
      </c>
      <c r="I2" s="11">
        <v>0.2</v>
      </c>
      <c r="J2" s="9">
        <f t="shared" ref="J2:J46" si="1">IFERROR(H2/I2,"")</f>
        <v>0.5</v>
      </c>
      <c r="K2" s="9">
        <f t="shared" ref="K2:K46" si="2">IFERROR(J2/SUBTOTAL(9,$J$2:$J$1048576),"")</f>
        <v>2.4247364622351199E-2</v>
      </c>
      <c r="L2" s="9">
        <f t="shared" ref="L2:L46" si="3">I2*G2</f>
        <v>12.004</v>
      </c>
      <c r="M2" s="12">
        <f t="shared" ref="M2:M7" si="4">F2/(1-(F2*(1+H2)-F2)/(F2*(1+H2)))</f>
        <v>44</v>
      </c>
      <c r="N2" s="12">
        <f t="shared" ref="N2:N46" si="5">M2*E2</f>
        <v>66.021999999999991</v>
      </c>
      <c r="O2" s="12">
        <v>34.97</v>
      </c>
      <c r="P2" s="12">
        <f t="shared" ref="P2:P46" si="6">IFERROR(O2*E2,G2)</f>
        <v>52.472484999999999</v>
      </c>
      <c r="Q2" s="12">
        <f t="shared" ref="Q2:Q46" si="7">P2-G2</f>
        <v>-7.5475149999999971</v>
      </c>
      <c r="R2" s="12">
        <f t="shared" ref="R2:R46" si="8">F2/(1+I2-H2)</f>
        <v>36.363636363636367</v>
      </c>
      <c r="S2" s="12">
        <f t="shared" ref="S2:S46" si="9">M2-F2</f>
        <v>4</v>
      </c>
      <c r="T2" s="12">
        <f t="shared" ref="T2:T46" si="10">0.5*(R2-F2)</f>
        <v>-1.8181818181818166</v>
      </c>
      <c r="U2" s="15">
        <f t="shared" ref="U2:U46" si="11">S2+T2</f>
        <v>2.1818181818181834</v>
      </c>
      <c r="V2" s="12">
        <f t="shared" ref="V2:V46" si="12">MAX($U$2:$U$279)-U2</f>
        <v>111.9506268993662</v>
      </c>
      <c r="W2" s="9">
        <f t="shared" ref="W2:W46" si="13">IFERROR((SUBTOTAL(109,$V$2:$V$1048576)/V2)/SUBTOTAL(109,$V$2:$V$1048576),0)</f>
        <v>8.9325091577996465E-3</v>
      </c>
      <c r="X2" s="9">
        <f t="shared" ref="X2:X46" si="14">V2/MAX($V$2:$V$28)</f>
        <v>0.48320124679773302</v>
      </c>
    </row>
    <row r="3" spans="1:24" x14ac:dyDescent="0.25">
      <c r="A3" t="s">
        <v>115</v>
      </c>
      <c r="B3" s="7" t="s">
        <v>131</v>
      </c>
      <c r="C3" t="s">
        <v>118</v>
      </c>
      <c r="D3" s="8">
        <v>45481</v>
      </c>
      <c r="E3" s="2">
        <v>1</v>
      </c>
      <c r="F3" s="1">
        <v>48.68</v>
      </c>
      <c r="G3" s="1">
        <f t="shared" si="0"/>
        <v>48.68</v>
      </c>
      <c r="H3" s="13">
        <v>0.1</v>
      </c>
      <c r="I3" s="11">
        <v>0.2</v>
      </c>
      <c r="J3" s="9">
        <f t="shared" si="1"/>
        <v>0.5</v>
      </c>
      <c r="K3" s="9">
        <f t="shared" si="2"/>
        <v>2.4247364622351199E-2</v>
      </c>
      <c r="L3" s="9">
        <f t="shared" si="3"/>
        <v>9.7360000000000007</v>
      </c>
      <c r="M3" s="12">
        <f t="shared" si="4"/>
        <v>53.548000000000002</v>
      </c>
      <c r="N3" s="12">
        <f t="shared" si="5"/>
        <v>53.548000000000002</v>
      </c>
      <c r="O3" s="12">
        <v>42.898000000000003</v>
      </c>
      <c r="P3" s="12">
        <f t="shared" si="6"/>
        <v>42.898000000000003</v>
      </c>
      <c r="Q3" s="12">
        <f t="shared" si="7"/>
        <v>-5.7819999999999965</v>
      </c>
      <c r="R3" s="12">
        <f t="shared" si="8"/>
        <v>44.254545454545458</v>
      </c>
      <c r="S3" s="12">
        <f t="shared" si="9"/>
        <v>4.8680000000000021</v>
      </c>
      <c r="T3" s="12">
        <f t="shared" si="10"/>
        <v>-2.2127272727272711</v>
      </c>
      <c r="U3" s="15">
        <f t="shared" si="11"/>
        <v>2.655272727272731</v>
      </c>
      <c r="V3" s="12">
        <f t="shared" si="12"/>
        <v>111.47717235391166</v>
      </c>
      <c r="W3" s="9">
        <f t="shared" si="13"/>
        <v>8.9704464051640499E-3</v>
      </c>
      <c r="X3" s="9">
        <f t="shared" si="14"/>
        <v>0.48115772249597688</v>
      </c>
    </row>
    <row r="4" spans="1:24" x14ac:dyDescent="0.25">
      <c r="A4" t="s">
        <v>36</v>
      </c>
      <c r="B4" s="3" t="s">
        <v>11</v>
      </c>
      <c r="C4" t="s">
        <v>12</v>
      </c>
      <c r="D4" s="8">
        <v>45574</v>
      </c>
      <c r="E4" s="2">
        <v>0.16059999999999999</v>
      </c>
      <c r="F4" s="1">
        <v>421.18</v>
      </c>
      <c r="G4" s="1">
        <f t="shared" si="0"/>
        <v>67.641508000000002</v>
      </c>
      <c r="H4" s="13">
        <v>0.15</v>
      </c>
      <c r="I4" s="11">
        <v>0.1963</v>
      </c>
      <c r="J4" s="9">
        <f t="shared" si="1"/>
        <v>0.76413652572592972</v>
      </c>
      <c r="K4" s="9">
        <f t="shared" si="2"/>
        <v>3.7056593921066534E-2</v>
      </c>
      <c r="L4" s="9">
        <f t="shared" si="3"/>
        <v>13.278028020400001</v>
      </c>
      <c r="M4" s="12">
        <f t="shared" si="4"/>
        <v>484.35699999999997</v>
      </c>
      <c r="N4" s="12">
        <f t="shared" si="5"/>
        <v>77.787734199999989</v>
      </c>
      <c r="O4" s="12" t="e" cm="1" vm="1">
        <f t="array" aca="1" ref="O4" ca="1">_xlfn.STOCKHISTORY(C4,TODAY()-1,TODAY(),0,0,1)</f>
        <v>#VALUE!</v>
      </c>
      <c r="P4" s="12">
        <f t="shared" ca="1" si="6"/>
        <v>67.641508000000002</v>
      </c>
      <c r="Q4" s="12">
        <f t="shared" ca="1" si="7"/>
        <v>0</v>
      </c>
      <c r="R4" s="12">
        <f t="shared" si="8"/>
        <v>402.54229188569246</v>
      </c>
      <c r="S4" s="12">
        <f t="shared" si="9"/>
        <v>63.176999999999964</v>
      </c>
      <c r="T4" s="12">
        <f t="shared" si="10"/>
        <v>-9.3188540571537715</v>
      </c>
      <c r="U4" s="15">
        <f t="shared" si="11"/>
        <v>53.858145942846193</v>
      </c>
      <c r="V4" s="12">
        <f t="shared" si="12"/>
        <v>60.274299138338193</v>
      </c>
      <c r="W4" s="9">
        <f t="shared" si="13"/>
        <v>1.6590819209773906E-2</v>
      </c>
      <c r="X4" s="9">
        <f t="shared" si="14"/>
        <v>0.26015590354563189</v>
      </c>
    </row>
    <row r="5" spans="1:24" x14ac:dyDescent="0.25">
      <c r="A5" t="s">
        <v>36</v>
      </c>
      <c r="B5" s="3" t="s">
        <v>21</v>
      </c>
      <c r="C5" t="s">
        <v>22</v>
      </c>
      <c r="D5" s="8">
        <v>45484</v>
      </c>
      <c r="E5" s="2">
        <v>0.60660000000000003</v>
      </c>
      <c r="F5" s="1">
        <v>186.18</v>
      </c>
      <c r="G5" s="1">
        <f t="shared" si="0"/>
        <v>112.93678800000001</v>
      </c>
      <c r="H5" s="13">
        <f>227.4/F5-1</f>
        <v>0.22139864647115703</v>
      </c>
      <c r="I5" s="11">
        <v>0.37</v>
      </c>
      <c r="J5" s="9">
        <f t="shared" si="1"/>
        <v>0.5983747201923163</v>
      </c>
      <c r="K5" s="9">
        <f t="shared" si="2"/>
        <v>2.9018020042600935E-2</v>
      </c>
      <c r="L5" s="9">
        <f t="shared" si="3"/>
        <v>41.786611560000004</v>
      </c>
      <c r="M5" s="12">
        <f t="shared" si="4"/>
        <v>227.4</v>
      </c>
      <c r="N5" s="12">
        <f t="shared" si="5"/>
        <v>137.94084000000001</v>
      </c>
      <c r="O5" s="12">
        <v>180.35</v>
      </c>
      <c r="P5" s="12">
        <f t="shared" si="6"/>
        <v>109.40031</v>
      </c>
      <c r="Q5" s="12">
        <f t="shared" si="7"/>
        <v>-3.5364780000000025</v>
      </c>
      <c r="R5" s="12">
        <f t="shared" si="8"/>
        <v>162.09279174885174</v>
      </c>
      <c r="S5" s="12">
        <f t="shared" si="9"/>
        <v>41.22</v>
      </c>
      <c r="T5" s="12">
        <f t="shared" si="10"/>
        <v>-12.043604125574134</v>
      </c>
      <c r="U5" s="15">
        <f t="shared" si="11"/>
        <v>29.176395874425864</v>
      </c>
      <c r="V5" s="12">
        <f t="shared" si="12"/>
        <v>84.956049206758522</v>
      </c>
      <c r="W5" s="9">
        <f t="shared" si="13"/>
        <v>1.1770792184159698E-2</v>
      </c>
      <c r="X5" s="9">
        <f t="shared" si="14"/>
        <v>0.3666872623823394</v>
      </c>
    </row>
    <row r="6" spans="1:24" x14ac:dyDescent="0.25">
      <c r="A6" t="s">
        <v>40</v>
      </c>
      <c r="B6" s="7" t="s">
        <v>47</v>
      </c>
      <c r="C6" t="s">
        <v>46</v>
      </c>
      <c r="D6" s="8">
        <v>45511</v>
      </c>
      <c r="E6" s="2">
        <v>0.34489999999999998</v>
      </c>
      <c r="F6" s="1">
        <v>173.73</v>
      </c>
      <c r="G6" s="1">
        <f t="shared" si="0"/>
        <v>59.919476999999993</v>
      </c>
      <c r="H6" s="13">
        <f>196.02/F6-1</f>
        <v>0.12830253842168893</v>
      </c>
      <c r="I6" s="11">
        <v>0.52980000000000005</v>
      </c>
      <c r="J6" s="9">
        <f t="shared" si="1"/>
        <v>0.24217164670005459</v>
      </c>
      <c r="K6" s="9">
        <f t="shared" si="2"/>
        <v>1.1744048437462875E-2</v>
      </c>
      <c r="L6" s="9">
        <f t="shared" si="3"/>
        <v>31.745338914599998</v>
      </c>
      <c r="M6" s="12">
        <f t="shared" si="4"/>
        <v>196.02</v>
      </c>
      <c r="N6" s="12">
        <f t="shared" si="5"/>
        <v>67.607298</v>
      </c>
      <c r="O6" s="12">
        <v>135.41999999999999</v>
      </c>
      <c r="P6" s="12">
        <f t="shared" si="6"/>
        <v>46.706357999999994</v>
      </c>
      <c r="Q6" s="12">
        <f t="shared" si="7"/>
        <v>-13.213118999999999</v>
      </c>
      <c r="R6" s="12">
        <f t="shared" si="8"/>
        <v>123.9602673303112</v>
      </c>
      <c r="S6" s="12">
        <f t="shared" si="9"/>
        <v>22.29000000000002</v>
      </c>
      <c r="T6" s="12">
        <f t="shared" si="10"/>
        <v>-24.884866334844396</v>
      </c>
      <c r="U6" s="15">
        <f t="shared" si="11"/>
        <v>-2.5948663348443759</v>
      </c>
      <c r="V6" s="12">
        <f t="shared" si="12"/>
        <v>116.72731141602875</v>
      </c>
      <c r="W6" s="9">
        <f t="shared" si="13"/>
        <v>8.5669753536590249E-3</v>
      </c>
      <c r="X6" s="9">
        <f t="shared" si="14"/>
        <v>0.50381837041675082</v>
      </c>
    </row>
    <row r="7" spans="1:24" x14ac:dyDescent="0.25">
      <c r="A7" t="s">
        <v>40</v>
      </c>
      <c r="B7" s="7" t="s">
        <v>26</v>
      </c>
      <c r="C7" t="s">
        <v>27</v>
      </c>
      <c r="D7" s="8">
        <v>45511</v>
      </c>
      <c r="E7" s="2">
        <v>0.74609999999999999</v>
      </c>
      <c r="F7" s="1">
        <v>73.7</v>
      </c>
      <c r="G7" s="1">
        <f t="shared" si="0"/>
        <v>54.987569999999998</v>
      </c>
      <c r="H7" s="13">
        <v>0.1</v>
      </c>
      <c r="I7" s="11">
        <v>0.25990000000000002</v>
      </c>
      <c r="J7" s="9">
        <f t="shared" si="1"/>
        <v>0.38476337052712584</v>
      </c>
      <c r="K7" s="9">
        <f t="shared" si="2"/>
        <v>1.8658995476992075E-2</v>
      </c>
      <c r="L7" s="9">
        <f t="shared" si="3"/>
        <v>14.291269443000001</v>
      </c>
      <c r="M7" s="12">
        <f t="shared" si="4"/>
        <v>81.070000000000007</v>
      </c>
      <c r="N7" s="12">
        <f t="shared" si="5"/>
        <v>60.486327000000003</v>
      </c>
      <c r="O7" s="12">
        <v>70.13</v>
      </c>
      <c r="P7" s="12">
        <f t="shared" si="6"/>
        <v>52.323992999999994</v>
      </c>
      <c r="Q7" s="12">
        <f t="shared" si="7"/>
        <v>-2.6635770000000036</v>
      </c>
      <c r="R7" s="12">
        <f t="shared" si="8"/>
        <v>63.539960341408751</v>
      </c>
      <c r="S7" s="12">
        <f t="shared" si="9"/>
        <v>7.3700000000000045</v>
      </c>
      <c r="T7" s="12">
        <f t="shared" si="10"/>
        <v>-5.080019829295626</v>
      </c>
      <c r="U7" s="15">
        <f t="shared" si="11"/>
        <v>2.2899801707043785</v>
      </c>
      <c r="V7" s="12">
        <f t="shared" si="12"/>
        <v>111.84246491048</v>
      </c>
      <c r="W7" s="9">
        <f t="shared" si="13"/>
        <v>8.9411477188061934E-3</v>
      </c>
      <c r="X7" s="9">
        <f t="shared" si="14"/>
        <v>0.48273439806866858</v>
      </c>
    </row>
    <row r="8" spans="1:24" x14ac:dyDescent="0.25">
      <c r="A8" t="s">
        <v>40</v>
      </c>
      <c r="B8" s="7" t="s">
        <v>94</v>
      </c>
      <c r="C8" t="s">
        <v>94</v>
      </c>
      <c r="D8" s="8">
        <v>45627</v>
      </c>
      <c r="E8" s="2">
        <v>3.0230999999999999</v>
      </c>
      <c r="F8" s="1">
        <v>21.49</v>
      </c>
      <c r="G8" s="1">
        <f t="shared" si="0"/>
        <v>64.966418999999988</v>
      </c>
      <c r="H8" s="13">
        <f>M8/F8-1</f>
        <v>0.23685435086086559</v>
      </c>
      <c r="I8" s="11">
        <v>0.45929999999999999</v>
      </c>
      <c r="J8" s="9">
        <f t="shared" si="1"/>
        <v>0.5156855015477152</v>
      </c>
      <c r="K8" s="9">
        <f t="shared" si="2"/>
        <v>2.5008028772975009E-2</v>
      </c>
      <c r="L8" s="9">
        <f t="shared" si="3"/>
        <v>29.839076246699992</v>
      </c>
      <c r="M8" s="12">
        <v>26.58</v>
      </c>
      <c r="N8" s="12">
        <f t="shared" si="5"/>
        <v>80.35399799999999</v>
      </c>
      <c r="O8" s="12" t="e" cm="1" vm="2">
        <f t="array" aca="1" ref="O8" ca="1">_xlfn.STOCKHISTORY(C8,TODAY()-1,TODAY(),0,0,1)</f>
        <v>#VALUE!</v>
      </c>
      <c r="P8" s="12">
        <f t="shared" ca="1" si="6"/>
        <v>64.966418999999988</v>
      </c>
      <c r="Q8" s="12">
        <f t="shared" ca="1" si="7"/>
        <v>0</v>
      </c>
      <c r="R8" s="12">
        <f t="shared" si="8"/>
        <v>17.57951367010353</v>
      </c>
      <c r="S8" s="12">
        <f t="shared" si="9"/>
        <v>5.09</v>
      </c>
      <c r="T8" s="12">
        <f t="shared" si="10"/>
        <v>-1.955243164948234</v>
      </c>
      <c r="U8" s="15">
        <f t="shared" si="11"/>
        <v>3.1347568350517658</v>
      </c>
      <c r="V8" s="12">
        <f t="shared" si="12"/>
        <v>110.99768824613263</v>
      </c>
      <c r="W8" s="9">
        <f t="shared" si="13"/>
        <v>9.009196640046617E-3</v>
      </c>
      <c r="X8" s="9">
        <f t="shared" si="14"/>
        <v>0.47908817339995624</v>
      </c>
    </row>
    <row r="9" spans="1:24" x14ac:dyDescent="0.25">
      <c r="A9" t="s">
        <v>38</v>
      </c>
      <c r="B9" s="5" t="s">
        <v>15</v>
      </c>
      <c r="C9" t="s">
        <v>16</v>
      </c>
      <c r="D9" s="8">
        <v>45460</v>
      </c>
      <c r="E9" s="2">
        <v>0.51239999999999997</v>
      </c>
      <c r="F9" s="1">
        <v>157.99</v>
      </c>
      <c r="G9" s="1">
        <f t="shared" si="0"/>
        <v>80.954076000000001</v>
      </c>
      <c r="H9" s="13">
        <v>6.7199999999999996E-2</v>
      </c>
      <c r="I9" s="11">
        <v>0.16439999999999999</v>
      </c>
      <c r="J9" s="9">
        <f t="shared" si="1"/>
        <v>0.40875912408759124</v>
      </c>
      <c r="K9" s="9">
        <f t="shared" si="2"/>
        <v>1.9822663048929448E-2</v>
      </c>
      <c r="L9" s="9">
        <f t="shared" si="3"/>
        <v>13.308850094399999</v>
      </c>
      <c r="M9" s="12">
        <f t="shared" ref="M9:M26" si="15">F9/(1-(F9*(1+H9)-F9)/(F9*(1+H9)))</f>
        <v>168.60692800000001</v>
      </c>
      <c r="N9" s="12">
        <f t="shared" si="5"/>
        <v>86.394189907200001</v>
      </c>
      <c r="O9" s="12" t="e" cm="1" vm="2">
        <f t="array" aca="1" ref="O9" ca="1">_xlfn.STOCKHISTORY(C9,TODAY()-1,TODAY(),0,0,1)</f>
        <v>#VALUE!</v>
      </c>
      <c r="P9" s="12">
        <f t="shared" ca="1" si="6"/>
        <v>80.954076000000001</v>
      </c>
      <c r="Q9" s="12">
        <f t="shared" ca="1" si="7"/>
        <v>0</v>
      </c>
      <c r="R9" s="12">
        <f t="shared" si="8"/>
        <v>143.99380240612467</v>
      </c>
      <c r="S9" s="12">
        <f t="shared" si="9"/>
        <v>10.616928000000001</v>
      </c>
      <c r="T9" s="12">
        <f t="shared" si="10"/>
        <v>-6.9980987969376685</v>
      </c>
      <c r="U9" s="15">
        <f t="shared" si="11"/>
        <v>3.618829203062333</v>
      </c>
      <c r="V9" s="12">
        <f t="shared" si="12"/>
        <v>110.51361587812205</v>
      </c>
      <c r="W9" s="9">
        <f t="shared" si="13"/>
        <v>9.0486587743435348E-3</v>
      </c>
      <c r="X9" s="9">
        <f t="shared" si="14"/>
        <v>0.47699882045713349</v>
      </c>
    </row>
    <row r="10" spans="1:24" x14ac:dyDescent="0.25">
      <c r="A10" t="s">
        <v>39</v>
      </c>
      <c r="B10" s="6" t="s">
        <v>42</v>
      </c>
      <c r="C10" t="s">
        <v>41</v>
      </c>
      <c r="D10" s="8">
        <v>45507</v>
      </c>
      <c r="E10" s="2">
        <v>0.52270000000000005</v>
      </c>
      <c r="F10" s="1">
        <v>38.229999999999997</v>
      </c>
      <c r="G10" s="1">
        <f t="shared" si="0"/>
        <v>19.982821000000001</v>
      </c>
      <c r="H10" s="13">
        <v>7.0000000000000007E-2</v>
      </c>
      <c r="I10" s="11">
        <v>0.4</v>
      </c>
      <c r="J10" s="9">
        <f t="shared" si="1"/>
        <v>0.17500000000000002</v>
      </c>
      <c r="K10" s="9">
        <f t="shared" si="2"/>
        <v>8.4865776178229199E-3</v>
      </c>
      <c r="L10" s="9">
        <f t="shared" si="3"/>
        <v>7.9931284000000007</v>
      </c>
      <c r="M10" s="12">
        <f t="shared" si="15"/>
        <v>40.906100000000002</v>
      </c>
      <c r="N10" s="12">
        <f t="shared" si="5"/>
        <v>21.381618470000003</v>
      </c>
      <c r="O10" s="12" t="e" cm="1" vm="2">
        <f t="array" aca="1" ref="O10" ca="1">_xlfn.STOCKHISTORY(C10,TODAY()-1,TODAY(),0,0,1)</f>
        <v>#VALUE!</v>
      </c>
      <c r="P10" s="12">
        <f t="shared" ca="1" si="6"/>
        <v>19.982821000000001</v>
      </c>
      <c r="Q10" s="12">
        <f t="shared" ca="1" si="7"/>
        <v>0</v>
      </c>
      <c r="R10" s="12">
        <f t="shared" si="8"/>
        <v>28.744360902255639</v>
      </c>
      <c r="S10" s="12">
        <f t="shared" si="9"/>
        <v>2.6761000000000053</v>
      </c>
      <c r="T10" s="12">
        <f t="shared" si="10"/>
        <v>-4.7428195488721787</v>
      </c>
      <c r="U10" s="15">
        <f t="shared" si="11"/>
        <v>-2.0667195488721735</v>
      </c>
      <c r="V10" s="12">
        <f t="shared" si="12"/>
        <v>116.19916463005656</v>
      </c>
      <c r="W10" s="9">
        <f t="shared" si="13"/>
        <v>8.6059138478637217E-3</v>
      </c>
      <c r="X10" s="9">
        <f t="shared" si="14"/>
        <v>0.50153878349042313</v>
      </c>
    </row>
    <row r="11" spans="1:24" x14ac:dyDescent="0.25">
      <c r="A11" t="s">
        <v>36</v>
      </c>
      <c r="B11" s="3" t="s">
        <v>18</v>
      </c>
      <c r="C11" t="s">
        <v>17</v>
      </c>
      <c r="D11" s="8">
        <v>45678</v>
      </c>
      <c r="E11" s="2">
        <v>5.3800000000000001E-2</v>
      </c>
      <c r="F11" s="1">
        <v>185.82</v>
      </c>
      <c r="G11" s="1">
        <f t="shared" si="0"/>
        <v>9.9971160000000001</v>
      </c>
      <c r="H11" s="13">
        <f>190.41/F11-1</f>
        <v>2.4701323861801683E-2</v>
      </c>
      <c r="I11" s="11">
        <v>0.26790000000000003</v>
      </c>
      <c r="J11" s="9">
        <f t="shared" si="1"/>
        <v>9.2203523187016356E-2</v>
      </c>
      <c r="K11" s="9">
        <f t="shared" si="2"/>
        <v>4.4713848923619978E-3</v>
      </c>
      <c r="L11" s="9">
        <f t="shared" si="3"/>
        <v>2.6782273764000002</v>
      </c>
      <c r="M11" s="12">
        <f t="shared" si="15"/>
        <v>190.40999999999997</v>
      </c>
      <c r="N11" s="12">
        <f t="shared" si="5"/>
        <v>10.244057999999999</v>
      </c>
      <c r="O11" s="12" t="e" cm="1" vm="1">
        <f t="array" aca="1" ref="O11" ca="1">_xlfn.STOCKHISTORY(C11,TODAY()-1,TODAY(),0,0,1)</f>
        <v>#VALUE!</v>
      </c>
      <c r="P11" s="12">
        <f t="shared" ca="1" si="6"/>
        <v>9.9971160000000001</v>
      </c>
      <c r="Q11" s="12">
        <f t="shared" ca="1" si="7"/>
        <v>0</v>
      </c>
      <c r="R11" s="12">
        <f t="shared" si="8"/>
        <v>149.46927113630838</v>
      </c>
      <c r="S11" s="12">
        <f t="shared" si="9"/>
        <v>4.589999999999975</v>
      </c>
      <c r="T11" s="12">
        <f t="shared" si="10"/>
        <v>-18.175364431845807</v>
      </c>
      <c r="U11" s="15">
        <f t="shared" si="11"/>
        <v>-13.585364431845832</v>
      </c>
      <c r="V11" s="12">
        <f t="shared" si="12"/>
        <v>127.71780951303022</v>
      </c>
      <c r="W11" s="9">
        <f t="shared" si="13"/>
        <v>7.8297615956056353E-3</v>
      </c>
      <c r="X11" s="9">
        <f t="shared" si="14"/>
        <v>0.55125555349008015</v>
      </c>
    </row>
    <row r="12" spans="1:24" x14ac:dyDescent="0.25">
      <c r="A12" t="s">
        <v>115</v>
      </c>
      <c r="B12" s="7" t="s">
        <v>129</v>
      </c>
      <c r="C12" t="s">
        <v>117</v>
      </c>
      <c r="D12" s="8">
        <v>45481</v>
      </c>
      <c r="E12" s="2">
        <v>2</v>
      </c>
      <c r="F12" s="1">
        <v>16.399000000000001</v>
      </c>
      <c r="G12" s="1">
        <f t="shared" si="0"/>
        <v>32.798000000000002</v>
      </c>
      <c r="H12" s="13">
        <v>3.5000000000000003E-2</v>
      </c>
      <c r="I12" s="11">
        <v>0.16500000000000001</v>
      </c>
      <c r="J12" s="9">
        <f t="shared" si="1"/>
        <v>0.21212121212121213</v>
      </c>
      <c r="K12" s="9">
        <f t="shared" si="2"/>
        <v>1.0286760748876267E-2</v>
      </c>
      <c r="L12" s="9">
        <f t="shared" si="3"/>
        <v>5.4116700000000009</v>
      </c>
      <c r="M12" s="12">
        <f t="shared" si="15"/>
        <v>16.972964999999999</v>
      </c>
      <c r="N12" s="12">
        <f t="shared" si="5"/>
        <v>33.945929999999997</v>
      </c>
      <c r="O12" s="12">
        <v>16.152000000000001</v>
      </c>
      <c r="P12" s="12">
        <f t="shared" si="6"/>
        <v>32.304000000000002</v>
      </c>
      <c r="Q12" s="12">
        <f t="shared" si="7"/>
        <v>-0.49399999999999977</v>
      </c>
      <c r="R12" s="12">
        <f t="shared" si="8"/>
        <v>14.512389380530973</v>
      </c>
      <c r="S12" s="12">
        <f t="shared" si="9"/>
        <v>0.57396499999999762</v>
      </c>
      <c r="T12" s="12">
        <f t="shared" si="10"/>
        <v>-0.9433053097345141</v>
      </c>
      <c r="U12" s="15">
        <f t="shared" si="11"/>
        <v>-0.36934030973451648</v>
      </c>
      <c r="V12" s="12">
        <f t="shared" si="12"/>
        <v>114.5017853909189</v>
      </c>
      <c r="W12" s="9">
        <f t="shared" si="13"/>
        <v>8.7334882734440723E-3</v>
      </c>
      <c r="X12" s="9">
        <f t="shared" si="14"/>
        <v>0.49421255596177188</v>
      </c>
    </row>
    <row r="13" spans="1:24" x14ac:dyDescent="0.25">
      <c r="A13" t="s">
        <v>39</v>
      </c>
      <c r="B13" s="6" t="s">
        <v>132</v>
      </c>
      <c r="C13" t="s">
        <v>43</v>
      </c>
      <c r="D13" s="8">
        <v>45580</v>
      </c>
      <c r="E13" s="2">
        <v>0.34860000000000002</v>
      </c>
      <c r="F13" s="1">
        <v>131.91</v>
      </c>
      <c r="G13" s="1">
        <f t="shared" si="0"/>
        <v>45.983826000000001</v>
      </c>
      <c r="H13" s="13">
        <v>0.1202</v>
      </c>
      <c r="I13" s="11">
        <v>0.33710000000000001</v>
      </c>
      <c r="J13" s="9">
        <f t="shared" si="1"/>
        <v>0.35657075051913378</v>
      </c>
      <c r="K13" s="9">
        <f t="shared" si="2"/>
        <v>1.7291802003005719E-2</v>
      </c>
      <c r="L13" s="9">
        <f t="shared" si="3"/>
        <v>15.501147744600001</v>
      </c>
      <c r="M13" s="12">
        <f t="shared" si="15"/>
        <v>147.76558199999999</v>
      </c>
      <c r="N13" s="12">
        <f t="shared" si="5"/>
        <v>51.511081885199999</v>
      </c>
      <c r="O13" s="12">
        <v>130.51</v>
      </c>
      <c r="P13" s="12">
        <f t="shared" si="6"/>
        <v>45.495786000000003</v>
      </c>
      <c r="Q13" s="12">
        <f t="shared" si="7"/>
        <v>-0.48803999999999803</v>
      </c>
      <c r="R13" s="12">
        <f t="shared" si="8"/>
        <v>108.39838934998768</v>
      </c>
      <c r="S13" s="12">
        <f t="shared" si="9"/>
        <v>15.855581999999998</v>
      </c>
      <c r="T13" s="12">
        <f t="shared" si="10"/>
        <v>-11.755805325006158</v>
      </c>
      <c r="U13" s="15">
        <f t="shared" si="11"/>
        <v>4.0997766749938407</v>
      </c>
      <c r="V13" s="12">
        <f t="shared" si="12"/>
        <v>110.03266840619054</v>
      </c>
      <c r="W13" s="9">
        <f t="shared" si="13"/>
        <v>9.0882100242125827E-3</v>
      </c>
      <c r="X13" s="9">
        <f t="shared" si="14"/>
        <v>0.47492295518939875</v>
      </c>
    </row>
    <row r="14" spans="1:24" x14ac:dyDescent="0.25">
      <c r="A14" t="s">
        <v>115</v>
      </c>
      <c r="B14" s="7" t="s">
        <v>128</v>
      </c>
      <c r="C14" t="s">
        <v>116</v>
      </c>
      <c r="D14" s="8">
        <v>45481</v>
      </c>
      <c r="E14" s="2">
        <v>2</v>
      </c>
      <c r="F14" s="1">
        <v>20.927</v>
      </c>
      <c r="G14" s="1">
        <f t="shared" si="0"/>
        <v>41.853999999999999</v>
      </c>
      <c r="H14" s="13">
        <v>3.5000000000000003E-2</v>
      </c>
      <c r="I14" s="11">
        <v>0.16500000000000001</v>
      </c>
      <c r="J14" s="9">
        <f t="shared" si="1"/>
        <v>0.21212121212121213</v>
      </c>
      <c r="K14" s="9">
        <f t="shared" si="2"/>
        <v>1.0286760748876267E-2</v>
      </c>
      <c r="L14" s="9">
        <f t="shared" si="3"/>
        <v>6.9059100000000004</v>
      </c>
      <c r="M14" s="12">
        <f t="shared" si="15"/>
        <v>21.659444999999998</v>
      </c>
      <c r="N14" s="12">
        <f t="shared" si="5"/>
        <v>43.318889999999996</v>
      </c>
      <c r="O14" s="12">
        <v>20.864999999999998</v>
      </c>
      <c r="P14" s="12">
        <f t="shared" si="6"/>
        <v>41.73</v>
      </c>
      <c r="Q14" s="12">
        <f t="shared" si="7"/>
        <v>-0.12400000000000233</v>
      </c>
      <c r="R14" s="12">
        <f t="shared" si="8"/>
        <v>18.51946902654867</v>
      </c>
      <c r="S14" s="12">
        <f t="shared" si="9"/>
        <v>0.73244499999999846</v>
      </c>
      <c r="T14" s="12">
        <f t="shared" si="10"/>
        <v>-1.2037654867256649</v>
      </c>
      <c r="U14" s="15">
        <f t="shared" si="11"/>
        <v>-0.4713204867256664</v>
      </c>
      <c r="V14" s="12">
        <f t="shared" si="12"/>
        <v>114.60376556791005</v>
      </c>
      <c r="W14" s="9">
        <f t="shared" si="13"/>
        <v>8.7257167776693696E-3</v>
      </c>
      <c r="X14" s="9">
        <f t="shared" si="14"/>
        <v>0.49465272275704203</v>
      </c>
    </row>
    <row r="15" spans="1:24" x14ac:dyDescent="0.25">
      <c r="A15" t="s">
        <v>74</v>
      </c>
      <c r="B15" s="7" t="s">
        <v>79</v>
      </c>
      <c r="C15" s="14" t="s">
        <v>80</v>
      </c>
      <c r="D15" s="8">
        <f ca="1">TODAY()-20</f>
        <v>45698</v>
      </c>
      <c r="E15" s="2">
        <v>9.9999999999999998E-20</v>
      </c>
      <c r="F15" s="1">
        <v>2742.9</v>
      </c>
      <c r="G15" s="1">
        <f t="shared" si="0"/>
        <v>2.7429000000000002E-16</v>
      </c>
      <c r="H15" s="13">
        <v>0.1</v>
      </c>
      <c r="I15" s="11">
        <v>0.5</v>
      </c>
      <c r="J15" s="9">
        <f t="shared" si="1"/>
        <v>0.2</v>
      </c>
      <c r="K15" s="9">
        <f t="shared" si="2"/>
        <v>9.6989458489404809E-3</v>
      </c>
      <c r="L15" s="9">
        <f t="shared" si="3"/>
        <v>1.3714500000000001E-16</v>
      </c>
      <c r="M15" s="12">
        <f t="shared" si="15"/>
        <v>3017.1900000000005</v>
      </c>
      <c r="N15" s="12">
        <f t="shared" si="5"/>
        <v>3.0171900000000003E-16</v>
      </c>
      <c r="O15" s="12" t="e" cm="1" vm="2">
        <f t="array" aca="1" ref="O15" ca="1">_xlfn.STOCKHISTORY(C15,TODAY()-1,TODAY(),0,0,1)</f>
        <v>#VALUE!</v>
      </c>
      <c r="P15" s="12">
        <f t="shared" ca="1" si="6"/>
        <v>2.7429000000000002E-16</v>
      </c>
      <c r="Q15" s="12">
        <f t="shared" ca="1" si="7"/>
        <v>0</v>
      </c>
      <c r="R15" s="12">
        <f t="shared" si="8"/>
        <v>1959.214285714286</v>
      </c>
      <c r="S15" s="12">
        <f t="shared" si="9"/>
        <v>274.29000000000042</v>
      </c>
      <c r="T15" s="12">
        <f t="shared" si="10"/>
        <v>-391.84285714285704</v>
      </c>
      <c r="U15" s="15">
        <f t="shared" si="11"/>
        <v>-117.55285714285662</v>
      </c>
      <c r="V15" s="12">
        <f t="shared" si="12"/>
        <v>231.68530222404101</v>
      </c>
      <c r="W15" s="9">
        <f t="shared" si="13"/>
        <v>4.316199562080957E-3</v>
      </c>
      <c r="X15" s="9">
        <f t="shared" si="14"/>
        <v>1</v>
      </c>
    </row>
    <row r="16" spans="1:24" x14ac:dyDescent="0.25">
      <c r="A16" t="s">
        <v>36</v>
      </c>
      <c r="B16" s="3" t="s">
        <v>10</v>
      </c>
      <c r="C16" t="s">
        <v>9</v>
      </c>
      <c r="D16" s="8">
        <v>45544</v>
      </c>
      <c r="E16" s="2">
        <v>9.9999999999999998E-20</v>
      </c>
      <c r="F16" s="1">
        <v>188.12</v>
      </c>
      <c r="G16" s="1">
        <f t="shared" si="0"/>
        <v>1.8812000000000001E-17</v>
      </c>
      <c r="H16" s="13">
        <v>0.15</v>
      </c>
      <c r="I16" s="11">
        <v>0.37780000000000002</v>
      </c>
      <c r="J16" s="9">
        <f t="shared" si="1"/>
        <v>0.39703546850185278</v>
      </c>
      <c r="K16" s="9">
        <f t="shared" si="2"/>
        <v>1.9254127545540917E-2</v>
      </c>
      <c r="L16" s="9">
        <f t="shared" si="3"/>
        <v>7.1071736000000005E-18</v>
      </c>
      <c r="M16" s="12">
        <f t="shared" si="15"/>
        <v>216.33799999999999</v>
      </c>
      <c r="N16" s="12">
        <f t="shared" si="5"/>
        <v>2.16338E-17</v>
      </c>
      <c r="O16" s="12" t="e" cm="1" vm="2">
        <f t="array" aca="1" ref="O16" ca="1">_xlfn.STOCKHISTORY(C16,TODAY()-1,TODAY(),0,0,1)</f>
        <v>#VALUE!</v>
      </c>
      <c r="P16" s="12">
        <f t="shared" ca="1" si="6"/>
        <v>1.8812000000000001E-17</v>
      </c>
      <c r="Q16" s="12">
        <f t="shared" ca="1" si="7"/>
        <v>0</v>
      </c>
      <c r="R16" s="12">
        <f t="shared" si="8"/>
        <v>153.21713634142367</v>
      </c>
      <c r="S16" s="12">
        <f t="shared" si="9"/>
        <v>28.217999999999989</v>
      </c>
      <c r="T16" s="12">
        <f t="shared" si="10"/>
        <v>-17.451431829288168</v>
      </c>
      <c r="U16" s="15">
        <f t="shared" si="11"/>
        <v>10.766568170711821</v>
      </c>
      <c r="V16" s="12">
        <f t="shared" si="12"/>
        <v>103.36587691047256</v>
      </c>
      <c r="W16" s="9">
        <f t="shared" si="13"/>
        <v>9.674372528819369E-3</v>
      </c>
      <c r="X16" s="9">
        <f t="shared" si="14"/>
        <v>0.44614775265509582</v>
      </c>
    </row>
    <row r="17" spans="1:24" x14ac:dyDescent="0.25">
      <c r="A17" t="s">
        <v>36</v>
      </c>
      <c r="B17" s="3" t="s">
        <v>23</v>
      </c>
      <c r="C17" t="s">
        <v>24</v>
      </c>
      <c r="D17" s="8">
        <v>45482</v>
      </c>
      <c r="E17" s="2">
        <v>9.9999999999999998E-20</v>
      </c>
      <c r="F17" s="1">
        <v>147.01</v>
      </c>
      <c r="G17" s="1">
        <f t="shared" si="0"/>
        <v>1.4700999999999999E-17</v>
      </c>
      <c r="H17" s="13">
        <v>0.15</v>
      </c>
      <c r="I17" s="11">
        <v>0.52380000000000004</v>
      </c>
      <c r="J17" s="9">
        <f t="shared" si="1"/>
        <v>0.28636884306987398</v>
      </c>
      <c r="K17" s="9">
        <f t="shared" si="2"/>
        <v>1.388737950879221E-2</v>
      </c>
      <c r="L17" s="9">
        <f t="shared" si="3"/>
        <v>7.7003838000000003E-18</v>
      </c>
      <c r="M17" s="12">
        <f t="shared" si="15"/>
        <v>169.06149999999997</v>
      </c>
      <c r="N17" s="12">
        <f t="shared" si="5"/>
        <v>1.6906149999999997E-17</v>
      </c>
      <c r="O17" s="12" t="e" cm="1" vm="2">
        <f t="array" aca="1" ref="O17" ca="1">_xlfn.STOCKHISTORY(C17,TODAY()-1,TODAY(),0,0,1)</f>
        <v>#VALUE!</v>
      </c>
      <c r="P17" s="12">
        <f t="shared" ca="1" si="6"/>
        <v>1.4700999999999999E-17</v>
      </c>
      <c r="Q17" s="12">
        <f t="shared" ca="1" si="7"/>
        <v>0</v>
      </c>
      <c r="R17" s="12">
        <f t="shared" si="8"/>
        <v>107.00975396709855</v>
      </c>
      <c r="S17" s="12">
        <f t="shared" si="9"/>
        <v>22.051499999999976</v>
      </c>
      <c r="T17" s="12">
        <f t="shared" si="10"/>
        <v>-20.000123016450722</v>
      </c>
      <c r="U17" s="15">
        <f t="shared" si="11"/>
        <v>2.0513769835492539</v>
      </c>
      <c r="V17" s="12">
        <f t="shared" si="12"/>
        <v>112.08106809763513</v>
      </c>
      <c r="W17" s="9">
        <f t="shared" si="13"/>
        <v>8.9221134039237406E-3</v>
      </c>
      <c r="X17" s="9">
        <f t="shared" si="14"/>
        <v>0.48376425704057868</v>
      </c>
    </row>
    <row r="18" spans="1:24" x14ac:dyDescent="0.25">
      <c r="A18" t="s">
        <v>96</v>
      </c>
      <c r="B18" s="7" t="s">
        <v>102</v>
      </c>
      <c r="C18" s="32" t="s">
        <v>99</v>
      </c>
      <c r="D18" s="8">
        <v>45630</v>
      </c>
      <c r="E18" s="2">
        <v>9.9999999999999998E-20</v>
      </c>
      <c r="F18" s="1">
        <v>323.75</v>
      </c>
      <c r="G18" s="1">
        <f t="shared" si="0"/>
        <v>3.2375000000000002E-17</v>
      </c>
      <c r="H18" s="13">
        <v>0.2</v>
      </c>
      <c r="I18" s="11">
        <v>0.2</v>
      </c>
      <c r="J18" s="9">
        <f t="shared" si="1"/>
        <v>1</v>
      </c>
      <c r="K18" s="9">
        <f t="shared" si="2"/>
        <v>4.8494729244702398E-2</v>
      </c>
      <c r="L18" s="9">
        <f t="shared" si="3"/>
        <v>6.4750000000000006E-18</v>
      </c>
      <c r="M18" s="12">
        <f t="shared" si="15"/>
        <v>388.5</v>
      </c>
      <c r="N18" s="12">
        <f t="shared" si="5"/>
        <v>3.8849999999999999E-17</v>
      </c>
      <c r="O18" s="12" t="e" cm="1" vm="2">
        <f t="array" aca="1" ref="O18" ca="1">_xlfn.STOCKHISTORY(C18,TODAY()-1,TODAY(),0,0,1)</f>
        <v>#VALUE!</v>
      </c>
      <c r="P18" s="12">
        <f t="shared" ca="1" si="6"/>
        <v>3.2375000000000002E-17</v>
      </c>
      <c r="Q18" s="12">
        <f t="shared" ca="1" si="7"/>
        <v>0</v>
      </c>
      <c r="R18" s="12">
        <f t="shared" si="8"/>
        <v>323.75</v>
      </c>
      <c r="S18" s="12">
        <f t="shared" si="9"/>
        <v>64.75</v>
      </c>
      <c r="T18" s="12">
        <f t="shared" si="10"/>
        <v>0</v>
      </c>
      <c r="U18" s="15">
        <f t="shared" si="11"/>
        <v>64.75</v>
      </c>
      <c r="V18" s="12">
        <f t="shared" si="12"/>
        <v>49.382445081184386</v>
      </c>
      <c r="W18" s="9">
        <f t="shared" si="13"/>
        <v>2.0250111114506524E-2</v>
      </c>
      <c r="X18" s="9">
        <f t="shared" si="14"/>
        <v>0.21314448783389495</v>
      </c>
    </row>
    <row r="19" spans="1:24" x14ac:dyDescent="0.25">
      <c r="A19" t="s">
        <v>36</v>
      </c>
      <c r="B19" s="3" t="s">
        <v>29</v>
      </c>
      <c r="C19" t="s">
        <v>30</v>
      </c>
      <c r="D19" s="8">
        <v>45481</v>
      </c>
      <c r="E19" s="2">
        <v>9.9999999999999998E-20</v>
      </c>
      <c r="F19" s="1">
        <v>169.34</v>
      </c>
      <c r="G19" s="1">
        <f t="shared" si="0"/>
        <v>1.6933999999999999E-17</v>
      </c>
      <c r="H19" s="13">
        <v>0.1</v>
      </c>
      <c r="I19" s="11">
        <v>0.4259</v>
      </c>
      <c r="J19" s="9">
        <f t="shared" si="1"/>
        <v>0.23479690068091102</v>
      </c>
      <c r="K19" s="9">
        <f t="shared" si="2"/>
        <v>1.1386412126016061E-2</v>
      </c>
      <c r="L19" s="9">
        <f t="shared" si="3"/>
        <v>7.2121906000000005E-18</v>
      </c>
      <c r="M19" s="12">
        <f t="shared" si="15"/>
        <v>186.27400000000003</v>
      </c>
      <c r="N19" s="12">
        <f t="shared" si="5"/>
        <v>1.8627400000000003E-17</v>
      </c>
      <c r="O19" s="12" t="e" cm="1" vm="1">
        <f t="array" aca="1" ref="O19" ca="1">_xlfn.STOCKHISTORY(C19,TODAY()-1,TODAY(),0,0,1)</f>
        <v>#VALUE!</v>
      </c>
      <c r="P19" s="12">
        <f t="shared" ca="1" si="6"/>
        <v>1.6933999999999999E-17</v>
      </c>
      <c r="Q19" s="12">
        <f t="shared" ca="1" si="7"/>
        <v>0</v>
      </c>
      <c r="R19" s="12">
        <f t="shared" si="8"/>
        <v>127.71702239987934</v>
      </c>
      <c r="S19" s="12">
        <f t="shared" si="9"/>
        <v>16.934000000000026</v>
      </c>
      <c r="T19" s="12">
        <f t="shared" si="10"/>
        <v>-20.811488800060332</v>
      </c>
      <c r="U19" s="15">
        <f t="shared" si="11"/>
        <v>-3.8774888000603056</v>
      </c>
      <c r="V19" s="12">
        <f t="shared" si="12"/>
        <v>118.00993388124469</v>
      </c>
      <c r="W19" s="9">
        <f t="shared" si="13"/>
        <v>8.4738628953585898E-3</v>
      </c>
      <c r="X19" s="9">
        <f t="shared" si="14"/>
        <v>0.50935442493943106</v>
      </c>
    </row>
    <row r="20" spans="1:24" x14ac:dyDescent="0.25">
      <c r="A20" t="s">
        <v>40</v>
      </c>
      <c r="B20" s="7" t="s">
        <v>93</v>
      </c>
      <c r="C20" s="32" t="s">
        <v>92</v>
      </c>
      <c r="D20" s="8">
        <v>45627</v>
      </c>
      <c r="E20" s="2">
        <v>9.9999999999999998E-20</v>
      </c>
      <c r="F20" s="1">
        <v>26.63</v>
      </c>
      <c r="G20" s="1">
        <f t="shared" si="0"/>
        <v>2.663E-18</v>
      </c>
      <c r="H20" s="13">
        <v>0.1</v>
      </c>
      <c r="I20" s="11">
        <v>0.2</v>
      </c>
      <c r="J20" s="9">
        <f t="shared" si="1"/>
        <v>0.5</v>
      </c>
      <c r="K20" s="9">
        <f t="shared" si="2"/>
        <v>2.4247364622351199E-2</v>
      </c>
      <c r="L20" s="9">
        <f t="shared" si="3"/>
        <v>5.3260000000000006E-19</v>
      </c>
      <c r="M20" s="12">
        <f t="shared" si="15"/>
        <v>29.293000000000003</v>
      </c>
      <c r="N20" s="12">
        <f t="shared" si="5"/>
        <v>2.9293000000000003E-18</v>
      </c>
      <c r="O20" s="12" t="e" cm="1" vm="1">
        <f t="array" aca="1" ref="O20" ca="1">_xlfn.STOCKHISTORY(C20,TODAY()-1,TODAY(),0,0,1)</f>
        <v>#VALUE!</v>
      </c>
      <c r="P20" s="12">
        <f t="shared" ca="1" si="6"/>
        <v>2.663E-18</v>
      </c>
      <c r="Q20" s="12">
        <f t="shared" ca="1" si="7"/>
        <v>0</v>
      </c>
      <c r="R20" s="12">
        <f t="shared" si="8"/>
        <v>24.209090909090911</v>
      </c>
      <c r="S20" s="12">
        <f t="shared" si="9"/>
        <v>2.6630000000000038</v>
      </c>
      <c r="T20" s="12">
        <f t="shared" si="10"/>
        <v>-1.2104545454545441</v>
      </c>
      <c r="U20" s="15">
        <f t="shared" si="11"/>
        <v>1.4525454545454597</v>
      </c>
      <c r="V20" s="12">
        <f t="shared" si="12"/>
        <v>112.67989962663893</v>
      </c>
      <c r="W20" s="9">
        <f t="shared" si="13"/>
        <v>8.8746972912956655E-3</v>
      </c>
      <c r="X20" s="9">
        <f t="shared" si="14"/>
        <v>0.48634893342382512</v>
      </c>
    </row>
    <row r="21" spans="1:24" x14ac:dyDescent="0.25">
      <c r="A21" t="s">
        <v>40</v>
      </c>
      <c r="B21" s="7" t="s">
        <v>51</v>
      </c>
      <c r="C21" s="14" t="s">
        <v>50</v>
      </c>
      <c r="D21" s="8">
        <v>45511</v>
      </c>
      <c r="E21" s="2">
        <v>9.9999999999999998E-20</v>
      </c>
      <c r="F21" s="1">
        <v>10.92</v>
      </c>
      <c r="G21" s="1">
        <f t="shared" si="0"/>
        <v>1.092E-18</v>
      </c>
      <c r="H21" s="13">
        <v>1</v>
      </c>
      <c r="I21" s="13">
        <v>1.8652</v>
      </c>
      <c r="J21" s="9">
        <f t="shared" si="1"/>
        <v>0.53613553506326406</v>
      </c>
      <c r="K21" s="9">
        <f t="shared" si="2"/>
        <v>2.5999747611356639E-2</v>
      </c>
      <c r="L21" s="9">
        <f t="shared" si="3"/>
        <v>2.0367984000000001E-18</v>
      </c>
      <c r="M21" s="12">
        <f t="shared" si="15"/>
        <v>21.84</v>
      </c>
      <c r="N21" s="12">
        <f t="shared" si="5"/>
        <v>2.1840000000000001E-18</v>
      </c>
      <c r="O21" s="12" t="e" cm="1" vm="1">
        <f t="array" aca="1" ref="O21" ca="1">_xlfn.STOCKHISTORY(C21,TODAY()-1,TODAY(),0,0,1)</f>
        <v>#VALUE!</v>
      </c>
      <c r="P21" s="12">
        <f t="shared" ca="1" si="6"/>
        <v>1.092E-18</v>
      </c>
      <c r="Q21" s="12">
        <f t="shared" ca="1" si="7"/>
        <v>0</v>
      </c>
      <c r="R21" s="12">
        <f t="shared" si="8"/>
        <v>5.8546000428908433</v>
      </c>
      <c r="S21" s="12">
        <f t="shared" si="9"/>
        <v>10.92</v>
      </c>
      <c r="T21" s="12">
        <f t="shared" si="10"/>
        <v>-2.5326999785545783</v>
      </c>
      <c r="U21" s="15">
        <f t="shared" si="11"/>
        <v>8.3873000214454212</v>
      </c>
      <c r="V21" s="12">
        <f t="shared" si="12"/>
        <v>105.74514505973896</v>
      </c>
      <c r="W21" s="9">
        <f t="shared" si="13"/>
        <v>9.456698928684306E-3</v>
      </c>
      <c r="X21" s="9">
        <f t="shared" si="14"/>
        <v>0.45641714879903256</v>
      </c>
    </row>
    <row r="22" spans="1:24" x14ac:dyDescent="0.25">
      <c r="A22" t="s">
        <v>74</v>
      </c>
      <c r="B22" s="7" t="s">
        <v>77</v>
      </c>
      <c r="C22" t="s">
        <v>78</v>
      </c>
      <c r="D22" s="8">
        <v>45574</v>
      </c>
      <c r="E22" s="2">
        <v>9.9999999999999998E-20</v>
      </c>
      <c r="F22" s="1">
        <v>153.7552</v>
      </c>
      <c r="G22" s="1">
        <f t="shared" si="0"/>
        <v>1.5375519999999999E-17</v>
      </c>
      <c r="H22" s="13">
        <v>7.0000000000000007E-2</v>
      </c>
      <c r="I22" s="11">
        <v>0.19</v>
      </c>
      <c r="J22" s="9">
        <f t="shared" si="1"/>
        <v>0.36842105263157898</v>
      </c>
      <c r="K22" s="9">
        <f t="shared" si="2"/>
        <v>1.7866479195416674E-2</v>
      </c>
      <c r="L22" s="9">
        <f t="shared" si="3"/>
        <v>2.9213487999999999E-18</v>
      </c>
      <c r="M22" s="12">
        <f t="shared" si="15"/>
        <v>164.51806400000001</v>
      </c>
      <c r="N22" s="12">
        <f t="shared" si="5"/>
        <v>1.6451806399999999E-17</v>
      </c>
      <c r="O22" s="12" t="e" cm="1" vm="2">
        <f t="array" aca="1" ref="O22" ca="1">_xlfn.STOCKHISTORY(C22,TODAY()-1,TODAY(),0,0,1)</f>
        <v>#VALUE!</v>
      </c>
      <c r="P22" s="12">
        <f t="shared" ca="1" si="6"/>
        <v>1.5375519999999999E-17</v>
      </c>
      <c r="Q22" s="12">
        <f t="shared" ca="1" si="7"/>
        <v>0</v>
      </c>
      <c r="R22" s="12">
        <f t="shared" si="8"/>
        <v>137.28142857142859</v>
      </c>
      <c r="S22" s="12">
        <f t="shared" si="9"/>
        <v>10.762864000000008</v>
      </c>
      <c r="T22" s="12">
        <f t="shared" si="10"/>
        <v>-8.2368857142857053</v>
      </c>
      <c r="U22" s="15">
        <f t="shared" si="11"/>
        <v>2.5259782857143023</v>
      </c>
      <c r="V22" s="12">
        <f t="shared" si="12"/>
        <v>111.60646679547008</v>
      </c>
      <c r="W22" s="9">
        <f t="shared" si="13"/>
        <v>8.9600542756415637E-3</v>
      </c>
      <c r="X22" s="9">
        <f t="shared" si="14"/>
        <v>0.48171578310801083</v>
      </c>
    </row>
    <row r="23" spans="1:24" x14ac:dyDescent="0.25">
      <c r="A23" t="s">
        <v>40</v>
      </c>
      <c r="B23" s="7" t="s">
        <v>45</v>
      </c>
      <c r="C23" t="s">
        <v>44</v>
      </c>
      <c r="D23" s="8">
        <v>45511</v>
      </c>
      <c r="E23" s="2">
        <v>9.9999999999999998E-20</v>
      </c>
      <c r="F23" s="1">
        <v>11.05</v>
      </c>
      <c r="G23" s="1">
        <f t="shared" si="0"/>
        <v>1.1050000000000001E-18</v>
      </c>
      <c r="H23" s="13">
        <v>0.05</v>
      </c>
      <c r="I23" s="11">
        <v>0.72170000000000001</v>
      </c>
      <c r="J23" s="9">
        <f t="shared" si="1"/>
        <v>6.9280864625190522E-2</v>
      </c>
      <c r="K23" s="9">
        <f t="shared" si="2"/>
        <v>3.3597567718374947E-3</v>
      </c>
      <c r="L23" s="9">
        <f t="shared" si="3"/>
        <v>7.9747850000000009E-19</v>
      </c>
      <c r="M23" s="12">
        <f t="shared" si="15"/>
        <v>11.602500000000001</v>
      </c>
      <c r="N23" s="12">
        <f t="shared" si="5"/>
        <v>1.16025E-18</v>
      </c>
      <c r="O23" s="12" t="e" cm="1" vm="2">
        <f t="array" aca="1" ref="O23" ca="1">_xlfn.STOCKHISTORY(C23,TODAY()-1,TODAY(),0,0,1)</f>
        <v>#VALUE!</v>
      </c>
      <c r="P23" s="12">
        <f t="shared" ca="1" si="6"/>
        <v>1.1050000000000001E-18</v>
      </c>
      <c r="Q23" s="12">
        <f t="shared" ca="1" si="7"/>
        <v>0</v>
      </c>
      <c r="R23" s="12">
        <f t="shared" si="8"/>
        <v>6.6100376861877139</v>
      </c>
      <c r="S23" s="12">
        <f t="shared" si="9"/>
        <v>0.55250000000000021</v>
      </c>
      <c r="T23" s="12">
        <f t="shared" si="10"/>
        <v>-2.2199811569061434</v>
      </c>
      <c r="U23" s="15">
        <f t="shared" si="11"/>
        <v>-1.6674811569061432</v>
      </c>
      <c r="V23" s="12">
        <f t="shared" si="12"/>
        <v>115.79992623809053</v>
      </c>
      <c r="W23" s="9">
        <f t="shared" si="13"/>
        <v>8.6355840844315312E-3</v>
      </c>
      <c r="X23" s="9">
        <f t="shared" si="14"/>
        <v>0.49981559091785349</v>
      </c>
    </row>
    <row r="24" spans="1:24" x14ac:dyDescent="0.25">
      <c r="A24" t="s">
        <v>115</v>
      </c>
      <c r="B24" s="7" t="s">
        <v>119</v>
      </c>
      <c r="C24" t="s">
        <v>120</v>
      </c>
      <c r="D24" s="8">
        <v>45481</v>
      </c>
      <c r="E24" s="2">
        <v>1</v>
      </c>
      <c r="F24" s="1">
        <v>51.28</v>
      </c>
      <c r="G24" s="1">
        <f t="shared" si="0"/>
        <v>51.28</v>
      </c>
      <c r="H24" s="13">
        <v>4.2999999999999997E-2</v>
      </c>
      <c r="I24" s="11">
        <v>5.7000000000000002E-2</v>
      </c>
      <c r="J24" s="9">
        <f t="shared" si="1"/>
        <v>0.7543859649122806</v>
      </c>
      <c r="K24" s="9">
        <f t="shared" si="2"/>
        <v>3.6583743114424611E-2</v>
      </c>
      <c r="L24" s="9">
        <f t="shared" si="3"/>
        <v>2.9229600000000002</v>
      </c>
      <c r="M24" s="12">
        <f t="shared" si="15"/>
        <v>53.485039999999998</v>
      </c>
      <c r="N24" s="12">
        <f t="shared" si="5"/>
        <v>53.485039999999998</v>
      </c>
      <c r="O24" s="46">
        <v>51.28</v>
      </c>
      <c r="P24" s="12">
        <f t="shared" si="6"/>
        <v>51.28</v>
      </c>
      <c r="Q24" s="12">
        <f t="shared" si="7"/>
        <v>0</v>
      </c>
      <c r="R24" s="12">
        <f t="shared" si="8"/>
        <v>50.57199211045365</v>
      </c>
      <c r="S24" s="12">
        <f t="shared" si="9"/>
        <v>2.2050399999999968</v>
      </c>
      <c r="T24" s="12">
        <f t="shared" si="10"/>
        <v>-0.35400394477317576</v>
      </c>
      <c r="U24" s="15">
        <f t="shared" si="11"/>
        <v>1.851036055226821</v>
      </c>
      <c r="V24" s="12">
        <f t="shared" si="12"/>
        <v>112.28140902595757</v>
      </c>
      <c r="W24" s="9">
        <f t="shared" si="13"/>
        <v>8.9061938986606127E-3</v>
      </c>
      <c r="X24" s="9">
        <f t="shared" si="14"/>
        <v>0.4846289684676709</v>
      </c>
    </row>
    <row r="25" spans="1:24" x14ac:dyDescent="0.25">
      <c r="A25" t="s">
        <v>40</v>
      </c>
      <c r="B25" s="7" t="s">
        <v>49</v>
      </c>
      <c r="C25" s="14" t="s">
        <v>48</v>
      </c>
      <c r="D25" s="8">
        <v>45511</v>
      </c>
      <c r="E25" s="2">
        <v>9.9999999999999998E-20</v>
      </c>
      <c r="F25" s="1">
        <v>20.82</v>
      </c>
      <c r="G25" s="1">
        <f t="shared" si="0"/>
        <v>2.0820000000000002E-18</v>
      </c>
      <c r="H25" s="13">
        <v>0.05</v>
      </c>
      <c r="I25" s="11">
        <v>0.7389</v>
      </c>
      <c r="J25" s="9">
        <f t="shared" si="1"/>
        <v>6.7668155366084726E-2</v>
      </c>
      <c r="K25" s="9">
        <f t="shared" si="2"/>
        <v>3.2815488729667345E-3</v>
      </c>
      <c r="L25" s="9">
        <f t="shared" si="3"/>
        <v>1.5383898E-18</v>
      </c>
      <c r="M25" s="12">
        <f t="shared" si="15"/>
        <v>21.861000000000001</v>
      </c>
      <c r="N25" s="12">
        <f t="shared" si="5"/>
        <v>2.1860999999999999E-18</v>
      </c>
      <c r="O25" s="12" t="e" cm="1" vm="2">
        <f t="array" aca="1" ref="O25" ca="1">_xlfn.STOCKHISTORY(C25,TODAY()-1,TODAY(),0,0,1)</f>
        <v>#VALUE!</v>
      </c>
      <c r="P25" s="12">
        <f t="shared" ca="1" si="6"/>
        <v>2.0820000000000002E-18</v>
      </c>
      <c r="Q25" s="12">
        <f t="shared" ca="1" si="7"/>
        <v>0</v>
      </c>
      <c r="R25" s="12">
        <f t="shared" si="8"/>
        <v>12.327550476641601</v>
      </c>
      <c r="S25" s="12">
        <f t="shared" si="9"/>
        <v>1.0410000000000004</v>
      </c>
      <c r="T25" s="12">
        <f t="shared" si="10"/>
        <v>-4.2462247616791995</v>
      </c>
      <c r="U25" s="15">
        <f t="shared" si="11"/>
        <v>-3.2052247616791991</v>
      </c>
      <c r="V25" s="12">
        <f t="shared" si="12"/>
        <v>117.33766984286359</v>
      </c>
      <c r="W25" s="9">
        <f t="shared" si="13"/>
        <v>8.5224122938454567E-3</v>
      </c>
      <c r="X25" s="9">
        <f t="shared" si="14"/>
        <v>0.50645279919136776</v>
      </c>
    </row>
    <row r="26" spans="1:24" x14ac:dyDescent="0.25">
      <c r="A26" t="s">
        <v>39</v>
      </c>
      <c r="B26" s="6" t="s">
        <v>57</v>
      </c>
      <c r="C26" t="s">
        <v>56</v>
      </c>
      <c r="D26" s="8">
        <v>45574</v>
      </c>
      <c r="E26" s="2">
        <v>9.9999999999999998E-20</v>
      </c>
      <c r="F26" s="1">
        <v>47.42</v>
      </c>
      <c r="G26" s="1">
        <f t="shared" si="0"/>
        <v>4.7419999999999999E-18</v>
      </c>
      <c r="H26" s="13">
        <v>7.0000000000000007E-2</v>
      </c>
      <c r="I26" s="11">
        <v>0.4</v>
      </c>
      <c r="J26" s="9">
        <f t="shared" si="1"/>
        <v>0.17500000000000002</v>
      </c>
      <c r="K26" s="9">
        <f t="shared" si="2"/>
        <v>8.4865776178229199E-3</v>
      </c>
      <c r="L26" s="9">
        <f t="shared" si="3"/>
        <v>1.8968000000000002E-18</v>
      </c>
      <c r="M26" s="12">
        <f t="shared" si="15"/>
        <v>50.739400000000003</v>
      </c>
      <c r="N26" s="12">
        <f t="shared" si="5"/>
        <v>5.0739400000000001E-18</v>
      </c>
      <c r="O26" s="12" t="e" cm="1" vm="2">
        <f t="array" aca="1" ref="O26" ca="1">_xlfn.STOCKHISTORY(C26,TODAY()-1,TODAY(),0,0,1)</f>
        <v>#VALUE!</v>
      </c>
      <c r="P26" s="12">
        <f t="shared" ca="1" si="6"/>
        <v>4.7419999999999999E-18</v>
      </c>
      <c r="Q26" s="12">
        <f t="shared" ca="1" si="7"/>
        <v>0</v>
      </c>
      <c r="R26" s="12">
        <f t="shared" si="8"/>
        <v>35.654135338345867</v>
      </c>
      <c r="S26" s="12">
        <f t="shared" si="9"/>
        <v>3.3194000000000017</v>
      </c>
      <c r="T26" s="12">
        <f t="shared" si="10"/>
        <v>-5.8829323308270673</v>
      </c>
      <c r="U26" s="15">
        <f t="shared" si="11"/>
        <v>-2.5635323308270657</v>
      </c>
      <c r="V26" s="12">
        <f t="shared" si="12"/>
        <v>116.69597741201144</v>
      </c>
      <c r="W26" s="9">
        <f t="shared" si="13"/>
        <v>8.5692756697976005E-3</v>
      </c>
      <c r="X26" s="9">
        <f t="shared" si="14"/>
        <v>0.50368312660233305</v>
      </c>
    </row>
    <row r="27" spans="1:24" x14ac:dyDescent="0.25">
      <c r="A27" t="s">
        <v>74</v>
      </c>
      <c r="B27" s="5" t="s">
        <v>75</v>
      </c>
      <c r="C27" t="s">
        <v>76</v>
      </c>
      <c r="D27" s="8">
        <v>45580</v>
      </c>
      <c r="E27" s="2">
        <v>9.9999999999999998E-20</v>
      </c>
      <c r="F27" s="1">
        <v>17</v>
      </c>
      <c r="G27" s="1">
        <f t="shared" si="0"/>
        <v>1.7E-18</v>
      </c>
      <c r="H27" s="13">
        <v>0.1</v>
      </c>
      <c r="I27" s="11">
        <v>0.15</v>
      </c>
      <c r="J27" s="9">
        <f t="shared" si="1"/>
        <v>0.66666666666666674</v>
      </c>
      <c r="K27" s="9">
        <f t="shared" si="2"/>
        <v>3.2329819496468272E-2</v>
      </c>
      <c r="L27" s="9">
        <f t="shared" si="3"/>
        <v>2.5499999999999999E-19</v>
      </c>
      <c r="M27" s="12">
        <v>21.2</v>
      </c>
      <c r="N27" s="12">
        <f t="shared" si="5"/>
        <v>2.1199999999999999E-18</v>
      </c>
      <c r="O27" s="12" t="e" cm="1" vm="2">
        <f t="array" aca="1" ref="O27" ca="1">_xlfn.STOCKHISTORY(C27,TODAY()-1,TODAY(),0,0,1)</f>
        <v>#VALUE!</v>
      </c>
      <c r="P27" s="12">
        <f t="shared" ca="1" si="6"/>
        <v>1.7E-18</v>
      </c>
      <c r="Q27" s="12">
        <f t="shared" ca="1" si="7"/>
        <v>0</v>
      </c>
      <c r="R27" s="12">
        <f t="shared" si="8"/>
        <v>16.190476190476193</v>
      </c>
      <c r="S27" s="12">
        <f t="shared" si="9"/>
        <v>4.1999999999999993</v>
      </c>
      <c r="T27" s="12">
        <f t="shared" si="10"/>
        <v>-0.40476190476190332</v>
      </c>
      <c r="U27" s="15">
        <f t="shared" si="11"/>
        <v>3.795238095238096</v>
      </c>
      <c r="V27" s="12">
        <f t="shared" si="12"/>
        <v>110.3372069859463</v>
      </c>
      <c r="W27" s="9">
        <f t="shared" si="13"/>
        <v>9.063125914791104E-3</v>
      </c>
      <c r="X27" s="9">
        <f t="shared" si="14"/>
        <v>0.47623740447397733</v>
      </c>
    </row>
    <row r="28" spans="1:24" x14ac:dyDescent="0.25">
      <c r="A28" t="s">
        <v>40</v>
      </c>
      <c r="B28" s="7" t="s">
        <v>31</v>
      </c>
      <c r="C28" s="14" t="s">
        <v>32</v>
      </c>
      <c r="D28" s="8">
        <v>45511</v>
      </c>
      <c r="E28" s="2">
        <v>9.9999999999999998E-20</v>
      </c>
      <c r="F28" s="1">
        <v>113.58</v>
      </c>
      <c r="G28" s="1">
        <f t="shared" si="0"/>
        <v>1.1357999999999999E-17</v>
      </c>
      <c r="H28" s="13">
        <f>121.15/F28-1</f>
        <v>6.664905793273479E-2</v>
      </c>
      <c r="I28" s="11">
        <v>0.16439999999999999</v>
      </c>
      <c r="J28" s="9">
        <f t="shared" si="1"/>
        <v>0.40540789496797319</v>
      </c>
      <c r="K28" s="9">
        <f t="shared" si="2"/>
        <v>1.9660146100136607E-2</v>
      </c>
      <c r="L28" s="9">
        <f t="shared" si="3"/>
        <v>1.8672551999999998E-18</v>
      </c>
      <c r="M28" s="12">
        <f t="shared" ref="M28:M46" si="16">F28/(1-(F28*(1+H28)-F28)/(F28*(1+H28)))</f>
        <v>121.15000000000002</v>
      </c>
      <c r="N28" s="12">
        <f t="shared" si="5"/>
        <v>1.2115000000000002E-17</v>
      </c>
      <c r="O28" s="12" t="e" cm="1" vm="2">
        <f t="array" aca="1" ref="O28" ca="1">_xlfn.STOCKHISTORY(C28,TODAY()-1,TODAY(),0,0,1)</f>
        <v>#VALUE!</v>
      </c>
      <c r="P28" s="12">
        <f t="shared" ca="1" si="6"/>
        <v>1.1357999999999999E-17</v>
      </c>
      <c r="Q28" s="12">
        <f t="shared" ca="1" si="7"/>
        <v>0</v>
      </c>
      <c r="R28" s="12">
        <f t="shared" si="8"/>
        <v>103.46609203186667</v>
      </c>
      <c r="S28" s="12">
        <f t="shared" si="9"/>
        <v>7.5700000000000216</v>
      </c>
      <c r="T28" s="12">
        <f t="shared" si="10"/>
        <v>-5.0569539840666664</v>
      </c>
      <c r="U28" s="15">
        <f t="shared" si="11"/>
        <v>2.5130460159333552</v>
      </c>
      <c r="V28" s="12">
        <f t="shared" si="12"/>
        <v>111.61939906525103</v>
      </c>
      <c r="W28" s="9">
        <f t="shared" si="13"/>
        <v>8.9590161600441431E-3</v>
      </c>
      <c r="X28" s="9">
        <f t="shared" si="14"/>
        <v>0.48177160136517611</v>
      </c>
    </row>
    <row r="29" spans="1:24" x14ac:dyDescent="0.25">
      <c r="A29" t="s">
        <v>40</v>
      </c>
      <c r="B29" s="7" t="s">
        <v>52</v>
      </c>
      <c r="C29" t="s">
        <v>53</v>
      </c>
      <c r="D29" s="8">
        <v>45511</v>
      </c>
      <c r="E29" s="2">
        <v>9.9999999999999998E-20</v>
      </c>
      <c r="F29" s="1">
        <v>13.04</v>
      </c>
      <c r="G29" s="1">
        <f t="shared" si="0"/>
        <v>1.304E-18</v>
      </c>
      <c r="H29" s="13">
        <f>13.72/F29-1</f>
        <v>5.2147239263803824E-2</v>
      </c>
      <c r="I29" s="11">
        <v>0.30159999999999998</v>
      </c>
      <c r="J29" s="9">
        <f t="shared" si="1"/>
        <v>0.17290198694895167</v>
      </c>
      <c r="K29" s="9">
        <f t="shared" si="2"/>
        <v>8.3848350429604791E-3</v>
      </c>
      <c r="L29" s="9">
        <f t="shared" si="3"/>
        <v>3.9328639999999997E-19</v>
      </c>
      <c r="M29" s="12">
        <f t="shared" si="16"/>
        <v>13.72</v>
      </c>
      <c r="N29" s="12">
        <f t="shared" si="5"/>
        <v>1.3720000000000001E-18</v>
      </c>
      <c r="O29" s="12" t="e" cm="1" vm="1">
        <f t="array" aca="1" ref="O29" ca="1">_xlfn.STOCKHISTORY(C29,TODAY()-1,TODAY(),0,0,1)</f>
        <v>#VALUE!</v>
      </c>
      <c r="P29" s="12">
        <f t="shared" ca="1" si="6"/>
        <v>1.304E-18</v>
      </c>
      <c r="Q29" s="12">
        <f t="shared" ca="1" si="7"/>
        <v>0</v>
      </c>
      <c r="R29" s="12">
        <f t="shared" si="8"/>
        <v>10.436569040286594</v>
      </c>
      <c r="S29" s="12">
        <f t="shared" si="9"/>
        <v>0.68000000000000149</v>
      </c>
      <c r="T29" s="12">
        <f t="shared" si="10"/>
        <v>-1.3017154798567026</v>
      </c>
      <c r="U29" s="15">
        <f t="shared" si="11"/>
        <v>-0.62171547985670106</v>
      </c>
      <c r="V29" s="12">
        <f t="shared" si="12"/>
        <v>114.75416056104109</v>
      </c>
      <c r="W29" s="9">
        <f t="shared" si="13"/>
        <v>8.7142809908671744E-3</v>
      </c>
      <c r="X29" s="9">
        <f t="shared" si="14"/>
        <v>0.49530185756053341</v>
      </c>
    </row>
    <row r="30" spans="1:24" x14ac:dyDescent="0.25">
      <c r="A30" t="s">
        <v>36</v>
      </c>
      <c r="B30" s="3" t="s">
        <v>60</v>
      </c>
      <c r="C30" t="s">
        <v>60</v>
      </c>
      <c r="D30" s="8">
        <v>45481</v>
      </c>
      <c r="E30" s="2">
        <v>9.9999999999999998E-20</v>
      </c>
      <c r="F30" s="1">
        <v>700.32</v>
      </c>
      <c r="G30" s="1">
        <f t="shared" si="0"/>
        <v>7.0031999999999998E-17</v>
      </c>
      <c r="H30" s="13">
        <v>0.1</v>
      </c>
      <c r="I30" s="11">
        <v>0.45340000000000003</v>
      </c>
      <c r="J30" s="9">
        <f t="shared" si="1"/>
        <v>0.22055580061755625</v>
      </c>
      <c r="K30" s="9">
        <f t="shared" si="2"/>
        <v>1.0695793834296956E-2</v>
      </c>
      <c r="L30" s="9">
        <f t="shared" si="3"/>
        <v>3.1752508800000004E-17</v>
      </c>
      <c r="M30" s="12">
        <f t="shared" si="16"/>
        <v>770.35200000000009</v>
      </c>
      <c r="N30" s="12">
        <f t="shared" si="5"/>
        <v>7.7035200000000004E-17</v>
      </c>
      <c r="O30" s="12" t="e" cm="1" vm="1">
        <f t="array" aca="1" ref="O30" ca="1">_xlfn.STOCKHISTORY(C30,TODAY()-1,TODAY(),0,0,1)</f>
        <v>#VALUE!</v>
      </c>
      <c r="P30" s="12">
        <f t="shared" ca="1" si="6"/>
        <v>7.0031999999999998E-17</v>
      </c>
      <c r="Q30" s="12">
        <f t="shared" ca="1" si="7"/>
        <v>0</v>
      </c>
      <c r="R30" s="12">
        <f t="shared" si="8"/>
        <v>517.45234224915032</v>
      </c>
      <c r="S30" s="12">
        <f t="shared" si="9"/>
        <v>70.032000000000039</v>
      </c>
      <c r="T30" s="12">
        <f t="shared" si="10"/>
        <v>-91.433828875424865</v>
      </c>
      <c r="U30" s="15">
        <f t="shared" si="11"/>
        <v>-21.401828875424826</v>
      </c>
      <c r="V30" s="12">
        <f t="shared" si="12"/>
        <v>135.53427395660921</v>
      </c>
      <c r="W30" s="9">
        <f t="shared" si="13"/>
        <v>7.3782075249847591E-3</v>
      </c>
      <c r="X30" s="9">
        <f t="shared" si="14"/>
        <v>0.58499297389847715</v>
      </c>
    </row>
    <row r="31" spans="1:24" x14ac:dyDescent="0.25">
      <c r="A31" t="s">
        <v>71</v>
      </c>
      <c r="B31" s="5" t="s">
        <v>72</v>
      </c>
      <c r="C31" t="s">
        <v>73</v>
      </c>
      <c r="D31" s="8">
        <v>45562</v>
      </c>
      <c r="E31" s="2">
        <v>9.9999999999999998E-20</v>
      </c>
      <c r="F31" s="1">
        <v>56</v>
      </c>
      <c r="G31" s="1">
        <f t="shared" si="0"/>
        <v>5.5999999999999995E-18</v>
      </c>
      <c r="H31" s="13">
        <v>7.0000000000000007E-2</v>
      </c>
      <c r="I31" s="11">
        <v>0.19</v>
      </c>
      <c r="J31" s="9">
        <f t="shared" si="1"/>
        <v>0.36842105263157898</v>
      </c>
      <c r="K31" s="9">
        <f t="shared" si="2"/>
        <v>1.7866479195416674E-2</v>
      </c>
      <c r="L31" s="9">
        <f t="shared" si="3"/>
        <v>1.0639999999999999E-18</v>
      </c>
      <c r="M31" s="12">
        <f t="shared" si="16"/>
        <v>59.92</v>
      </c>
      <c r="N31" s="12">
        <f t="shared" si="5"/>
        <v>5.9920000000000002E-18</v>
      </c>
      <c r="O31" s="12" t="e" cm="1" vm="1">
        <f t="array" aca="1" ref="O31" ca="1">_xlfn.STOCKHISTORY(C31,TODAY()-1,TODAY(),0,0,1)</f>
        <v>#VALUE!</v>
      </c>
      <c r="P31" s="12">
        <f t="shared" ca="1" si="6"/>
        <v>5.5999999999999995E-18</v>
      </c>
      <c r="Q31" s="12">
        <f t="shared" ca="1" si="7"/>
        <v>0</v>
      </c>
      <c r="R31" s="12">
        <f t="shared" si="8"/>
        <v>50.000000000000007</v>
      </c>
      <c r="S31" s="12">
        <f t="shared" si="9"/>
        <v>3.9200000000000017</v>
      </c>
      <c r="T31" s="12">
        <f t="shared" si="10"/>
        <v>-2.9999999999999964</v>
      </c>
      <c r="U31" s="15">
        <f t="shared" si="11"/>
        <v>0.92000000000000526</v>
      </c>
      <c r="V31" s="12">
        <f t="shared" si="12"/>
        <v>113.21244508118438</v>
      </c>
      <c r="W31" s="9">
        <f t="shared" si="13"/>
        <v>8.832951176727102E-3</v>
      </c>
      <c r="X31" s="9">
        <f t="shared" si="14"/>
        <v>0.48864750588152245</v>
      </c>
    </row>
    <row r="32" spans="1:24" x14ac:dyDescent="0.25">
      <c r="A32" t="s">
        <v>38</v>
      </c>
      <c r="B32" s="5" t="s">
        <v>54</v>
      </c>
      <c r="C32" t="s">
        <v>55</v>
      </c>
      <c r="D32" s="8">
        <v>45505</v>
      </c>
      <c r="E32" s="2">
        <v>9.9999999999999998E-20</v>
      </c>
      <c r="F32" s="1">
        <v>86.6</v>
      </c>
      <c r="G32" s="1">
        <f t="shared" si="0"/>
        <v>8.6599999999999986E-18</v>
      </c>
      <c r="H32" s="13">
        <v>7.0000000000000007E-2</v>
      </c>
      <c r="I32" s="11">
        <v>0.17249999999999999</v>
      </c>
      <c r="J32" s="9">
        <f t="shared" si="1"/>
        <v>0.40579710144927544</v>
      </c>
      <c r="K32" s="9">
        <f t="shared" si="2"/>
        <v>1.9679020563067643E-2</v>
      </c>
      <c r="L32" s="9">
        <f t="shared" si="3"/>
        <v>1.4938499999999996E-18</v>
      </c>
      <c r="M32" s="12">
        <f t="shared" si="16"/>
        <v>92.662000000000006</v>
      </c>
      <c r="N32" s="12">
        <f t="shared" si="5"/>
        <v>9.2662000000000008E-18</v>
      </c>
      <c r="O32" s="12" t="e" cm="1" vm="2">
        <f t="array" aca="1" ref="O32" ca="1">_xlfn.STOCKHISTORY(C32,TODAY()-1,TODAY(),0,0,1)</f>
        <v>#VALUE!</v>
      </c>
      <c r="P32" s="12">
        <f t="shared" ca="1" si="6"/>
        <v>8.6599999999999986E-18</v>
      </c>
      <c r="Q32" s="12">
        <f t="shared" ca="1" si="7"/>
        <v>0</v>
      </c>
      <c r="R32" s="12">
        <f t="shared" si="8"/>
        <v>78.548752834467123</v>
      </c>
      <c r="S32" s="12">
        <f t="shared" si="9"/>
        <v>6.0620000000000118</v>
      </c>
      <c r="T32" s="12">
        <f t="shared" si="10"/>
        <v>-4.0256235827664355</v>
      </c>
      <c r="U32" s="15">
        <f t="shared" si="11"/>
        <v>2.0363764172335763</v>
      </c>
      <c r="V32" s="12">
        <f t="shared" si="12"/>
        <v>112.0960686639508</v>
      </c>
      <c r="W32" s="9">
        <f t="shared" si="13"/>
        <v>8.9209194570227784E-3</v>
      </c>
      <c r="X32" s="9">
        <f t="shared" si="14"/>
        <v>0.48382900247834137</v>
      </c>
    </row>
    <row r="33" spans="1:24" x14ac:dyDescent="0.25">
      <c r="A33" t="s">
        <v>36</v>
      </c>
      <c r="B33" s="3" t="s">
        <v>83</v>
      </c>
      <c r="C33" t="s">
        <v>84</v>
      </c>
      <c r="D33" s="8">
        <v>45481</v>
      </c>
      <c r="E33" s="2">
        <v>9.9999999999999998E-20</v>
      </c>
      <c r="F33" s="1">
        <v>64.349999999999994</v>
      </c>
      <c r="G33" s="1">
        <f t="shared" si="0"/>
        <v>6.4349999999999993E-18</v>
      </c>
      <c r="H33" s="13">
        <v>0.15</v>
      </c>
      <c r="I33" s="11">
        <v>0.67300000000000004</v>
      </c>
      <c r="J33" s="9">
        <f t="shared" si="1"/>
        <v>0.22288261515601782</v>
      </c>
      <c r="K33" s="9">
        <f t="shared" si="2"/>
        <v>1.0808632075342287E-2</v>
      </c>
      <c r="L33" s="9">
        <f t="shared" si="3"/>
        <v>4.3307549999999997E-18</v>
      </c>
      <c r="M33" s="12">
        <f t="shared" si="16"/>
        <v>74.002499999999984</v>
      </c>
      <c r="N33" s="12">
        <f t="shared" si="5"/>
        <v>7.4002499999999988E-18</v>
      </c>
      <c r="O33" s="12" t="e" cm="1" vm="1">
        <f t="array" aca="1" ref="O33" ca="1">_xlfn.STOCKHISTORY(C33,TODAY()-1,TODAY(),0,0,1)</f>
        <v>#VALUE!</v>
      </c>
      <c r="P33" s="12">
        <f t="shared" ca="1" si="6"/>
        <v>6.4349999999999993E-18</v>
      </c>
      <c r="Q33" s="12">
        <f t="shared" ca="1" si="7"/>
        <v>0</v>
      </c>
      <c r="R33" s="12">
        <f t="shared" si="8"/>
        <v>42.252133946158892</v>
      </c>
      <c r="S33" s="12">
        <f t="shared" si="9"/>
        <v>9.6524999999999892</v>
      </c>
      <c r="T33" s="12">
        <f t="shared" si="10"/>
        <v>-11.048933026920551</v>
      </c>
      <c r="U33" s="15">
        <f t="shared" si="11"/>
        <v>-1.3964330269205618</v>
      </c>
      <c r="V33" s="12">
        <f t="shared" si="12"/>
        <v>115.52887810810495</v>
      </c>
      <c r="W33" s="9">
        <f t="shared" si="13"/>
        <v>8.6558444639638962E-3</v>
      </c>
      <c r="X33" s="9">
        <f t="shared" si="14"/>
        <v>0.49864569309790685</v>
      </c>
    </row>
    <row r="34" spans="1:24" x14ac:dyDescent="0.25">
      <c r="A34" t="s">
        <v>87</v>
      </c>
      <c r="B34" t="s">
        <v>88</v>
      </c>
      <c r="C34" s="32" t="s">
        <v>89</v>
      </c>
      <c r="D34" s="8">
        <v>45627</v>
      </c>
      <c r="E34" s="2">
        <v>9.9999999999999998E-20</v>
      </c>
      <c r="F34" s="1">
        <v>133.53</v>
      </c>
      <c r="G34" s="1">
        <f t="shared" si="0"/>
        <v>1.3353E-17</v>
      </c>
      <c r="H34" s="13">
        <v>7.0000000000000007E-2</v>
      </c>
      <c r="I34" s="11">
        <v>0.2</v>
      </c>
      <c r="J34" s="9">
        <f t="shared" si="1"/>
        <v>0.35000000000000003</v>
      </c>
      <c r="K34" s="9">
        <f t="shared" si="2"/>
        <v>1.697315523564584E-2</v>
      </c>
      <c r="L34" s="9">
        <f t="shared" si="3"/>
        <v>2.6706000000000003E-18</v>
      </c>
      <c r="M34" s="12">
        <f t="shared" si="16"/>
        <v>142.87710000000001</v>
      </c>
      <c r="N34" s="12">
        <f t="shared" si="5"/>
        <v>1.428771E-17</v>
      </c>
      <c r="O34" s="12" t="e" cm="1" vm="2">
        <f t="array" aca="1" ref="O34" ca="1">_xlfn.STOCKHISTORY(C34,TODAY()-1,TODAY(),0,0,1)</f>
        <v>#VALUE!</v>
      </c>
      <c r="P34" s="12">
        <f t="shared" ca="1" si="6"/>
        <v>1.3353E-17</v>
      </c>
      <c r="Q34" s="12">
        <f t="shared" ca="1" si="7"/>
        <v>0</v>
      </c>
      <c r="R34" s="12">
        <f t="shared" si="8"/>
        <v>118.16814159292036</v>
      </c>
      <c r="S34" s="12">
        <f t="shared" si="9"/>
        <v>9.3471000000000117</v>
      </c>
      <c r="T34" s="12">
        <f t="shared" si="10"/>
        <v>-7.6809292035398187</v>
      </c>
      <c r="U34" s="15">
        <f t="shared" si="11"/>
        <v>1.6661707964601931</v>
      </c>
      <c r="V34" s="12">
        <f t="shared" si="12"/>
        <v>112.46627428472419</v>
      </c>
      <c r="W34" s="9">
        <f t="shared" si="13"/>
        <v>8.8915544358512261E-3</v>
      </c>
      <c r="X34" s="9">
        <f t="shared" si="14"/>
        <v>0.48542688381660337</v>
      </c>
    </row>
    <row r="35" spans="1:24" x14ac:dyDescent="0.25">
      <c r="A35" t="s">
        <v>37</v>
      </c>
      <c r="B35" s="4" t="s">
        <v>7</v>
      </c>
      <c r="C35" t="s">
        <v>25</v>
      </c>
      <c r="D35" s="8">
        <v>45685</v>
      </c>
      <c r="E35" s="2">
        <v>9.9999999999999998E-20</v>
      </c>
      <c r="F35" s="1">
        <v>336.69</v>
      </c>
      <c r="G35" s="1">
        <f t="shared" si="0"/>
        <v>3.3669000000000002E-17</v>
      </c>
      <c r="H35" s="13">
        <v>0.25</v>
      </c>
      <c r="I35" s="11">
        <v>0.26</v>
      </c>
      <c r="J35" s="9">
        <f t="shared" si="1"/>
        <v>0.96153846153846145</v>
      </c>
      <c r="K35" s="9">
        <f t="shared" si="2"/>
        <v>4.6629547350675378E-2</v>
      </c>
      <c r="L35" s="9">
        <f t="shared" si="3"/>
        <v>8.7539400000000014E-18</v>
      </c>
      <c r="M35" s="12">
        <f t="shared" si="16"/>
        <v>420.86250000000001</v>
      </c>
      <c r="N35" s="12">
        <f t="shared" si="5"/>
        <v>4.2086250000000001E-17</v>
      </c>
      <c r="O35" s="12" t="e" cm="1" vm="2">
        <f t="array" aca="1" ref="O35" ca="1">_xlfn.STOCKHISTORY(C35,TODAY()-1,TODAY(),0,0,1)</f>
        <v>#VALUE!</v>
      </c>
      <c r="P35" s="12">
        <f t="shared" ca="1" si="6"/>
        <v>3.3669000000000002E-17</v>
      </c>
      <c r="Q35" s="12">
        <f t="shared" ca="1" si="7"/>
        <v>0</v>
      </c>
      <c r="R35" s="12">
        <f t="shared" si="8"/>
        <v>333.35643564356434</v>
      </c>
      <c r="S35" s="12">
        <f t="shared" si="9"/>
        <v>84.172500000000014</v>
      </c>
      <c r="T35" s="12">
        <f t="shared" si="10"/>
        <v>-1.6667821782178294</v>
      </c>
      <c r="U35" s="15">
        <f t="shared" si="11"/>
        <v>82.505717821782184</v>
      </c>
      <c r="V35" s="12">
        <f t="shared" si="12"/>
        <v>31.626727259402202</v>
      </c>
      <c r="W35" s="9">
        <f t="shared" si="13"/>
        <v>3.1618826437462423E-2</v>
      </c>
      <c r="X35" s="9">
        <f t="shared" si="14"/>
        <v>0.13650726634708565</v>
      </c>
    </row>
    <row r="36" spans="1:24" x14ac:dyDescent="0.25">
      <c r="A36" t="s">
        <v>39</v>
      </c>
      <c r="B36" s="6" t="s">
        <v>33</v>
      </c>
      <c r="C36" t="s">
        <v>34</v>
      </c>
      <c r="D36" s="8">
        <v>45562</v>
      </c>
      <c r="E36" s="2">
        <v>9.9999999999999998E-20</v>
      </c>
      <c r="F36" s="1">
        <v>668.82</v>
      </c>
      <c r="G36" s="1">
        <f t="shared" si="0"/>
        <v>6.6881999999999999E-17</v>
      </c>
      <c r="H36" s="13">
        <v>0.05</v>
      </c>
      <c r="I36" s="11">
        <v>0.28000000000000003</v>
      </c>
      <c r="J36" s="9">
        <f t="shared" si="1"/>
        <v>0.17857142857142858</v>
      </c>
      <c r="K36" s="9">
        <f t="shared" si="2"/>
        <v>8.6597730794111434E-3</v>
      </c>
      <c r="L36" s="9">
        <f t="shared" si="3"/>
        <v>1.872696E-17</v>
      </c>
      <c r="M36" s="12">
        <f t="shared" si="16"/>
        <v>702.26100000000008</v>
      </c>
      <c r="N36" s="12">
        <f t="shared" si="5"/>
        <v>7.0226100000000009E-17</v>
      </c>
      <c r="O36" s="12" t="e" cm="1" vm="2">
        <f t="array" aca="1" ref="O36" ca="1">_xlfn.STOCKHISTORY("LVMH",TODAY()-1,TODAY(),0,0,1)</f>
        <v>#VALUE!</v>
      </c>
      <c r="P36" s="12">
        <f t="shared" ca="1" si="6"/>
        <v>6.6881999999999999E-17</v>
      </c>
      <c r="Q36" s="12">
        <f t="shared" ca="1" si="7"/>
        <v>0</v>
      </c>
      <c r="R36" s="12">
        <f t="shared" si="8"/>
        <v>543.7560975609756</v>
      </c>
      <c r="S36" s="12">
        <f t="shared" si="9"/>
        <v>33.441000000000031</v>
      </c>
      <c r="T36" s="12">
        <f t="shared" si="10"/>
        <v>-62.531951219512223</v>
      </c>
      <c r="U36" s="15">
        <f t="shared" si="11"/>
        <v>-29.090951219512192</v>
      </c>
      <c r="V36" s="12">
        <f t="shared" si="12"/>
        <v>143.22339630069658</v>
      </c>
      <c r="W36" s="9">
        <f t="shared" si="13"/>
        <v>6.9820994741704541E-3</v>
      </c>
      <c r="X36" s="9">
        <f t="shared" si="14"/>
        <v>0.61818076039281389</v>
      </c>
    </row>
    <row r="37" spans="1:24" x14ac:dyDescent="0.25">
      <c r="A37" t="s">
        <v>36</v>
      </c>
      <c r="B37" s="3" t="s">
        <v>14</v>
      </c>
      <c r="C37" t="s">
        <v>13</v>
      </c>
      <c r="D37" s="8">
        <v>45482</v>
      </c>
      <c r="E37" s="2">
        <v>1E-4</v>
      </c>
      <c r="F37" s="1">
        <v>227.38</v>
      </c>
      <c r="G37" s="1">
        <f t="shared" si="0"/>
        <v>2.2738000000000001E-2</v>
      </c>
      <c r="H37" s="13">
        <v>0.15</v>
      </c>
      <c r="I37" s="11">
        <v>0.2271</v>
      </c>
      <c r="J37" s="9">
        <f t="shared" si="1"/>
        <v>0.66050198150594452</v>
      </c>
      <c r="K37" s="9">
        <f t="shared" si="2"/>
        <v>3.2030864758720211E-2</v>
      </c>
      <c r="L37" s="9">
        <f t="shared" si="3"/>
        <v>5.1637998000000004E-3</v>
      </c>
      <c r="M37" s="12">
        <f t="shared" si="16"/>
        <v>261.48699999999997</v>
      </c>
      <c r="N37" s="12">
        <f t="shared" si="5"/>
        <v>2.6148699999999997E-2</v>
      </c>
      <c r="O37" s="12" t="e" cm="1" vm="2">
        <f t="array" aca="1" ref="O37" ca="1">_xlfn.STOCKHISTORY(C37,TODAY()-1,TODAY(),0,0,1)</f>
        <v>#VALUE!</v>
      </c>
      <c r="P37" s="12">
        <f t="shared" ca="1" si="6"/>
        <v>2.2738000000000001E-2</v>
      </c>
      <c r="Q37" s="12">
        <f t="shared" ca="1" si="7"/>
        <v>0</v>
      </c>
      <c r="R37" s="12">
        <f t="shared" si="8"/>
        <v>211.10389007520189</v>
      </c>
      <c r="S37" s="12">
        <f t="shared" si="9"/>
        <v>34.106999999999971</v>
      </c>
      <c r="T37" s="12">
        <f t="shared" si="10"/>
        <v>-8.1380549623990532</v>
      </c>
      <c r="U37" s="15">
        <f t="shared" si="11"/>
        <v>25.968945037600918</v>
      </c>
      <c r="V37" s="12">
        <f t="shared" si="12"/>
        <v>88.163500043583468</v>
      </c>
      <c r="W37" s="9">
        <f t="shared" si="13"/>
        <v>1.1342562392664218E-2</v>
      </c>
      <c r="X37" s="9">
        <f t="shared" si="14"/>
        <v>0.38053126027963941</v>
      </c>
    </row>
    <row r="38" spans="1:24" x14ac:dyDescent="0.25">
      <c r="A38" t="s">
        <v>39</v>
      </c>
      <c r="B38" s="6" t="s">
        <v>58</v>
      </c>
      <c r="C38" t="s">
        <v>59</v>
      </c>
      <c r="D38" s="8">
        <v>45695</v>
      </c>
      <c r="E38" s="2">
        <v>2.9999999999999997E-4</v>
      </c>
      <c r="F38" s="1">
        <v>143.18</v>
      </c>
      <c r="G38" s="1">
        <f t="shared" si="0"/>
        <v>4.2953999999999999E-2</v>
      </c>
      <c r="H38" s="13">
        <v>7.0000000000000007E-2</v>
      </c>
      <c r="I38" s="11">
        <v>0.1623</v>
      </c>
      <c r="J38" s="9">
        <f t="shared" si="1"/>
        <v>0.43130006161429457</v>
      </c>
      <c r="K38" s="9">
        <f t="shared" si="2"/>
        <v>2.0915779711208678E-2</v>
      </c>
      <c r="L38" s="9">
        <f t="shared" si="3"/>
        <v>6.9714341999999995E-3</v>
      </c>
      <c r="M38" s="12">
        <f t="shared" si="16"/>
        <v>153.20260000000002</v>
      </c>
      <c r="N38" s="12">
        <f t="shared" si="5"/>
        <v>4.596078E-2</v>
      </c>
      <c r="O38" s="12">
        <v>156.41</v>
      </c>
      <c r="P38" s="12">
        <f t="shared" si="6"/>
        <v>4.6922999999999992E-2</v>
      </c>
      <c r="Q38" s="12">
        <f t="shared" si="7"/>
        <v>3.9689999999999934E-3</v>
      </c>
      <c r="R38" s="12">
        <f t="shared" si="8"/>
        <v>131.08120479721688</v>
      </c>
      <c r="S38" s="12">
        <f t="shared" si="9"/>
        <v>10.022600000000011</v>
      </c>
      <c r="T38" s="12">
        <f t="shared" si="10"/>
        <v>-6.0493976013915614</v>
      </c>
      <c r="U38" s="15">
        <f t="shared" si="11"/>
        <v>3.9732023986084499</v>
      </c>
      <c r="V38" s="12">
        <f t="shared" si="12"/>
        <v>110.15924268257594</v>
      </c>
      <c r="W38" s="9">
        <f t="shared" si="13"/>
        <v>9.0777675631040951E-3</v>
      </c>
      <c r="X38" s="9">
        <f t="shared" si="14"/>
        <v>0.47546927502570413</v>
      </c>
    </row>
    <row r="39" spans="1:24" x14ac:dyDescent="0.25">
      <c r="A39" t="s">
        <v>96</v>
      </c>
      <c r="B39" s="7" t="s">
        <v>97</v>
      </c>
      <c r="C39" s="32" t="s">
        <v>100</v>
      </c>
      <c r="D39" s="8">
        <v>45630</v>
      </c>
      <c r="E39" s="2">
        <v>0.28749999999999998</v>
      </c>
      <c r="F39" s="1">
        <v>34.78</v>
      </c>
      <c r="G39" s="1">
        <f t="shared" si="0"/>
        <v>9.99925</v>
      </c>
      <c r="H39" s="13">
        <v>0.2</v>
      </c>
      <c r="I39" s="11">
        <v>0.2</v>
      </c>
      <c r="J39" s="9">
        <f t="shared" si="1"/>
        <v>1</v>
      </c>
      <c r="K39" s="9">
        <f t="shared" si="2"/>
        <v>4.8494729244702398E-2</v>
      </c>
      <c r="L39" s="9">
        <f t="shared" si="3"/>
        <v>1.9998500000000001</v>
      </c>
      <c r="M39" s="12">
        <f t="shared" si="16"/>
        <v>41.735999999999997</v>
      </c>
      <c r="N39" s="12">
        <f t="shared" si="5"/>
        <v>11.999099999999999</v>
      </c>
      <c r="O39" s="12" t="e" cm="1" vm="1">
        <f t="array" aca="1" ref="O39" ca="1">_xlfn.STOCKHISTORY(C39,TODAY()-1,TODAY(),0,0,1)</f>
        <v>#VALUE!</v>
      </c>
      <c r="P39" s="12">
        <f t="shared" ca="1" si="6"/>
        <v>9.99925</v>
      </c>
      <c r="Q39" s="12">
        <f t="shared" ca="1" si="7"/>
        <v>0</v>
      </c>
      <c r="R39" s="12">
        <f t="shared" si="8"/>
        <v>34.78</v>
      </c>
      <c r="S39" s="12">
        <f t="shared" si="9"/>
        <v>6.955999999999996</v>
      </c>
      <c r="T39" s="12">
        <f t="shared" si="10"/>
        <v>0</v>
      </c>
      <c r="U39" s="15">
        <f t="shared" si="11"/>
        <v>6.955999999999996</v>
      </c>
      <c r="V39" s="12">
        <f t="shared" si="12"/>
        <v>107.1764450811844</v>
      </c>
      <c r="W39" s="9">
        <f t="shared" si="13"/>
        <v>9.3304083676456744E-3</v>
      </c>
      <c r="X39" s="9">
        <f t="shared" si="14"/>
        <v>0.46259492532480184</v>
      </c>
    </row>
    <row r="40" spans="1:24" x14ac:dyDescent="0.25">
      <c r="A40" t="s">
        <v>115</v>
      </c>
      <c r="B40" s="7" t="s">
        <v>130</v>
      </c>
      <c r="C40" t="s">
        <v>121</v>
      </c>
      <c r="D40" s="8">
        <v>45688</v>
      </c>
      <c r="E40" s="2">
        <v>2</v>
      </c>
      <c r="F40" s="1">
        <v>44.37</v>
      </c>
      <c r="G40" s="1">
        <f t="shared" si="0"/>
        <v>88.74</v>
      </c>
      <c r="H40" s="13">
        <v>8.3000000000000004E-2</v>
      </c>
      <c r="I40" s="11">
        <v>0.16800000000000001</v>
      </c>
      <c r="J40" s="9">
        <f t="shared" si="1"/>
        <v>0.49404761904761907</v>
      </c>
      <c r="K40" s="9">
        <f t="shared" si="2"/>
        <v>2.3958705519704162E-2</v>
      </c>
      <c r="L40" s="9">
        <f t="shared" si="3"/>
        <v>14.90832</v>
      </c>
      <c r="M40" s="12">
        <f t="shared" si="16"/>
        <v>48.052709999999998</v>
      </c>
      <c r="N40" s="12">
        <f t="shared" si="5"/>
        <v>96.105419999999995</v>
      </c>
      <c r="O40" s="12" t="e" cm="1" vm="2">
        <f t="array" aca="1" ref="O40" ca="1">_xlfn.STOCKHISTORY(C40,TODAY()-1,TODAY(),0,0,1)</f>
        <v>#VALUE!</v>
      </c>
      <c r="P40" s="12">
        <f t="shared" ca="1" si="6"/>
        <v>88.74</v>
      </c>
      <c r="Q40" s="12">
        <f t="shared" ca="1" si="7"/>
        <v>0</v>
      </c>
      <c r="R40" s="12">
        <f t="shared" si="8"/>
        <v>40.894009216589858</v>
      </c>
      <c r="S40" s="12">
        <f t="shared" si="9"/>
        <v>3.6827100000000002</v>
      </c>
      <c r="T40" s="12">
        <f t="shared" si="10"/>
        <v>-1.7379953917050699</v>
      </c>
      <c r="U40" s="15">
        <f t="shared" si="11"/>
        <v>1.9447146082949303</v>
      </c>
      <c r="V40" s="12">
        <f t="shared" si="12"/>
        <v>112.18773047288946</v>
      </c>
      <c r="W40" s="9">
        <f t="shared" si="13"/>
        <v>8.9136307133127497E-3</v>
      </c>
      <c r="X40" s="9">
        <f t="shared" si="14"/>
        <v>0.4842246331379419</v>
      </c>
    </row>
    <row r="41" spans="1:24" x14ac:dyDescent="0.25">
      <c r="A41" t="s">
        <v>38</v>
      </c>
      <c r="B41" s="5" t="s">
        <v>101</v>
      </c>
      <c r="C41" s="32" t="s">
        <v>98</v>
      </c>
      <c r="D41" s="8">
        <v>45630</v>
      </c>
      <c r="E41" s="2">
        <v>2</v>
      </c>
      <c r="F41" s="1">
        <v>20.5</v>
      </c>
      <c r="G41" s="1">
        <f t="shared" si="0"/>
        <v>41</v>
      </c>
      <c r="H41" s="13">
        <v>0.2</v>
      </c>
      <c r="I41" s="11">
        <v>0.2</v>
      </c>
      <c r="J41" s="9">
        <f t="shared" si="1"/>
        <v>1</v>
      </c>
      <c r="K41" s="9">
        <f t="shared" si="2"/>
        <v>4.8494729244702398E-2</v>
      </c>
      <c r="L41" s="9">
        <f t="shared" si="3"/>
        <v>8.2000000000000011</v>
      </c>
      <c r="M41" s="12">
        <f t="shared" si="16"/>
        <v>24.599999999999998</v>
      </c>
      <c r="N41" s="12">
        <f t="shared" si="5"/>
        <v>49.199999999999996</v>
      </c>
      <c r="O41" s="46">
        <v>21.06</v>
      </c>
      <c r="P41" s="12">
        <f t="shared" si="6"/>
        <v>42.12</v>
      </c>
      <c r="Q41" s="12">
        <f t="shared" si="7"/>
        <v>1.1199999999999974</v>
      </c>
      <c r="R41" s="12">
        <f t="shared" si="8"/>
        <v>20.5</v>
      </c>
      <c r="S41" s="12">
        <f t="shared" si="9"/>
        <v>4.0999999999999979</v>
      </c>
      <c r="T41" s="12">
        <f t="shared" si="10"/>
        <v>0</v>
      </c>
      <c r="U41" s="15">
        <f t="shared" si="11"/>
        <v>4.0999999999999979</v>
      </c>
      <c r="V41" s="12">
        <f t="shared" si="12"/>
        <v>110.03244508118439</v>
      </c>
      <c r="W41" s="9">
        <f t="shared" si="13"/>
        <v>9.0882284699042876E-3</v>
      </c>
      <c r="X41" s="9">
        <f t="shared" si="14"/>
        <v>0.47492199127410506</v>
      </c>
    </row>
    <row r="42" spans="1:24" x14ac:dyDescent="0.25">
      <c r="A42" t="s">
        <v>38</v>
      </c>
      <c r="B42" s="5" t="s">
        <v>19</v>
      </c>
      <c r="C42" t="s">
        <v>20</v>
      </c>
      <c r="D42" s="8">
        <v>45544</v>
      </c>
      <c r="E42" s="2">
        <v>0.51380000000000003</v>
      </c>
      <c r="F42" s="1">
        <v>138.53</v>
      </c>
      <c r="G42" s="1">
        <f t="shared" si="0"/>
        <v>71.176714000000004</v>
      </c>
      <c r="H42" s="13">
        <v>7.0000000000000007E-2</v>
      </c>
      <c r="I42" s="11">
        <v>0.18340000000000001</v>
      </c>
      <c r="J42" s="9">
        <f t="shared" si="1"/>
        <v>0.38167938931297712</v>
      </c>
      <c r="K42" s="9">
        <f t="shared" si="2"/>
        <v>1.8509438643016185E-2</v>
      </c>
      <c r="L42" s="9">
        <f t="shared" si="3"/>
        <v>13.053809347600001</v>
      </c>
      <c r="M42" s="12">
        <f t="shared" si="16"/>
        <v>148.22710000000001</v>
      </c>
      <c r="N42" s="12">
        <f t="shared" si="5"/>
        <v>76.159083980000005</v>
      </c>
      <c r="O42" s="12">
        <v>141.62</v>
      </c>
      <c r="P42" s="12">
        <f t="shared" si="6"/>
        <v>72.764356000000006</v>
      </c>
      <c r="Q42" s="12">
        <f t="shared" si="7"/>
        <v>1.5876420000000024</v>
      </c>
      <c r="R42" s="12">
        <f t="shared" si="8"/>
        <v>124.42069337165439</v>
      </c>
      <c r="S42" s="12">
        <f t="shared" si="9"/>
        <v>9.697100000000006</v>
      </c>
      <c r="T42" s="12">
        <f t="shared" si="10"/>
        <v>-7.0546533141728034</v>
      </c>
      <c r="U42" s="15">
        <f t="shared" si="11"/>
        <v>2.6424466858272027</v>
      </c>
      <c r="V42" s="12">
        <f t="shared" si="12"/>
        <v>111.48999839535719</v>
      </c>
      <c r="W42" s="9">
        <f t="shared" si="13"/>
        <v>8.969414426340536E-3</v>
      </c>
      <c r="X42" s="9">
        <f t="shared" si="14"/>
        <v>0.48121308225044729</v>
      </c>
    </row>
    <row r="43" spans="1:24" x14ac:dyDescent="0.25">
      <c r="A43" t="s">
        <v>40</v>
      </c>
      <c r="B43" s="7" t="s">
        <v>90</v>
      </c>
      <c r="C43" s="32" t="s">
        <v>91</v>
      </c>
      <c r="D43" s="8">
        <v>45627</v>
      </c>
      <c r="E43" s="2">
        <v>0.75290000000000001</v>
      </c>
      <c r="F43" s="1">
        <v>41.16</v>
      </c>
      <c r="G43" s="1">
        <f t="shared" si="0"/>
        <v>30.989363999999998</v>
      </c>
      <c r="H43" s="13">
        <v>0.1</v>
      </c>
      <c r="I43" s="11">
        <v>0.2</v>
      </c>
      <c r="J43" s="9">
        <f t="shared" si="1"/>
        <v>0.5</v>
      </c>
      <c r="K43" s="9">
        <f t="shared" si="2"/>
        <v>2.4247364622351199E-2</v>
      </c>
      <c r="L43" s="9">
        <f t="shared" si="3"/>
        <v>6.1978727999999998</v>
      </c>
      <c r="M43" s="12">
        <f t="shared" si="16"/>
        <v>45.276000000000003</v>
      </c>
      <c r="N43" s="12">
        <f t="shared" si="5"/>
        <v>34.088300400000001</v>
      </c>
      <c r="O43" s="12">
        <v>44.17</v>
      </c>
      <c r="P43" s="12">
        <f t="shared" si="6"/>
        <v>33.255593000000005</v>
      </c>
      <c r="Q43" s="12">
        <f t="shared" si="7"/>
        <v>2.2662290000000063</v>
      </c>
      <c r="R43" s="12">
        <f t="shared" si="8"/>
        <v>37.418181818181822</v>
      </c>
      <c r="S43" s="12">
        <f t="shared" si="9"/>
        <v>4.1160000000000068</v>
      </c>
      <c r="T43" s="12">
        <f t="shared" si="10"/>
        <v>-1.8709090909090875</v>
      </c>
      <c r="U43" s="15">
        <f t="shared" si="11"/>
        <v>2.2450909090909192</v>
      </c>
      <c r="V43" s="12">
        <f t="shared" si="12"/>
        <v>111.88735417209347</v>
      </c>
      <c r="W43" s="9">
        <f t="shared" si="13"/>
        <v>8.9375605259366855E-3</v>
      </c>
      <c r="X43" s="9">
        <f t="shared" si="14"/>
        <v>0.48292814907998677</v>
      </c>
    </row>
    <row r="44" spans="1:24" x14ac:dyDescent="0.25">
      <c r="A44" t="s">
        <v>37</v>
      </c>
      <c r="B44" s="4" t="s">
        <v>85</v>
      </c>
      <c r="C44" s="32" t="s">
        <v>86</v>
      </c>
      <c r="D44" s="8">
        <v>45623</v>
      </c>
      <c r="E44" s="2">
        <v>3.1236000000000002</v>
      </c>
      <c r="F44" s="1">
        <v>16</v>
      </c>
      <c r="G44" s="1">
        <f t="shared" si="0"/>
        <v>49.977600000000002</v>
      </c>
      <c r="H44" s="13">
        <v>0.35</v>
      </c>
      <c r="I44" s="11">
        <v>0.39532299999999998</v>
      </c>
      <c r="J44" s="9">
        <f t="shared" si="1"/>
        <v>0.88535197800279775</v>
      </c>
      <c r="K44" s="9">
        <f t="shared" si="2"/>
        <v>4.2934904459507393E-2</v>
      </c>
      <c r="L44" s="9">
        <f t="shared" si="3"/>
        <v>19.757294764800001</v>
      </c>
      <c r="M44" s="12">
        <f t="shared" si="16"/>
        <v>21.6</v>
      </c>
      <c r="N44" s="12">
        <f t="shared" si="5"/>
        <v>67.469760000000008</v>
      </c>
      <c r="O44" s="12">
        <v>17.71</v>
      </c>
      <c r="P44" s="12">
        <f t="shared" si="6"/>
        <v>55.318956000000007</v>
      </c>
      <c r="Q44" s="12">
        <f t="shared" si="7"/>
        <v>5.3413560000000047</v>
      </c>
      <c r="R44" s="12">
        <f t="shared" si="8"/>
        <v>15.306273754619388</v>
      </c>
      <c r="S44" s="12">
        <f t="shared" si="9"/>
        <v>5.6000000000000014</v>
      </c>
      <c r="T44" s="12">
        <f t="shared" si="10"/>
        <v>-0.34686312269030584</v>
      </c>
      <c r="U44" s="15">
        <f t="shared" si="11"/>
        <v>5.2531368773096956</v>
      </c>
      <c r="V44" s="12">
        <f t="shared" si="12"/>
        <v>108.87930820387469</v>
      </c>
      <c r="W44" s="9">
        <f t="shared" si="13"/>
        <v>9.1844815741069612E-3</v>
      </c>
      <c r="X44" s="9">
        <f t="shared" si="14"/>
        <v>0.46994482238924146</v>
      </c>
    </row>
    <row r="45" spans="1:24" x14ac:dyDescent="0.25">
      <c r="A45" t="s">
        <v>38</v>
      </c>
      <c r="B45" s="5" t="s">
        <v>6</v>
      </c>
      <c r="C45" t="s">
        <v>5</v>
      </c>
      <c r="D45" s="8">
        <v>45553</v>
      </c>
      <c r="E45" s="2">
        <v>1.7345999999999999</v>
      </c>
      <c r="F45" s="1">
        <v>51.88</v>
      </c>
      <c r="G45" s="1">
        <f t="shared" si="0"/>
        <v>89.991048000000006</v>
      </c>
      <c r="H45" s="13">
        <f>16.68%+7%/4</f>
        <v>0.18430000000000002</v>
      </c>
      <c r="I45" s="11">
        <v>0.19980000000000001</v>
      </c>
      <c r="J45" s="9">
        <f t="shared" si="1"/>
        <v>0.92242242242242245</v>
      </c>
      <c r="K45" s="9">
        <f t="shared" si="2"/>
        <v>4.4732625624617883E-2</v>
      </c>
      <c r="L45" s="9">
        <f t="shared" si="3"/>
        <v>17.980211390400001</v>
      </c>
      <c r="M45" s="12">
        <f t="shared" si="16"/>
        <v>61.441483999999996</v>
      </c>
      <c r="N45" s="12">
        <f t="shared" si="5"/>
        <v>106.57639814639998</v>
      </c>
      <c r="O45" s="12" t="e" cm="1" vm="2">
        <f t="array" aca="1" ref="O45" ca="1">_xlfn.STOCKHISTORY(C45,TODAY()-1,TODAY(),0,0,1)</f>
        <v>#VALUE!</v>
      </c>
      <c r="P45" s="12">
        <f t="shared" ca="1" si="6"/>
        <v>89.991048000000006</v>
      </c>
      <c r="Q45" s="12">
        <f t="shared" ca="1" si="7"/>
        <v>0</v>
      </c>
      <c r="R45" s="12">
        <f t="shared" si="8"/>
        <v>51.088133924175295</v>
      </c>
      <c r="S45" s="12">
        <f t="shared" si="9"/>
        <v>9.561483999999993</v>
      </c>
      <c r="T45" s="12">
        <f t="shared" si="10"/>
        <v>-0.39593303791235357</v>
      </c>
      <c r="U45" s="15">
        <f t="shared" si="11"/>
        <v>9.1655509620876394</v>
      </c>
      <c r="V45" s="12">
        <f t="shared" si="12"/>
        <v>104.96689411909675</v>
      </c>
      <c r="W45" s="9">
        <f t="shared" si="13"/>
        <v>9.526813271862531E-3</v>
      </c>
      <c r="X45" s="9">
        <f t="shared" si="14"/>
        <v>0.45305806242984359</v>
      </c>
    </row>
    <row r="46" spans="1:24" x14ac:dyDescent="0.25">
      <c r="A46" t="s">
        <v>37</v>
      </c>
      <c r="B46" s="4" t="s">
        <v>8</v>
      </c>
      <c r="C46" t="s">
        <v>28</v>
      </c>
      <c r="D46" s="8">
        <v>45511</v>
      </c>
      <c r="E46" s="2">
        <v>0.12939999999999999</v>
      </c>
      <c r="F46" s="1">
        <v>501.56</v>
      </c>
      <c r="G46" s="1">
        <f t="shared" si="0"/>
        <v>64.901863999999989</v>
      </c>
      <c r="H46" s="13">
        <v>0.25</v>
      </c>
      <c r="I46" s="11">
        <v>0.29699999999999999</v>
      </c>
      <c r="J46" s="9">
        <f t="shared" si="1"/>
        <v>0.84175084175084181</v>
      </c>
      <c r="K46" s="9">
        <f t="shared" si="2"/>
        <v>4.0820479162207407E-2</v>
      </c>
      <c r="L46" s="9">
        <f t="shared" si="3"/>
        <v>19.275853607999995</v>
      </c>
      <c r="M46" s="12">
        <f t="shared" si="16"/>
        <v>626.95000000000005</v>
      </c>
      <c r="N46" s="12">
        <f t="shared" si="5"/>
        <v>81.127330000000001</v>
      </c>
      <c r="O46" s="12">
        <v>573.79</v>
      </c>
      <c r="P46" s="12">
        <f t="shared" si="6"/>
        <v>74.248425999999995</v>
      </c>
      <c r="Q46" s="12">
        <f t="shared" si="7"/>
        <v>9.3465620000000058</v>
      </c>
      <c r="R46" s="12">
        <f t="shared" si="8"/>
        <v>479.04489016236869</v>
      </c>
      <c r="S46" s="12">
        <f t="shared" si="9"/>
        <v>125.39000000000004</v>
      </c>
      <c r="T46" s="12">
        <f t="shared" si="10"/>
        <v>-11.257554918815657</v>
      </c>
      <c r="U46" s="15">
        <f t="shared" si="11"/>
        <v>114.13244508118439</v>
      </c>
      <c r="V46" s="12">
        <f t="shared" si="12"/>
        <v>0</v>
      </c>
      <c r="W46" s="9">
        <f t="shared" si="13"/>
        <v>0</v>
      </c>
      <c r="X46" s="9">
        <f t="shared" si="14"/>
        <v>0</v>
      </c>
    </row>
    <row r="47" spans="1:24" x14ac:dyDescent="0.25">
      <c r="D47" s="44"/>
      <c r="L47" s="9"/>
    </row>
    <row r="51" spans="4:4" x14ac:dyDescent="0.25">
      <c r="D51" s="44"/>
    </row>
  </sheetData>
  <autoFilter ref="A1:X47" xr:uid="{00000000-0001-0000-0000-000000000000}">
    <sortState xmlns:xlrd2="http://schemas.microsoft.com/office/spreadsheetml/2017/richdata2" ref="A2:X47">
      <sortCondition ref="Q1:Q47"/>
    </sortState>
  </autoFilter>
  <conditionalFormatting sqref="W2:W46">
    <cfRule type="iconSet" priority="1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3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X2:X46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BR31"/>
  <sheetViews>
    <sheetView tabSelected="1" zoomScale="115" zoomScaleNormal="115" workbookViewId="0">
      <selection activeCell="L21" sqref="L21"/>
    </sheetView>
  </sheetViews>
  <sheetFormatPr defaultRowHeight="15" outlineLevelCol="2" x14ac:dyDescent="0.25"/>
  <cols>
    <col min="1" max="1" width="18.5703125" bestFit="1" customWidth="1"/>
    <col min="2" max="2" width="15.140625" hidden="1" customWidth="1"/>
    <col min="3" max="3" width="6" bestFit="1" customWidth="1"/>
    <col min="4" max="4" width="9.140625" customWidth="1"/>
    <col min="5" max="5" width="9.140625" bestFit="1" customWidth="1"/>
    <col min="6" max="6" width="9.7109375" bestFit="1" customWidth="1"/>
    <col min="7" max="8" width="9.140625" bestFit="1" customWidth="1"/>
    <col min="9" max="10" width="11" customWidth="1"/>
    <col min="11" max="11" width="14.28515625" customWidth="1" outlineLevel="1"/>
    <col min="12" max="12" width="15.140625" customWidth="1" outlineLevel="1"/>
    <col min="13" max="13" width="5.5703125" customWidth="1" outlineLevel="1"/>
    <col min="14" max="14" width="10.140625" hidden="1" customWidth="1" outlineLevel="2"/>
    <col min="15" max="15" width="12" hidden="1" customWidth="1" outlineLevel="2"/>
    <col min="16" max="16" width="15.5703125" hidden="1" customWidth="1" outlineLevel="2"/>
    <col min="17" max="17" width="6" customWidth="1" outlineLevel="1" collapsed="1"/>
    <col min="18" max="18" width="15.140625" customWidth="1" outlineLevel="1"/>
    <col min="19" max="19" width="5.5703125" customWidth="1" outlineLevel="1"/>
    <col min="20" max="20" width="9.140625" customWidth="1" outlineLevel="1"/>
    <col min="21" max="21" width="14.28515625" customWidth="1" outlineLevel="1"/>
    <col min="22" max="22" width="15.140625" customWidth="1" outlineLevel="1"/>
    <col min="23" max="23" width="5.5703125" customWidth="1" outlineLevel="1"/>
    <col min="24" max="24" width="15.140625" hidden="1" customWidth="1" outlineLevel="2"/>
    <col min="25" max="25" width="10.5703125" hidden="1" customWidth="1" outlineLevel="2"/>
    <col min="26" max="26" width="15" hidden="1" customWidth="1" outlineLevel="2"/>
    <col min="27" max="27" width="9.140625" customWidth="1" outlineLevel="1" collapsed="1"/>
    <col min="28" max="28" width="14.28515625" customWidth="1" outlineLevel="1"/>
    <col min="29" max="29" width="15.140625" customWidth="1" outlineLevel="1"/>
    <col min="30" max="30" width="5.5703125" customWidth="1" outlineLevel="1"/>
    <col min="31" max="31" width="15.140625" hidden="1" customWidth="1" outlineLevel="2"/>
    <col min="32" max="32" width="10.5703125" hidden="1" customWidth="1" outlineLevel="2"/>
    <col min="33" max="33" width="15.5703125" hidden="1" customWidth="1" outlineLevel="2"/>
    <col min="34" max="34" width="9.140625" customWidth="1" outlineLevel="1" collapsed="1"/>
    <col min="35" max="35" width="14.28515625" customWidth="1" outlineLevel="1"/>
    <col min="36" max="36" width="15.140625" customWidth="1" outlineLevel="1"/>
    <col min="37" max="37" width="5.5703125" customWidth="1" outlineLevel="1"/>
    <col min="38" max="38" width="15.140625" hidden="1" customWidth="1" outlineLevel="2"/>
    <col min="39" max="39" width="10.5703125" hidden="1" customWidth="1" outlineLevel="2"/>
    <col min="40" max="40" width="15.5703125" hidden="1" customWidth="1" outlineLevel="2"/>
    <col min="41" max="41" width="9.140625" customWidth="1" outlineLevel="1" collapsed="1"/>
    <col min="42" max="42" width="14.28515625" customWidth="1" outlineLevel="1"/>
    <col min="43" max="43" width="10.5703125" customWidth="1" outlineLevel="1"/>
    <col min="44" max="44" width="9.140625" customWidth="1" outlineLevel="1"/>
    <col min="45" max="48" width="9.140625" customWidth="1" outlineLevel="2"/>
    <col min="49" max="49" width="9.140625" customWidth="1" outlineLevel="1"/>
    <col min="50" max="50" width="14.28515625" customWidth="1" outlineLevel="1"/>
    <col min="51" max="51" width="15.140625" customWidth="1" outlineLevel="1"/>
    <col min="52" max="52" width="6" bestFit="1" customWidth="1" outlineLevel="1"/>
    <col min="53" max="54" width="9.140625" bestFit="1" customWidth="1" outlineLevel="2"/>
    <col min="55" max="55" width="9.7109375" bestFit="1" customWidth="1" outlineLevel="2"/>
    <col min="56" max="56" width="9.140625" bestFit="1" customWidth="1" outlineLevel="2"/>
    <col min="57" max="57" width="8.5703125" bestFit="1" customWidth="1" outlineLevel="2"/>
    <col min="58" max="58" width="8.5703125" bestFit="1" customWidth="1" outlineLevel="1"/>
    <col min="59" max="59" width="7.28515625" bestFit="1" customWidth="1" outlineLevel="1"/>
    <col min="60" max="60" width="9.140625" customWidth="1" outlineLevel="1" collapsed="1"/>
    <col min="61" max="61" width="14.28515625" bestFit="1" customWidth="1" outlineLevel="1"/>
    <col min="62" max="62" width="15.140625" hidden="1" customWidth="1" outlineLevel="1"/>
    <col min="63" max="63" width="6" bestFit="1" customWidth="1" outlineLevel="1"/>
    <col min="64" max="64" width="9.140625" customWidth="1" outlineLevel="1"/>
    <col min="65" max="65" width="9.140625" bestFit="1" customWidth="1" outlineLevel="1"/>
    <col min="66" max="66" width="9.7109375" hidden="1" customWidth="1" outlineLevel="1"/>
    <col min="67" max="67" width="9.140625" bestFit="1" customWidth="1" outlineLevel="1"/>
    <col min="68" max="69" width="9.140625" hidden="1" customWidth="1"/>
    <col min="70" max="70" width="10.140625" bestFit="1" customWidth="1"/>
  </cols>
  <sheetData>
    <row r="1" spans="1:70" x14ac:dyDescent="0.25">
      <c r="L1" s="58" t="s">
        <v>114</v>
      </c>
      <c r="M1" s="58"/>
      <c r="N1" s="58"/>
      <c r="O1" s="58"/>
      <c r="P1" s="58"/>
      <c r="Q1" s="26"/>
      <c r="R1" s="58" t="s">
        <v>109</v>
      </c>
      <c r="S1" s="58"/>
      <c r="V1" s="58" t="s">
        <v>108</v>
      </c>
      <c r="W1" s="58"/>
      <c r="X1" s="58"/>
      <c r="Y1" s="58"/>
      <c r="Z1" s="58"/>
      <c r="AC1" s="58" t="s">
        <v>108</v>
      </c>
      <c r="AD1" s="58"/>
      <c r="AE1" s="58"/>
      <c r="AF1" s="58"/>
      <c r="AG1" s="58"/>
      <c r="AJ1" s="58" t="s">
        <v>133</v>
      </c>
      <c r="AK1" s="58"/>
      <c r="AL1" s="58"/>
      <c r="AM1" s="58"/>
      <c r="AN1" s="58"/>
      <c r="AQ1" s="58" t="s">
        <v>141</v>
      </c>
      <c r="AR1" s="58"/>
      <c r="AS1" s="58"/>
      <c r="AT1" s="58"/>
      <c r="AU1" s="58"/>
      <c r="AV1" s="58"/>
      <c r="AY1" s="58" t="s">
        <v>144</v>
      </c>
      <c r="AZ1" s="58"/>
      <c r="BA1" s="58"/>
      <c r="BB1" s="58"/>
      <c r="BC1" s="58"/>
      <c r="BD1" s="58"/>
      <c r="BE1" s="58"/>
      <c r="BF1" s="58"/>
      <c r="BG1" s="26"/>
      <c r="BJ1" s="58" t="s">
        <v>146</v>
      </c>
      <c r="BK1" s="58"/>
      <c r="BL1" s="58"/>
      <c r="BM1" s="58"/>
      <c r="BN1" s="58"/>
      <c r="BO1" s="58"/>
      <c r="BP1" s="58"/>
      <c r="BQ1" s="58"/>
    </row>
    <row r="2" spans="1:70" x14ac:dyDescent="0.25">
      <c r="L2" s="57">
        <v>46000</v>
      </c>
      <c r="M2" s="57"/>
      <c r="N2" s="57"/>
      <c r="O2" s="57"/>
      <c r="P2" s="57"/>
      <c r="Q2" s="27"/>
      <c r="R2" s="57">
        <v>45684</v>
      </c>
      <c r="S2" s="58"/>
      <c r="V2" s="57">
        <v>45685</v>
      </c>
      <c r="W2" s="57"/>
      <c r="X2" s="57"/>
      <c r="Y2" s="57"/>
      <c r="Z2" s="57"/>
      <c r="AC2" s="57">
        <v>45688</v>
      </c>
      <c r="AD2" s="57"/>
      <c r="AE2" s="57"/>
      <c r="AF2" s="57"/>
      <c r="AG2" s="57"/>
      <c r="AJ2" s="57">
        <v>45695</v>
      </c>
      <c r="AK2" s="57"/>
      <c r="AL2" s="57"/>
      <c r="AM2" s="57"/>
      <c r="AN2" s="57"/>
      <c r="AQ2" s="57">
        <v>45702</v>
      </c>
      <c r="AR2" s="57"/>
      <c r="AS2" s="57"/>
      <c r="AT2" s="57"/>
      <c r="AU2" s="57"/>
      <c r="AV2" s="57"/>
      <c r="AY2" s="57">
        <v>45711</v>
      </c>
      <c r="AZ2" s="57"/>
      <c r="BA2" s="57"/>
      <c r="BB2" s="57"/>
      <c r="BC2" s="57"/>
      <c r="BD2" s="57"/>
      <c r="BE2" s="57"/>
      <c r="BF2" s="57"/>
      <c r="BG2" s="27"/>
      <c r="BJ2" s="57">
        <v>45716</v>
      </c>
      <c r="BK2" s="57"/>
      <c r="BL2" s="57"/>
      <c r="BM2" s="57"/>
      <c r="BN2" s="57"/>
      <c r="BO2" s="57"/>
      <c r="BP2" s="57"/>
      <c r="BQ2" s="57"/>
    </row>
    <row r="3" spans="1:70" ht="32.25" customHeight="1" x14ac:dyDescent="0.25">
      <c r="A3" s="20" t="s">
        <v>104</v>
      </c>
      <c r="B3" s="10" t="s">
        <v>106</v>
      </c>
      <c r="C3" s="10" t="s">
        <v>107</v>
      </c>
      <c r="D3" s="16" t="s">
        <v>143</v>
      </c>
      <c r="E3" s="16" t="s">
        <v>111</v>
      </c>
      <c r="F3" s="16" t="s">
        <v>112</v>
      </c>
      <c r="G3" s="16" t="s">
        <v>139</v>
      </c>
      <c r="H3" s="16" t="s">
        <v>140</v>
      </c>
      <c r="K3" s="28" t="s">
        <v>104</v>
      </c>
      <c r="L3" s="23" t="s">
        <v>106</v>
      </c>
      <c r="M3" s="23" t="s">
        <v>107</v>
      </c>
      <c r="N3" s="28" t="s">
        <v>111</v>
      </c>
      <c r="O3" s="28" t="s">
        <v>112</v>
      </c>
      <c r="P3" s="28" t="s">
        <v>113</v>
      </c>
      <c r="R3" s="23" t="s">
        <v>106</v>
      </c>
      <c r="S3" s="23" t="s">
        <v>107</v>
      </c>
      <c r="U3" s="28" t="s">
        <v>104</v>
      </c>
      <c r="V3" s="23" t="s">
        <v>106</v>
      </c>
      <c r="W3" s="23" t="s">
        <v>107</v>
      </c>
      <c r="X3" s="28" t="s">
        <v>111</v>
      </c>
      <c r="Y3" s="28" t="s">
        <v>112</v>
      </c>
      <c r="Z3" s="28" t="s">
        <v>113</v>
      </c>
      <c r="AB3" s="28" t="s">
        <v>104</v>
      </c>
      <c r="AC3" s="23" t="s">
        <v>106</v>
      </c>
      <c r="AD3" s="23" t="s">
        <v>107</v>
      </c>
      <c r="AE3" s="28" t="s">
        <v>111</v>
      </c>
      <c r="AF3" s="28" t="s">
        <v>112</v>
      </c>
      <c r="AG3" s="28" t="s">
        <v>113</v>
      </c>
      <c r="AI3" s="28" t="s">
        <v>104</v>
      </c>
      <c r="AJ3" s="23" t="s">
        <v>106</v>
      </c>
      <c r="AK3" s="23" t="s">
        <v>107</v>
      </c>
      <c r="AL3" s="28" t="s">
        <v>111</v>
      </c>
      <c r="AM3" s="28" t="s">
        <v>112</v>
      </c>
      <c r="AN3" s="28" t="s">
        <v>113</v>
      </c>
      <c r="AP3" s="28" t="s">
        <v>104</v>
      </c>
      <c r="AQ3" s="45" t="s">
        <v>106</v>
      </c>
      <c r="AR3" s="45" t="s">
        <v>107</v>
      </c>
      <c r="AS3" s="45" t="s">
        <v>111</v>
      </c>
      <c r="AT3" s="45" t="s">
        <v>112</v>
      </c>
      <c r="AU3" s="45" t="s">
        <v>139</v>
      </c>
      <c r="AV3" s="45" t="s">
        <v>140</v>
      </c>
      <c r="AX3" s="28" t="s">
        <v>104</v>
      </c>
      <c r="AY3" s="23" t="s">
        <v>106</v>
      </c>
      <c r="AZ3" s="23" t="s">
        <v>107</v>
      </c>
      <c r="BA3" s="45" t="s">
        <v>143</v>
      </c>
      <c r="BB3" s="45" t="s">
        <v>111</v>
      </c>
      <c r="BC3" s="45" t="s">
        <v>112</v>
      </c>
      <c r="BD3" s="45" t="s">
        <v>139</v>
      </c>
      <c r="BE3" s="45" t="s">
        <v>140</v>
      </c>
      <c r="BF3" s="47" t="s">
        <v>145</v>
      </c>
      <c r="BG3" s="47" t="s">
        <v>155</v>
      </c>
      <c r="BI3" s="28" t="s">
        <v>104</v>
      </c>
      <c r="BJ3" s="23" t="s">
        <v>106</v>
      </c>
      <c r="BK3" s="23" t="s">
        <v>107</v>
      </c>
      <c r="BL3" s="45" t="s">
        <v>143</v>
      </c>
      <c r="BM3" s="45" t="s">
        <v>111</v>
      </c>
      <c r="BN3" s="45" t="s">
        <v>112</v>
      </c>
      <c r="BO3" s="45" t="s">
        <v>139</v>
      </c>
      <c r="BP3" s="45" t="s">
        <v>140</v>
      </c>
      <c r="BQ3" s="47" t="s">
        <v>145</v>
      </c>
      <c r="BR3" s="47" t="s">
        <v>156</v>
      </c>
    </row>
    <row r="4" spans="1:70" x14ac:dyDescent="0.25">
      <c r="A4" s="21" t="s">
        <v>158</v>
      </c>
      <c r="B4" s="12">
        <v>554.68431599999997</v>
      </c>
      <c r="C4" s="22">
        <v>0.46270833686801083</v>
      </c>
      <c r="D4" s="29">
        <v>0.24485062913695221</v>
      </c>
      <c r="E4" s="29">
        <v>0.14626342512053281</v>
      </c>
      <c r="F4" s="12">
        <v>81.13002791880001</v>
      </c>
      <c r="G4" s="29">
        <v>2.1994492449287219E-2</v>
      </c>
      <c r="H4" s="12">
        <v>12.200000000000045</v>
      </c>
      <c r="I4" s="12"/>
      <c r="J4" s="12"/>
      <c r="K4" s="21" t="s">
        <v>36</v>
      </c>
      <c r="L4" s="12">
        <v>238.614968</v>
      </c>
      <c r="M4" s="22">
        <v>0.38101621514787376</v>
      </c>
      <c r="N4" s="29">
        <v>0.15967772461784535</v>
      </c>
      <c r="O4" s="12">
        <v>38.101495149999977</v>
      </c>
      <c r="P4" s="12">
        <v>1.7999999999999998</v>
      </c>
      <c r="R4" s="12">
        <v>233.65908899999999</v>
      </c>
      <c r="S4" s="22">
        <v>0.30679033555941537</v>
      </c>
      <c r="U4" s="21" t="s">
        <v>38</v>
      </c>
      <c r="V4" s="12">
        <v>210.14336800000001</v>
      </c>
      <c r="W4" s="22">
        <v>0.29827679581416749</v>
      </c>
      <c r="X4" s="29">
        <v>0.11801519297244734</v>
      </c>
      <c r="Y4" s="12">
        <v>24.8001101264</v>
      </c>
      <c r="Z4" s="12"/>
      <c r="AB4" s="40" t="s">
        <v>115</v>
      </c>
      <c r="AC4" s="41">
        <v>218.85600000000002</v>
      </c>
      <c r="AD4" s="42">
        <v>0.23199208873650332</v>
      </c>
      <c r="AE4" s="43">
        <v>3.586522645026835E-2</v>
      </c>
      <c r="AF4" s="41">
        <v>7.849319999999949</v>
      </c>
      <c r="AG4" s="12"/>
      <c r="AI4" s="40" t="s">
        <v>38</v>
      </c>
      <c r="AJ4" s="41">
        <v>262.48183799999998</v>
      </c>
      <c r="AK4" s="42">
        <v>0.2578025874699007</v>
      </c>
      <c r="AL4" s="43">
        <v>0.11840756019698384</v>
      </c>
      <c r="AM4" s="41">
        <v>31.07983403359998</v>
      </c>
      <c r="AN4" s="12"/>
      <c r="AP4" s="40" t="s">
        <v>38</v>
      </c>
      <c r="AQ4" s="41">
        <v>262.48183799999998</v>
      </c>
      <c r="AR4" s="42">
        <v>0.25445195244463964</v>
      </c>
      <c r="AS4" s="43">
        <v>0.11840756019698384</v>
      </c>
      <c r="AT4" s="41">
        <v>31.07983403359998</v>
      </c>
      <c r="AU4" s="43">
        <v>-2.8863414161249615E-2</v>
      </c>
      <c r="AV4" s="41">
        <v>-7.576121999999998</v>
      </c>
      <c r="AX4" s="40" t="s">
        <v>38</v>
      </c>
      <c r="AY4" s="41">
        <v>283.12183800000003</v>
      </c>
      <c r="AZ4" s="42">
        <v>0.2587041174008915</v>
      </c>
      <c r="BA4" s="43">
        <v>0.18558395637569999</v>
      </c>
      <c r="BB4" s="43">
        <v>0.12435576952421434</v>
      </c>
      <c r="BC4" s="41">
        <v>35.207834033599966</v>
      </c>
      <c r="BD4" s="43">
        <v>1.4576339392088756E-2</v>
      </c>
      <c r="BE4" s="41">
        <v>4.1268799999999715</v>
      </c>
      <c r="BF4" s="41">
        <f>BE4-VLOOKUP(AX4,AP:AV,7,0)</f>
        <v>11.703001999999969</v>
      </c>
      <c r="BG4" s="55">
        <f>BD4-VLOOKUP(AX4,AP:AU,6,0)</f>
        <v>4.3439753553338373E-2</v>
      </c>
      <c r="BI4" s="40" t="s">
        <v>38</v>
      </c>
      <c r="BJ4" s="41">
        <v>283.12183800000003</v>
      </c>
      <c r="BK4" s="42">
        <v>0.23616253887321553</v>
      </c>
      <c r="BL4" s="43">
        <v>0.18558395637569997</v>
      </c>
      <c r="BM4" s="43">
        <v>0.12435576952421434</v>
      </c>
      <c r="BN4" s="41">
        <v>35.207834033599966</v>
      </c>
      <c r="BO4" s="43">
        <v>2.5706091947594521E-2</v>
      </c>
      <c r="BP4" s="41">
        <v>7.2779559999999606</v>
      </c>
      <c r="BQ4" s="41">
        <f>BP4-VLOOKUP(BI4,AX:BF,8,0)</f>
        <v>3.1510759999999891</v>
      </c>
      <c r="BR4" s="55">
        <f>BO4-VLOOKUP(BI4,AX:BF,7,0)</f>
        <v>1.1129752555505764E-2</v>
      </c>
    </row>
    <row r="5" spans="1:70" x14ac:dyDescent="0.25">
      <c r="A5" s="21" t="s">
        <v>159</v>
      </c>
      <c r="B5" s="12">
        <v>322.86463299999997</v>
      </c>
      <c r="C5" s="22">
        <v>0.26932825223226736</v>
      </c>
      <c r="D5" s="29">
        <v>0.25160586050160538</v>
      </c>
      <c r="E5" s="29">
        <v>0.15794974174207566</v>
      </c>
      <c r="F5" s="12">
        <v>50.996385400000065</v>
      </c>
      <c r="G5" s="29">
        <v>1.8397295314783121E-2</v>
      </c>
      <c r="H5" s="12">
        <v>5.9398360000000707</v>
      </c>
      <c r="I5" s="12"/>
      <c r="J5" s="12"/>
      <c r="K5" s="21" t="s">
        <v>38</v>
      </c>
      <c r="L5" s="12">
        <v>159.887845</v>
      </c>
      <c r="M5" s="22">
        <v>0.25530611956434301</v>
      </c>
      <c r="N5" s="29">
        <v>0.1083576745186603</v>
      </c>
      <c r="O5" s="12">
        <v>17.32507506799999</v>
      </c>
      <c r="P5" s="12"/>
      <c r="R5" s="12">
        <v>210.14336800000001</v>
      </c>
      <c r="S5" s="22">
        <v>0.27591460131176709</v>
      </c>
      <c r="U5" s="21" t="s">
        <v>36</v>
      </c>
      <c r="V5" s="12">
        <v>177.40437299999999</v>
      </c>
      <c r="W5" s="22">
        <v>0.25180717547965348</v>
      </c>
      <c r="X5" s="29">
        <v>0.17124807148919596</v>
      </c>
      <c r="Y5" s="12">
        <v>30.380156749999998</v>
      </c>
      <c r="Z5" s="12"/>
      <c r="AB5" s="40" t="s">
        <v>38</v>
      </c>
      <c r="AC5" s="41">
        <v>210.14336800000001</v>
      </c>
      <c r="AD5" s="42">
        <v>0.22275651056605106</v>
      </c>
      <c r="AE5" s="43">
        <v>0.11801519297244734</v>
      </c>
      <c r="AF5" s="41">
        <v>24.8001101264</v>
      </c>
      <c r="AG5" s="12"/>
      <c r="AI5" s="40" t="s">
        <v>115</v>
      </c>
      <c r="AJ5" s="41">
        <v>218.85600000000002</v>
      </c>
      <c r="AK5" s="42">
        <v>0.21495446509069555</v>
      </c>
      <c r="AL5" s="43">
        <v>3.586522645026835E-2</v>
      </c>
      <c r="AM5" s="41">
        <v>7.849319999999949</v>
      </c>
      <c r="AN5" s="12"/>
      <c r="AP5" s="40" t="s">
        <v>115</v>
      </c>
      <c r="AQ5" s="41">
        <v>218.85400000000001</v>
      </c>
      <c r="AR5" s="42">
        <v>0.21215878410726144</v>
      </c>
      <c r="AS5" s="43">
        <v>3.5865142972027142E-2</v>
      </c>
      <c r="AT5" s="41">
        <v>7.8492300000000057</v>
      </c>
      <c r="AU5" s="43">
        <v>1.3728787228015007E-2</v>
      </c>
      <c r="AV5" s="41">
        <v>3.0045999999999822</v>
      </c>
      <c r="AX5" s="40" t="s">
        <v>40</v>
      </c>
      <c r="AY5" s="41">
        <v>245.91161700000001</v>
      </c>
      <c r="AZ5" s="42">
        <v>0.22470307583483215</v>
      </c>
      <c r="BA5" s="43">
        <v>0.34646737756110157</v>
      </c>
      <c r="BB5" s="43">
        <v>0.13136960341324588</v>
      </c>
      <c r="BC5" s="41">
        <v>32.30531160000001</v>
      </c>
      <c r="BD5" s="43">
        <v>-3.414214465516701E-2</v>
      </c>
      <c r="BE5" s="41">
        <v>-8.3959500000000276</v>
      </c>
      <c r="BF5" s="41">
        <f t="shared" ref="BF5:BF14" si="0">BE5-VLOOKUP(AX5,AP:AV,7,0)</f>
        <v>0.18132199999999443</v>
      </c>
      <c r="BG5" s="55">
        <f t="shared" ref="BG5:BG14" si="1">BD5-VLOOKUP(AX5,AP:AU,6,0)</f>
        <v>8.5452192337185373E-3</v>
      </c>
      <c r="BI5" s="40" t="s">
        <v>40</v>
      </c>
      <c r="BJ5" s="41">
        <v>270.88283000000001</v>
      </c>
      <c r="BK5" s="42">
        <v>0.22595352347903885</v>
      </c>
      <c r="BL5" s="43">
        <v>0.34729981743139637</v>
      </c>
      <c r="BM5" s="43">
        <v>0.13908261885775475</v>
      </c>
      <c r="BN5" s="41">
        <v>37.67509339999998</v>
      </c>
      <c r="BO5" s="43">
        <v>-8.6924043875353796E-2</v>
      </c>
      <c r="BP5" s="41">
        <v>-23.546231000000006</v>
      </c>
      <c r="BQ5" s="41">
        <f t="shared" ref="BQ5:BQ14" si="2">BP5-VLOOKUP(BI5,AX:BF,8,0)</f>
        <v>-15.150280999999978</v>
      </c>
      <c r="BR5" s="55">
        <f t="shared" ref="BR5:BR14" si="3">BO5-VLOOKUP(BI5,AX:BF,7,0)</f>
        <v>-5.2781899220186786E-2</v>
      </c>
    </row>
    <row r="6" spans="1:70" x14ac:dyDescent="0.25">
      <c r="A6" s="21" t="s">
        <v>157</v>
      </c>
      <c r="B6" s="12">
        <v>321.22849200000002</v>
      </c>
      <c r="C6" s="22">
        <v>0.26796341089972181</v>
      </c>
      <c r="D6" s="29">
        <v>0.28554749792991591</v>
      </c>
      <c r="E6" s="29">
        <v>0.11159826902901249</v>
      </c>
      <c r="F6" s="12">
        <v>35.84854366999997</v>
      </c>
      <c r="G6" s="29">
        <v>-0.10909914865210643</v>
      </c>
      <c r="H6" s="12">
        <v>-35.045754999999986</v>
      </c>
      <c r="I6" s="12"/>
      <c r="J6" s="12"/>
      <c r="K6" s="21" t="s">
        <v>37</v>
      </c>
      <c r="L6" s="12">
        <v>84.915515999999997</v>
      </c>
      <c r="M6" s="22">
        <v>0.13559161348859186</v>
      </c>
      <c r="N6" s="29">
        <v>0.28530609176301791</v>
      </c>
      <c r="O6" s="12">
        <v>24.226914000000008</v>
      </c>
      <c r="P6" s="12"/>
      <c r="R6" s="12">
        <v>149.810948</v>
      </c>
      <c r="S6" s="22">
        <v>0.19669917915067334</v>
      </c>
      <c r="U6" s="21" t="s">
        <v>40</v>
      </c>
      <c r="V6" s="12">
        <v>162.11427700000002</v>
      </c>
      <c r="W6" s="22">
        <v>0.23010446420222211</v>
      </c>
      <c r="X6" s="29">
        <v>0.13072196842971429</v>
      </c>
      <c r="Y6" s="12">
        <v>21.191897399999959</v>
      </c>
      <c r="Z6" s="12"/>
      <c r="AB6" s="40" t="s">
        <v>36</v>
      </c>
      <c r="AC6" s="41">
        <v>177.40437299999999</v>
      </c>
      <c r="AD6" s="42">
        <v>0.18805246848731463</v>
      </c>
      <c r="AE6" s="43">
        <v>0.17124807148919596</v>
      </c>
      <c r="AF6" s="41">
        <v>30.380156749999998</v>
      </c>
      <c r="AG6" s="12"/>
      <c r="AI6" s="40" t="s">
        <v>36</v>
      </c>
      <c r="AJ6" s="41">
        <v>196.93234799999999</v>
      </c>
      <c r="AK6" s="42">
        <v>0.19342164493271694</v>
      </c>
      <c r="AL6" s="43">
        <v>0.17126296386818063</v>
      </c>
      <c r="AM6" s="41">
        <v>33.727217599999989</v>
      </c>
      <c r="AN6" s="12"/>
      <c r="AP6" s="40" t="s">
        <v>40</v>
      </c>
      <c r="AQ6" s="41">
        <v>200.93234200000001</v>
      </c>
      <c r="AR6" s="42">
        <v>0.19478538827960382</v>
      </c>
      <c r="AS6" s="43">
        <v>0.12945570305451382</v>
      </c>
      <c r="AT6" s="41">
        <v>26.011837600000035</v>
      </c>
      <c r="AU6" s="43">
        <v>-4.2687363888885548E-2</v>
      </c>
      <c r="AV6" s="41">
        <v>-8.577272000000022</v>
      </c>
      <c r="AX6" s="40" t="s">
        <v>115</v>
      </c>
      <c r="AY6" s="41">
        <v>218.852</v>
      </c>
      <c r="AZ6" s="42">
        <v>0.19997720381223261</v>
      </c>
      <c r="BA6" s="43">
        <v>0.14808573830716651</v>
      </c>
      <c r="BB6" s="43">
        <v>6.1035677078573602E-2</v>
      </c>
      <c r="BC6" s="41">
        <v>13.357779999999991</v>
      </c>
      <c r="BD6" s="43">
        <v>3.4507338292544827E-2</v>
      </c>
      <c r="BE6" s="41">
        <v>7.5520000000000209</v>
      </c>
      <c r="BF6" s="41">
        <f t="shared" si="0"/>
        <v>4.5474000000000387</v>
      </c>
      <c r="BG6" s="55">
        <f t="shared" si="1"/>
        <v>2.0778551064529818E-2</v>
      </c>
      <c r="BI6" s="40" t="s">
        <v>115</v>
      </c>
      <c r="BJ6" s="41">
        <v>263.35200000000003</v>
      </c>
      <c r="BK6" s="42">
        <v>0.21967177585693359</v>
      </c>
      <c r="BL6" s="43">
        <v>0.1514507579209575</v>
      </c>
      <c r="BM6" s="43">
        <v>6.4747106534220222E-2</v>
      </c>
      <c r="BN6" s="41">
        <v>17.051279999999963</v>
      </c>
      <c r="BO6" s="43">
        <v>-2.1568091375801447E-2</v>
      </c>
      <c r="BP6" s="41">
        <v>-5.6800000000000637</v>
      </c>
      <c r="BQ6" s="41">
        <f t="shared" si="2"/>
        <v>-13.232000000000085</v>
      </c>
      <c r="BR6" s="55">
        <f t="shared" si="3"/>
        <v>-5.6075429668346277E-2</v>
      </c>
    </row>
    <row r="7" spans="1:70" x14ac:dyDescent="0.25">
      <c r="A7" s="54" t="s">
        <v>40</v>
      </c>
      <c r="B7" s="12">
        <v>174.92704699999999</v>
      </c>
      <c r="C7" s="22">
        <v>0.54455644924547963</v>
      </c>
      <c r="D7" s="29">
        <v>0.33179893763141161</v>
      </c>
      <c r="E7" s="29">
        <v>0.10969474606176832</v>
      </c>
      <c r="F7" s="12">
        <v>19.188578000000007</v>
      </c>
      <c r="G7" s="29">
        <v>-0.13390845727819317</v>
      </c>
      <c r="H7" s="12">
        <v>-23.424210999999985</v>
      </c>
      <c r="I7" s="12"/>
      <c r="J7" s="12"/>
      <c r="K7" s="21" t="s">
        <v>39</v>
      </c>
      <c r="L7" s="12">
        <v>76.938714000000004</v>
      </c>
      <c r="M7" s="22">
        <v>0.12285439531448307</v>
      </c>
      <c r="N7" s="29">
        <v>7.9955036025166626E-2</v>
      </c>
      <c r="O7" s="12">
        <v>6.1516376495999907</v>
      </c>
      <c r="P7" s="12">
        <v>-4.4000000000000004</v>
      </c>
      <c r="R7" s="12">
        <v>108.030807</v>
      </c>
      <c r="S7" s="22">
        <v>0.14184257788612895</v>
      </c>
      <c r="U7" s="21" t="s">
        <v>37</v>
      </c>
      <c r="V7" s="12">
        <v>94.882213999999991</v>
      </c>
      <c r="W7" s="22">
        <v>0.13467549816596705</v>
      </c>
      <c r="X7" s="29">
        <v>0.28159743932619463</v>
      </c>
      <c r="Y7" s="12">
        <v>26.71858850000001</v>
      </c>
      <c r="Z7" s="12">
        <v>10.31</v>
      </c>
      <c r="AB7" s="40" t="s">
        <v>40</v>
      </c>
      <c r="AC7" s="41">
        <v>172.11133100000001</v>
      </c>
      <c r="AD7" s="42">
        <v>0.18244172960261401</v>
      </c>
      <c r="AE7" s="43">
        <v>0.1289374887235053</v>
      </c>
      <c r="AF7" s="41">
        <v>22.191602799999998</v>
      </c>
      <c r="AG7" s="12">
        <v>0</v>
      </c>
      <c r="AI7" s="40" t="s">
        <v>40</v>
      </c>
      <c r="AJ7" s="41">
        <v>188.97588910000002</v>
      </c>
      <c r="AK7" s="42">
        <v>0.18560702542552684</v>
      </c>
      <c r="AL7" s="43">
        <v>0.14271594343831007</v>
      </c>
      <c r="AM7" s="41">
        <v>26.969872299999963</v>
      </c>
      <c r="AN7" s="12">
        <v>0</v>
      </c>
      <c r="AP7" s="40" t="s">
        <v>36</v>
      </c>
      <c r="AQ7" s="41">
        <v>198.38494800000001</v>
      </c>
      <c r="AR7" s="42">
        <v>0.19231592455638136</v>
      </c>
      <c r="AS7" s="43">
        <v>0.16268682642193188</v>
      </c>
      <c r="AT7" s="41">
        <v>32.274617599999971</v>
      </c>
      <c r="AU7" s="43">
        <v>3.5134338921721006E-2</v>
      </c>
      <c r="AV7" s="41">
        <v>6.9701239999999984</v>
      </c>
      <c r="AX7" s="40" t="s">
        <v>36</v>
      </c>
      <c r="AY7" s="41">
        <v>155.61477000000002</v>
      </c>
      <c r="AZ7" s="42">
        <v>0.14219384139273894</v>
      </c>
      <c r="BA7" s="43">
        <v>0.28791727261236194</v>
      </c>
      <c r="BB7" s="43">
        <v>0.16617375651424315</v>
      </c>
      <c r="BC7" s="41">
        <v>25.859090899999956</v>
      </c>
      <c r="BD7" s="43">
        <v>6.8824508110635644E-3</v>
      </c>
      <c r="BE7" s="41">
        <v>1.0710109999999702</v>
      </c>
      <c r="BF7" s="41">
        <f t="shared" si="0"/>
        <v>-5.8991130000000283</v>
      </c>
      <c r="BG7" s="55">
        <f t="shared" si="1"/>
        <v>-2.8251888110657441E-2</v>
      </c>
      <c r="BI7" s="40" t="s">
        <v>36</v>
      </c>
      <c r="BJ7" s="41">
        <v>190.59815000000003</v>
      </c>
      <c r="BK7" s="42">
        <v>0.15898506214323874</v>
      </c>
      <c r="BL7" s="43">
        <v>0.30298316513880119</v>
      </c>
      <c r="BM7" s="43">
        <v>0.1857343888175198</v>
      </c>
      <c r="BN7" s="41">
        <v>35.400630899999953</v>
      </c>
      <c r="BO7" s="43">
        <v>-4.331625464360505E-2</v>
      </c>
      <c r="BP7" s="41">
        <v>-8.2559980000000337</v>
      </c>
      <c r="BQ7" s="41">
        <f t="shared" si="2"/>
        <v>-9.3270090000000039</v>
      </c>
      <c r="BR7" s="55">
        <f t="shared" si="3"/>
        <v>-5.0198705454668612E-2</v>
      </c>
    </row>
    <row r="8" spans="1:70" x14ac:dyDescent="0.25">
      <c r="A8" s="59" t="s">
        <v>46</v>
      </c>
      <c r="B8" s="12">
        <v>59.919476999999993</v>
      </c>
      <c r="C8" s="22">
        <v>0.34253980746613755</v>
      </c>
      <c r="D8" s="29">
        <v>0.52980000000000005</v>
      </c>
      <c r="E8" s="29">
        <v>0.12830253842168893</v>
      </c>
      <c r="F8" s="12">
        <v>7.6878210000000067</v>
      </c>
      <c r="G8" s="29">
        <v>-0.22051459160766707</v>
      </c>
      <c r="H8" s="12">
        <v>-13.213118999999999</v>
      </c>
      <c r="I8" s="12"/>
      <c r="J8" s="12"/>
      <c r="K8" s="21" t="s">
        <v>40</v>
      </c>
      <c r="L8" s="12">
        <v>65.902309000000002</v>
      </c>
      <c r="M8" s="22">
        <v>0.10523165648470827</v>
      </c>
      <c r="N8" s="29">
        <v>0.29383162280399011</v>
      </c>
      <c r="O8" s="12">
        <v>19.364182400000004</v>
      </c>
      <c r="P8" s="12"/>
      <c r="R8" s="12">
        <v>59.980460999999991</v>
      </c>
      <c r="S8" s="22">
        <v>7.875330609201521E-2</v>
      </c>
      <c r="U8" s="21" t="s">
        <v>39</v>
      </c>
      <c r="V8" s="12">
        <v>59.980460999999991</v>
      </c>
      <c r="W8" s="22">
        <v>8.5136066337989938E-2</v>
      </c>
      <c r="X8" s="29">
        <v>9.1757028336277635E-2</v>
      </c>
      <c r="Y8" s="12">
        <v>5.5036288595999991</v>
      </c>
      <c r="Z8" s="12"/>
      <c r="AB8" s="40" t="s">
        <v>37</v>
      </c>
      <c r="AC8" s="41">
        <v>94.882213999999991</v>
      </c>
      <c r="AD8" s="42">
        <v>0.10057719692310878</v>
      </c>
      <c r="AE8" s="43">
        <v>0.28159743932619463</v>
      </c>
      <c r="AF8" s="41">
        <v>26.71858850000001</v>
      </c>
      <c r="AG8" s="12"/>
      <c r="AI8" s="40" t="s">
        <v>37</v>
      </c>
      <c r="AJ8" s="41">
        <v>94.882213999999991</v>
      </c>
      <c r="AK8" s="42">
        <v>9.3190753541099625E-2</v>
      </c>
      <c r="AL8" s="43">
        <v>0.28159743932619463</v>
      </c>
      <c r="AM8" s="41">
        <v>26.71858850000001</v>
      </c>
      <c r="AN8" s="12"/>
      <c r="AP8" s="40" t="s">
        <v>37</v>
      </c>
      <c r="AQ8" s="41">
        <v>94.882213999999991</v>
      </c>
      <c r="AR8" s="42">
        <v>9.197956242812548E-2</v>
      </c>
      <c r="AS8" s="43">
        <v>0.28159743932619463</v>
      </c>
      <c r="AT8" s="41">
        <v>26.71858850000001</v>
      </c>
      <c r="AU8" s="43">
        <v>0.12357189514991723</v>
      </c>
      <c r="AV8" s="41">
        <v>11.724775000000008</v>
      </c>
      <c r="AX8" s="40" t="s">
        <v>37</v>
      </c>
      <c r="AY8" s="41">
        <v>114.87946399999998</v>
      </c>
      <c r="AZ8" s="42">
        <v>0.10497173425953628</v>
      </c>
      <c r="BA8" s="43">
        <v>0.33977481277941901</v>
      </c>
      <c r="BB8" s="43">
        <v>0.29350438125303246</v>
      </c>
      <c r="BC8" s="41">
        <v>33.717626000000024</v>
      </c>
      <c r="BD8" s="43">
        <v>9.2931230946551174E-2</v>
      </c>
      <c r="BE8" s="41">
        <v>10.67589000000001</v>
      </c>
      <c r="BF8" s="41">
        <f t="shared" si="0"/>
        <v>-1.0488849999999985</v>
      </c>
      <c r="BG8" s="55">
        <f t="shared" si="1"/>
        <v>-3.0640664203366058E-2</v>
      </c>
      <c r="BI8" s="40" t="s">
        <v>37</v>
      </c>
      <c r="BJ8" s="41">
        <v>114.87946399999998</v>
      </c>
      <c r="BK8" s="42">
        <v>9.5825267574852907E-2</v>
      </c>
      <c r="BL8" s="43">
        <v>0.33977481277941901</v>
      </c>
      <c r="BM8" s="43">
        <v>0.29350438125303246</v>
      </c>
      <c r="BN8" s="41">
        <v>33.717626000000024</v>
      </c>
      <c r="BO8" s="43">
        <v>0.12785503595316242</v>
      </c>
      <c r="BP8" s="41">
        <v>14.687918000000025</v>
      </c>
      <c r="BQ8" s="41">
        <f t="shared" si="2"/>
        <v>4.012028000000015</v>
      </c>
      <c r="BR8" s="55">
        <f t="shared" si="3"/>
        <v>3.4923805006611242E-2</v>
      </c>
    </row>
    <row r="9" spans="1:70" x14ac:dyDescent="0.25">
      <c r="A9" s="59" t="s">
        <v>103</v>
      </c>
      <c r="B9" s="12">
        <v>60.019999999999996</v>
      </c>
      <c r="C9" s="22">
        <v>0.34311446416859709</v>
      </c>
      <c r="D9" s="29">
        <v>0.2</v>
      </c>
      <c r="E9" s="29">
        <v>9.9999999999999867E-2</v>
      </c>
      <c r="F9" s="12">
        <v>6.0019999999999953</v>
      </c>
      <c r="G9" s="29">
        <v>-0.12574999999999997</v>
      </c>
      <c r="H9" s="12">
        <v>-7.5475149999999971</v>
      </c>
      <c r="I9" s="12"/>
      <c r="J9" s="12"/>
      <c r="K9" s="21" t="s">
        <v>74</v>
      </c>
      <c r="L9" s="12">
        <v>2.9170551999999998E-16</v>
      </c>
      <c r="M9" s="22">
        <v>4.657902817234096E-19</v>
      </c>
      <c r="N9" s="29">
        <v>9.799364235548258E-2</v>
      </c>
      <c r="O9" s="12">
        <v>2.8585286400000075E-17</v>
      </c>
      <c r="P9" s="12"/>
      <c r="R9" s="12">
        <v>2.9170551999999998E-16</v>
      </c>
      <c r="S9" s="22">
        <v>3.830042937697739E-19</v>
      </c>
      <c r="U9" s="21" t="s">
        <v>74</v>
      </c>
      <c r="V9" s="12">
        <v>2.9170551999999998E-16</v>
      </c>
      <c r="W9" s="22">
        <v>4.1404584239320622E-19</v>
      </c>
      <c r="X9" s="29">
        <v>9.799364235548258E-2</v>
      </c>
      <c r="Y9" s="12">
        <v>2.8585286400000075E-17</v>
      </c>
      <c r="Z9" s="12"/>
      <c r="AB9" s="40" t="s">
        <v>39</v>
      </c>
      <c r="AC9" s="41">
        <v>59.980460999999991</v>
      </c>
      <c r="AD9" s="42">
        <v>6.35805846345011E-2</v>
      </c>
      <c r="AE9" s="43">
        <v>9.1757028336277635E-2</v>
      </c>
      <c r="AF9" s="41">
        <v>5.5036288595999991</v>
      </c>
      <c r="AG9" s="12"/>
      <c r="AI9" s="40" t="s">
        <v>39</v>
      </c>
      <c r="AJ9" s="41">
        <v>46.022978999999999</v>
      </c>
      <c r="AK9" s="42">
        <v>4.5202529667111309E-2</v>
      </c>
      <c r="AL9" s="43">
        <v>0.12015729349462578</v>
      </c>
      <c r="AM9" s="41">
        <v>5.5299965951999965</v>
      </c>
      <c r="AN9" s="12">
        <v>2.76</v>
      </c>
      <c r="AP9" s="40" t="s">
        <v>39</v>
      </c>
      <c r="AQ9" s="41">
        <v>46.022978999999999</v>
      </c>
      <c r="AR9" s="42">
        <v>4.4615036808255848E-2</v>
      </c>
      <c r="AS9" s="43">
        <v>0.12015729349462578</v>
      </c>
      <c r="AT9" s="41">
        <v>5.5299965951999965</v>
      </c>
      <c r="AU9" s="43">
        <v>-3.8592156322605695E-2</v>
      </c>
      <c r="AV9" s="41">
        <v>-1.7761259999999979</v>
      </c>
      <c r="AX9" s="40" t="s">
        <v>39</v>
      </c>
      <c r="AY9" s="41">
        <v>66.005799999999994</v>
      </c>
      <c r="AZ9" s="42">
        <v>6.0313158295969248E-2</v>
      </c>
      <c r="BA9" s="43">
        <v>0.35603887350051061</v>
      </c>
      <c r="BB9" s="43">
        <v>0.10497250340424635</v>
      </c>
      <c r="BC9" s="41">
        <v>6.9287940652000088</v>
      </c>
      <c r="BD9" s="43">
        <v>-1.2304873208111702E-2</v>
      </c>
      <c r="BE9" s="41">
        <v>-0.81219299999997929</v>
      </c>
      <c r="BF9" s="41">
        <f t="shared" si="0"/>
        <v>0.96393300000001858</v>
      </c>
      <c r="BG9" s="55">
        <f t="shared" si="1"/>
        <v>2.6287283114493992E-2</v>
      </c>
      <c r="BI9" s="40" t="s">
        <v>39</v>
      </c>
      <c r="BJ9" s="41">
        <v>66.009600999999989</v>
      </c>
      <c r="BK9" s="42">
        <v>5.5061082791388008E-2</v>
      </c>
      <c r="BL9" s="43">
        <v>0.35602771752551582</v>
      </c>
      <c r="BM9" s="43">
        <v>0.10497048959893007</v>
      </c>
      <c r="BN9" s="41">
        <v>6.9290601352000181</v>
      </c>
      <c r="BO9" s="43">
        <v>-2.4279028743106196E-2</v>
      </c>
      <c r="BP9" s="41">
        <v>-1.6026489999999711</v>
      </c>
      <c r="BQ9" s="41">
        <f t="shared" si="2"/>
        <v>-0.79045599999999183</v>
      </c>
      <c r="BR9" s="55">
        <f t="shared" si="3"/>
        <v>-1.1974155534994493E-2</v>
      </c>
    </row>
    <row r="10" spans="1:70" x14ac:dyDescent="0.25">
      <c r="A10" s="59" t="s">
        <v>27</v>
      </c>
      <c r="B10" s="12">
        <v>54.987569999999998</v>
      </c>
      <c r="C10" s="22">
        <v>0.31434572836526531</v>
      </c>
      <c r="D10" s="29">
        <v>0.25990000000000002</v>
      </c>
      <c r="E10" s="29">
        <v>0.10000000000000009</v>
      </c>
      <c r="F10" s="12">
        <v>5.4987570000000048</v>
      </c>
      <c r="G10" s="29">
        <v>-4.8439620081411193E-2</v>
      </c>
      <c r="H10" s="12">
        <v>-2.6635770000000036</v>
      </c>
      <c r="I10" s="12"/>
      <c r="J10" s="12"/>
      <c r="K10" s="21" t="s">
        <v>96</v>
      </c>
      <c r="L10" s="12">
        <v>3.8291999999999999E-17</v>
      </c>
      <c r="M10" s="22">
        <v>6.1143997095950747E-20</v>
      </c>
      <c r="N10" s="29">
        <v>0.19999999999999996</v>
      </c>
      <c r="O10" s="12">
        <v>7.6584000000000023E-18</v>
      </c>
      <c r="P10" s="12"/>
      <c r="R10" s="12">
        <v>3.8291999999999999E-17</v>
      </c>
      <c r="S10" s="22">
        <v>5.0276732565884192E-20</v>
      </c>
      <c r="U10" s="21" t="s">
        <v>96</v>
      </c>
      <c r="V10" s="12">
        <v>3.8291999999999999E-17</v>
      </c>
      <c r="W10" s="22">
        <v>5.4351537114966676E-20</v>
      </c>
      <c r="X10" s="29">
        <v>0.19999999999999996</v>
      </c>
      <c r="Y10" s="12">
        <v>7.6584000000000023E-18</v>
      </c>
      <c r="Z10" s="12"/>
      <c r="AB10" s="40" t="s">
        <v>96</v>
      </c>
      <c r="AC10" s="41">
        <v>9.99925</v>
      </c>
      <c r="AD10" s="42">
        <v>1.0599421049907156E-2</v>
      </c>
      <c r="AE10" s="43">
        <v>0.19999999999999996</v>
      </c>
      <c r="AF10" s="41">
        <v>1.9998499999999986</v>
      </c>
      <c r="AG10" s="12"/>
      <c r="AI10" s="40" t="s">
        <v>96</v>
      </c>
      <c r="AJ10" s="41">
        <v>9.99925</v>
      </c>
      <c r="AK10" s="42">
        <v>9.8209938729490499E-3</v>
      </c>
      <c r="AL10" s="43">
        <v>0.19999999999999996</v>
      </c>
      <c r="AM10" s="41">
        <v>1.9998499999999986</v>
      </c>
      <c r="AN10" s="12"/>
      <c r="AP10" s="40" t="s">
        <v>96</v>
      </c>
      <c r="AQ10" s="41">
        <v>9.99925</v>
      </c>
      <c r="AR10" s="42">
        <v>9.6933513757323769E-3</v>
      </c>
      <c r="AS10" s="43">
        <v>0.19999999999999996</v>
      </c>
      <c r="AT10" s="41">
        <v>1.9998499999999986</v>
      </c>
      <c r="AU10" s="43">
        <v>-4.4853364002300271E-2</v>
      </c>
      <c r="AV10" s="41">
        <v>-0.44850000000000101</v>
      </c>
      <c r="AX10" s="40" t="s">
        <v>96</v>
      </c>
      <c r="AY10" s="41">
        <v>9.99925</v>
      </c>
      <c r="AZ10" s="42">
        <v>9.1368690037992202E-3</v>
      </c>
      <c r="BA10" s="43">
        <v>0.2</v>
      </c>
      <c r="BB10" s="43">
        <v>0.19999999999999996</v>
      </c>
      <c r="BC10" s="41">
        <v>1.9998499999999986</v>
      </c>
      <c r="BD10" s="43">
        <v>1.2650948821161415E-2</v>
      </c>
      <c r="BE10" s="41">
        <v>0.12649999999999828</v>
      </c>
      <c r="BF10" s="41">
        <f t="shared" si="0"/>
        <v>0.57499999999999929</v>
      </c>
      <c r="BG10" s="55">
        <f t="shared" si="1"/>
        <v>5.750431282346169E-2</v>
      </c>
      <c r="BI10" s="40" t="s">
        <v>96</v>
      </c>
      <c r="BJ10" s="41">
        <v>9.99925</v>
      </c>
      <c r="BK10" s="42">
        <v>8.3407492813323721E-3</v>
      </c>
      <c r="BL10" s="43">
        <v>0.2</v>
      </c>
      <c r="BM10" s="43">
        <v>0.19999999999999996</v>
      </c>
      <c r="BN10" s="41">
        <v>1.9998499999999986</v>
      </c>
      <c r="BO10" s="43">
        <v>2.1851638872915351E-2</v>
      </c>
      <c r="BP10" s="41">
        <v>0.21849999999999881</v>
      </c>
      <c r="BQ10" s="41">
        <f t="shared" si="2"/>
        <v>9.2000000000000526E-2</v>
      </c>
      <c r="BR10" s="55">
        <f t="shared" si="3"/>
        <v>9.2006900517539354E-3</v>
      </c>
    </row>
    <row r="11" spans="1:70" x14ac:dyDescent="0.25">
      <c r="A11" s="54" t="s">
        <v>36</v>
      </c>
      <c r="B11" s="12">
        <v>77.638624000000007</v>
      </c>
      <c r="C11" s="22">
        <v>0.24169283215388007</v>
      </c>
      <c r="D11" s="29">
        <v>0.20551955424660798</v>
      </c>
      <c r="E11" s="29">
        <v>0.13386595053513539</v>
      </c>
      <c r="F11" s="12">
        <v>10.393168199999977</v>
      </c>
      <c r="G11" s="29">
        <v>-6.0806925171677483E-2</v>
      </c>
      <c r="H11" s="12">
        <v>-4.7209660000000042</v>
      </c>
      <c r="I11" s="12"/>
      <c r="J11" s="12"/>
      <c r="K11" s="21" t="s">
        <v>87</v>
      </c>
      <c r="L11" s="12">
        <v>1.3353E-17</v>
      </c>
      <c r="M11" s="22">
        <v>2.1321837282519334E-20</v>
      </c>
      <c r="N11" s="29">
        <v>7.0000000000000062E-2</v>
      </c>
      <c r="O11" s="12">
        <v>9.3470999999999986E-19</v>
      </c>
      <c r="P11" s="12"/>
      <c r="R11" s="12">
        <v>1.3353E-17</v>
      </c>
      <c r="S11" s="22">
        <v>1.7532257650481865E-20</v>
      </c>
      <c r="U11" s="21" t="s">
        <v>87</v>
      </c>
      <c r="V11" s="12">
        <v>1.3353E-17</v>
      </c>
      <c r="W11" s="22">
        <v>1.8953203674296199E-20</v>
      </c>
      <c r="X11" s="29">
        <v>7.0000000000000062E-2</v>
      </c>
      <c r="Y11" s="12">
        <v>9.3470999999999986E-19</v>
      </c>
      <c r="Z11" s="12"/>
      <c r="AB11" s="40" t="s">
        <v>74</v>
      </c>
      <c r="AC11" s="41">
        <v>2.9170551999999998E-16</v>
      </c>
      <c r="AD11" s="42">
        <v>3.0921415396775884E-19</v>
      </c>
      <c r="AE11" s="43">
        <v>9.799364235548258E-2</v>
      </c>
      <c r="AF11" s="41">
        <v>2.8585286400000075E-17</v>
      </c>
      <c r="AG11" s="12"/>
      <c r="AI11" s="40" t="s">
        <v>74</v>
      </c>
      <c r="AJ11" s="41">
        <v>2.9170551999999998E-16</v>
      </c>
      <c r="AK11" s="42">
        <v>2.8650530036006862E-19</v>
      </c>
      <c r="AL11" s="43">
        <v>9.799364235548258E-2</v>
      </c>
      <c r="AM11" s="41">
        <v>2.8585286400000075E-17</v>
      </c>
      <c r="AN11" s="12"/>
      <c r="AP11" s="40" t="s">
        <v>74</v>
      </c>
      <c r="AQ11" s="41">
        <v>2.9136552000000001E-16</v>
      </c>
      <c r="AR11" s="42">
        <v>2.8245202031482155E-19</v>
      </c>
      <c r="AS11" s="43">
        <v>9.9274912144717842E-2</v>
      </c>
      <c r="AT11" s="41">
        <v>2.8925286400000047E-17</v>
      </c>
      <c r="AU11" s="43">
        <v>-0.94049398844448029</v>
      </c>
      <c r="AV11" s="41">
        <v>-2.7402751999999999E-16</v>
      </c>
      <c r="AX11" s="40" t="s">
        <v>74</v>
      </c>
      <c r="AY11" s="41">
        <v>2.9136552000000001E-16</v>
      </c>
      <c r="AZ11" s="42">
        <v>2.6623682660837979E-19</v>
      </c>
      <c r="BA11" s="43">
        <v>0.48159901967810059</v>
      </c>
      <c r="BB11" s="43">
        <v>9.9274912144717842E-2</v>
      </c>
      <c r="BC11" s="41">
        <v>2.8925286400000047E-17</v>
      </c>
      <c r="BD11" s="43">
        <v>-0.94150045619673872</v>
      </c>
      <c r="BE11" s="41">
        <v>-2.7432077E-16</v>
      </c>
      <c r="BF11" s="41">
        <f t="shared" si="0"/>
        <v>-2.9325000000000728E-19</v>
      </c>
      <c r="BG11" s="55">
        <f t="shared" si="1"/>
        <v>-1.0064677522584331E-3</v>
      </c>
      <c r="BI11" s="40" t="s">
        <v>74</v>
      </c>
      <c r="BJ11" s="41">
        <v>2.9136552000000001E-16</v>
      </c>
      <c r="BK11" s="42">
        <v>2.430389030722337E-19</v>
      </c>
      <c r="BL11" s="43">
        <v>0.48159901967810059</v>
      </c>
      <c r="BM11" s="43">
        <v>9.9274912144717842E-2</v>
      </c>
      <c r="BN11" s="41">
        <v>2.8925286400000047E-17</v>
      </c>
      <c r="BO11" s="43">
        <v>-0.94102184774643205</v>
      </c>
      <c r="BP11" s="41">
        <v>-2.7418132000000001E-16</v>
      </c>
      <c r="BQ11" s="41">
        <f t="shared" si="2"/>
        <v>1.3944999999998888E-19</v>
      </c>
      <c r="BR11" s="55">
        <f t="shared" si="3"/>
        <v>4.7860845030667232E-4</v>
      </c>
    </row>
    <row r="12" spans="1:70" x14ac:dyDescent="0.25">
      <c r="A12" s="54" t="s">
        <v>115</v>
      </c>
      <c r="B12" s="12">
        <v>48.68</v>
      </c>
      <c r="C12" s="22">
        <v>0.15154321989594871</v>
      </c>
      <c r="D12" s="29">
        <v>0.2</v>
      </c>
      <c r="E12" s="29">
        <v>0.10000000000000009</v>
      </c>
      <c r="F12" s="12">
        <v>4.8680000000000021</v>
      </c>
      <c r="G12" s="29">
        <v>-0.11877567789646665</v>
      </c>
      <c r="H12" s="12">
        <v>-5.7819999999999965</v>
      </c>
      <c r="I12" s="12"/>
      <c r="J12" s="12"/>
      <c r="K12" s="21" t="s">
        <v>71</v>
      </c>
      <c r="L12" s="12">
        <v>5.5999999999999995E-18</v>
      </c>
      <c r="M12" s="22">
        <v>8.9419822348616982E-21</v>
      </c>
      <c r="N12" s="29">
        <v>7.0000000000000062E-2</v>
      </c>
      <c r="O12" s="12">
        <v>3.9200000000000069E-19</v>
      </c>
      <c r="P12" s="12"/>
      <c r="R12" s="12">
        <v>5.5999999999999995E-18</v>
      </c>
      <c r="S12" s="22">
        <v>7.3527029763123223E-21</v>
      </c>
      <c r="U12" s="21" t="s">
        <v>71</v>
      </c>
      <c r="V12" s="12">
        <v>5.5999999999999995E-18</v>
      </c>
      <c r="W12" s="22">
        <v>7.9486213267474501E-21</v>
      </c>
      <c r="X12" s="29">
        <v>7.0000000000000062E-2</v>
      </c>
      <c r="Y12" s="12">
        <v>3.9200000000000069E-19</v>
      </c>
      <c r="Z12" s="12"/>
      <c r="AB12" s="40" t="s">
        <v>87</v>
      </c>
      <c r="AC12" s="41">
        <v>1.3353E-17</v>
      </c>
      <c r="AD12" s="42">
        <v>1.4154468513079507E-20</v>
      </c>
      <c r="AE12" s="43">
        <v>7.0000000000000062E-2</v>
      </c>
      <c r="AF12" s="41">
        <v>9.3470999999999986E-19</v>
      </c>
      <c r="AG12" s="12"/>
      <c r="AI12" s="40" t="s">
        <v>87</v>
      </c>
      <c r="AJ12" s="41">
        <v>1.3353E-17</v>
      </c>
      <c r="AK12" s="42">
        <v>1.3114956740304389E-20</v>
      </c>
      <c r="AL12" s="43">
        <v>7.0000000000000062E-2</v>
      </c>
      <c r="AM12" s="41">
        <v>9.3470999999999986E-19</v>
      </c>
      <c r="AN12" s="12"/>
      <c r="AP12" s="40" t="s">
        <v>87</v>
      </c>
      <c r="AQ12" s="41">
        <v>1.3353E-17</v>
      </c>
      <c r="AR12" s="42">
        <v>1.2944502929735173E-20</v>
      </c>
      <c r="AS12" s="43">
        <v>7.0000000000000062E-2</v>
      </c>
      <c r="AT12" s="41">
        <v>9.3470999999999986E-19</v>
      </c>
      <c r="AU12" s="43">
        <v>0.11300831273871043</v>
      </c>
      <c r="AV12" s="41">
        <v>1.5090000000000002E-18</v>
      </c>
      <c r="AX12" s="40" t="s">
        <v>87</v>
      </c>
      <c r="AY12" s="41">
        <v>1.3353E-17</v>
      </c>
      <c r="AZ12" s="42">
        <v>1.2201376283994398E-20</v>
      </c>
      <c r="BA12" s="43">
        <v>0.2</v>
      </c>
      <c r="BB12" s="43">
        <v>7.0000000000000062E-2</v>
      </c>
      <c r="BC12" s="41">
        <v>9.3470999999999986E-19</v>
      </c>
      <c r="BD12" s="43">
        <v>8.5748520931625716E-2</v>
      </c>
      <c r="BE12" s="41">
        <v>1.1449999999999981E-18</v>
      </c>
      <c r="BF12" s="41">
        <f t="shared" si="0"/>
        <v>-3.6400000000000207E-19</v>
      </c>
      <c r="BG12" s="55">
        <f t="shared" si="1"/>
        <v>-2.725979180708471E-2</v>
      </c>
      <c r="BI12" s="40" t="s">
        <v>87</v>
      </c>
      <c r="BJ12" s="41">
        <v>1.3353E-17</v>
      </c>
      <c r="BK12" s="42">
        <v>1.1138237883204356E-20</v>
      </c>
      <c r="BL12" s="43">
        <v>0.2</v>
      </c>
      <c r="BM12" s="43">
        <v>7.0000000000000062E-2</v>
      </c>
      <c r="BN12" s="41">
        <v>9.3470999999999986E-19</v>
      </c>
      <c r="BO12" s="43">
        <v>0.16168651239421847</v>
      </c>
      <c r="BP12" s="41">
        <v>2.1589999999999991E-18</v>
      </c>
      <c r="BQ12" s="41">
        <f t="shared" si="2"/>
        <v>1.0140000000000009E-18</v>
      </c>
      <c r="BR12" s="55">
        <f t="shared" si="3"/>
        <v>7.5937991462592752E-2</v>
      </c>
    </row>
    <row r="13" spans="1:70" x14ac:dyDescent="0.25">
      <c r="A13" s="54" t="s">
        <v>39</v>
      </c>
      <c r="B13" s="12">
        <v>19.982821000000001</v>
      </c>
      <c r="C13" s="22">
        <v>6.2207498704691486E-2</v>
      </c>
      <c r="D13" s="29">
        <v>0.4</v>
      </c>
      <c r="E13" s="29">
        <v>7.0000000000000062E-2</v>
      </c>
      <c r="F13" s="12">
        <v>1.3987974700000017</v>
      </c>
      <c r="G13" s="29">
        <v>-5.5976981428197542E-2</v>
      </c>
      <c r="H13" s="12">
        <v>-1.1185779999999959</v>
      </c>
      <c r="I13" s="12"/>
      <c r="J13" s="12"/>
      <c r="K13" s="31" t="s">
        <v>105</v>
      </c>
      <c r="L13" s="24">
        <v>626.25935200000004</v>
      </c>
      <c r="M13" s="25">
        <v>1</v>
      </c>
      <c r="N13" s="30">
        <v>0.16793250900243595</v>
      </c>
      <c r="O13" s="24">
        <v>105.16930426759973</v>
      </c>
      <c r="P13" s="24">
        <f>SUM(P4:P12)</f>
        <v>-2.6000000000000005</v>
      </c>
      <c r="R13" s="24">
        <v>761.62467300000003</v>
      </c>
      <c r="S13" s="25">
        <v>1</v>
      </c>
      <c r="U13" s="31" t="s">
        <v>105</v>
      </c>
      <c r="V13" s="24">
        <v>704.52469299999996</v>
      </c>
      <c r="W13" s="25">
        <v>1</v>
      </c>
      <c r="X13" s="30">
        <v>0.15413850318515387</v>
      </c>
      <c r="Y13" s="24">
        <v>108.59438163600009</v>
      </c>
      <c r="Z13" s="24">
        <f>SUM(Z4:Z12)</f>
        <v>10.31</v>
      </c>
      <c r="AB13" s="40" t="s">
        <v>71</v>
      </c>
      <c r="AC13" s="41">
        <v>5.5999999999999995E-18</v>
      </c>
      <c r="AD13" s="42">
        <v>5.9361209970227834E-21</v>
      </c>
      <c r="AE13" s="43">
        <v>7.0000000000000062E-2</v>
      </c>
      <c r="AF13" s="41">
        <v>3.9200000000000069E-19</v>
      </c>
      <c r="AI13" s="40" t="s">
        <v>71</v>
      </c>
      <c r="AJ13" s="41">
        <v>5.5999999999999995E-18</v>
      </c>
      <c r="AK13" s="42">
        <v>5.5001690815325816E-21</v>
      </c>
      <c r="AL13" s="43">
        <v>7.0000000000000062E-2</v>
      </c>
      <c r="AM13" s="41">
        <v>3.9200000000000069E-19</v>
      </c>
      <c r="AP13" s="40" t="s">
        <v>71</v>
      </c>
      <c r="AQ13" s="41">
        <v>5.5999999999999995E-18</v>
      </c>
      <c r="AR13" s="42">
        <v>5.4286839217042587E-21</v>
      </c>
      <c r="AS13" s="43">
        <v>7.0000000000000062E-2</v>
      </c>
      <c r="AT13" s="41">
        <v>3.9200000000000069E-19</v>
      </c>
      <c r="AU13" s="43">
        <v>0.19642857142857151</v>
      </c>
      <c r="AV13" s="41">
        <v>1.1000000000000003E-18</v>
      </c>
      <c r="AX13" s="40" t="s">
        <v>71</v>
      </c>
      <c r="AY13" s="41">
        <v>5.5999999999999995E-18</v>
      </c>
      <c r="AZ13" s="42">
        <v>5.1170304194090184E-21</v>
      </c>
      <c r="BA13" s="43">
        <v>0.19</v>
      </c>
      <c r="BB13" s="43">
        <v>7.0000000000000062E-2</v>
      </c>
      <c r="BC13" s="41">
        <v>3.9200000000000069E-19</v>
      </c>
      <c r="BD13" s="43">
        <v>0.19071428571428586</v>
      </c>
      <c r="BE13" s="41">
        <v>1.0680000000000008E-18</v>
      </c>
      <c r="BF13" s="41">
        <f t="shared" si="0"/>
        <v>-3.1999999999999522E-20</v>
      </c>
      <c r="BG13" s="55">
        <f t="shared" si="1"/>
        <v>-5.714285714285644E-3</v>
      </c>
      <c r="BI13" s="40" t="s">
        <v>71</v>
      </c>
      <c r="BJ13" s="41">
        <v>5.5999999999999995E-18</v>
      </c>
      <c r="BK13" s="42">
        <v>4.6711699352912745E-21</v>
      </c>
      <c r="BL13" s="43">
        <v>0.19</v>
      </c>
      <c r="BM13" s="43">
        <v>7.0000000000000062E-2</v>
      </c>
      <c r="BN13" s="41">
        <v>3.9200000000000069E-19</v>
      </c>
      <c r="BO13" s="43">
        <v>0.16285714285714306</v>
      </c>
      <c r="BP13" s="41">
        <v>9.12000000000001E-19</v>
      </c>
      <c r="BQ13" s="41">
        <f t="shared" si="2"/>
        <v>-1.5599999999999979E-19</v>
      </c>
      <c r="BR13" s="55">
        <f t="shared" si="3"/>
        <v>-2.7857142857142803E-2</v>
      </c>
    </row>
    <row r="14" spans="1:70" x14ac:dyDescent="0.25">
      <c r="A14" s="21" t="s">
        <v>105</v>
      </c>
      <c r="B14" s="12">
        <v>1198.777441</v>
      </c>
      <c r="C14" s="22">
        <v>1</v>
      </c>
      <c r="D14" s="29">
        <v>0.25757527556851983</v>
      </c>
      <c r="E14" s="29">
        <v>0.14012188688559091</v>
      </c>
      <c r="F14" s="12">
        <v>167.97495698880016</v>
      </c>
      <c r="G14" s="29">
        <v>-1.4102633584677051E-2</v>
      </c>
      <c r="H14" s="12">
        <v>-16.905918999999813</v>
      </c>
      <c r="I14" s="12"/>
      <c r="J14" s="12"/>
      <c r="AB14" s="31" t="s">
        <v>105</v>
      </c>
      <c r="AC14" s="24">
        <v>943.37699699999996</v>
      </c>
      <c r="AD14" s="25">
        <v>1</v>
      </c>
      <c r="AE14" s="30">
        <v>0.12661243322217675</v>
      </c>
      <c r="AF14" s="24">
        <v>119.4432570360002</v>
      </c>
      <c r="AG14" s="24">
        <f>SUM(AG4:AG13)</f>
        <v>0</v>
      </c>
      <c r="AI14" s="31" t="s">
        <v>105</v>
      </c>
      <c r="AJ14" s="24">
        <v>1018.1505181</v>
      </c>
      <c r="AK14" s="25">
        <v>1</v>
      </c>
      <c r="AL14" s="30">
        <v>0.13148810185612581</v>
      </c>
      <c r="AM14" s="24">
        <v>133.87467902879996</v>
      </c>
      <c r="AN14" s="24">
        <f>SUM(AN4:AN13)</f>
        <v>2.76</v>
      </c>
      <c r="AP14" s="31" t="s">
        <v>105</v>
      </c>
      <c r="AQ14" s="24">
        <v>1031.5575710000001</v>
      </c>
      <c r="AR14" s="25">
        <v>1</v>
      </c>
      <c r="AS14" s="30">
        <v>0.12744218841936039</v>
      </c>
      <c r="AT14" s="24">
        <v>131.46395432879967</v>
      </c>
      <c r="AU14" s="30">
        <v>3.2198677934961082E-3</v>
      </c>
      <c r="AV14" s="24">
        <v>3.3214789999999539</v>
      </c>
      <c r="AX14" s="31" t="s">
        <v>105</v>
      </c>
      <c r="AY14" s="24">
        <v>1094.3847390000001</v>
      </c>
      <c r="AZ14" s="25">
        <v>1</v>
      </c>
      <c r="BA14" s="30">
        <v>0.25538540801243753</v>
      </c>
      <c r="BB14" s="30">
        <v>0.13649339329721788</v>
      </c>
      <c r="BC14" s="24">
        <v>149.37628659880011</v>
      </c>
      <c r="BD14" s="30">
        <v>1.3107034015392944E-2</v>
      </c>
      <c r="BE14" s="24">
        <v>14.34413799999993</v>
      </c>
      <c r="BF14" s="24">
        <f t="shared" si="0"/>
        <v>11.022658999999976</v>
      </c>
      <c r="BG14" s="56">
        <f t="shared" si="1"/>
        <v>9.8871662218968353E-3</v>
      </c>
      <c r="BI14" s="31" t="s">
        <v>105</v>
      </c>
      <c r="BJ14" s="24">
        <v>1198.8431330000001</v>
      </c>
      <c r="BK14" s="25">
        <v>1</v>
      </c>
      <c r="BL14" s="30">
        <v>0.25757128388614631</v>
      </c>
      <c r="BM14" s="30">
        <v>0.14011956180492247</v>
      </c>
      <c r="BN14" s="24">
        <v>167.98137446880037</v>
      </c>
      <c r="BO14" s="30">
        <v>-1.4097343960012455E-2</v>
      </c>
      <c r="BP14" s="24">
        <v>-16.900503999999955</v>
      </c>
      <c r="BQ14" s="24">
        <f t="shared" si="2"/>
        <v>-31.244641999999885</v>
      </c>
      <c r="BR14" s="56">
        <f t="shared" si="3"/>
        <v>-2.7204377975405397E-2</v>
      </c>
    </row>
    <row r="19" spans="61:69" x14ac:dyDescent="0.25">
      <c r="BJ19" s="57">
        <v>45715</v>
      </c>
      <c r="BK19" s="57"/>
      <c r="BL19" s="57"/>
      <c r="BM19" s="57"/>
      <c r="BN19" s="57"/>
      <c r="BO19" s="57"/>
      <c r="BP19" s="57"/>
      <c r="BQ19" s="57"/>
    </row>
    <row r="20" spans="61:69" ht="16.5" customHeight="1" x14ac:dyDescent="0.25">
      <c r="BI20" s="28" t="s">
        <v>104</v>
      </c>
      <c r="BJ20" s="23" t="s">
        <v>106</v>
      </c>
      <c r="BK20" s="23" t="s">
        <v>107</v>
      </c>
      <c r="BL20" s="45" t="s">
        <v>143</v>
      </c>
      <c r="BM20" s="45" t="s">
        <v>111</v>
      </c>
      <c r="BN20" s="45" t="s">
        <v>112</v>
      </c>
      <c r="BO20" s="45" t="s">
        <v>139</v>
      </c>
      <c r="BP20" s="45" t="s">
        <v>140</v>
      </c>
    </row>
    <row r="21" spans="61:69" x14ac:dyDescent="0.25">
      <c r="BI21" s="40" t="s">
        <v>38</v>
      </c>
      <c r="BJ21" s="41">
        <v>283.12183800000003</v>
      </c>
      <c r="BK21" s="42">
        <v>0.25636242853460389</v>
      </c>
      <c r="BL21" s="43">
        <v>0.18558395637569999</v>
      </c>
      <c r="BM21" s="43">
        <v>0.12435576952421434</v>
      </c>
      <c r="BN21" s="41">
        <v>35.207834033599966</v>
      </c>
      <c r="BO21" s="43">
        <v>1.3355239661873061E-2</v>
      </c>
      <c r="BP21" s="41">
        <v>3.7811599999999999</v>
      </c>
    </row>
    <row r="22" spans="61:69" x14ac:dyDescent="0.25">
      <c r="BI22" s="40" t="s">
        <v>40</v>
      </c>
      <c r="BJ22" s="41">
        <v>255.90804500000002</v>
      </c>
      <c r="BK22" s="42">
        <v>0.23172076149683196</v>
      </c>
      <c r="BL22" s="43">
        <v>0.34074598418271684</v>
      </c>
      <c r="BM22" s="43">
        <v>0.13014422582924268</v>
      </c>
      <c r="BN22" s="41">
        <v>33.304954399999986</v>
      </c>
      <c r="BO22" s="43">
        <v>-9.4427078289000349E-2</v>
      </c>
      <c r="BP22" s="41">
        <v>-24.164649000000026</v>
      </c>
    </row>
    <row r="23" spans="61:69" x14ac:dyDescent="0.25">
      <c r="BI23" s="40" t="s">
        <v>115</v>
      </c>
      <c r="BJ23" s="41">
        <v>218.852</v>
      </c>
      <c r="BK23" s="42">
        <v>0.19816708808472461</v>
      </c>
      <c r="BL23" s="43">
        <v>0.14808573830716651</v>
      </c>
      <c r="BM23" s="43">
        <v>6.1035677078573602E-2</v>
      </c>
      <c r="BN23" s="41">
        <v>13.357779999999991</v>
      </c>
      <c r="BO23" s="43">
        <v>-1.0491108146144391E-2</v>
      </c>
      <c r="BP23" s="41">
        <v>-2.2959999999999923</v>
      </c>
    </row>
    <row r="24" spans="61:69" x14ac:dyDescent="0.25">
      <c r="BI24" s="40" t="s">
        <v>36</v>
      </c>
      <c r="BJ24" s="41">
        <v>155.61477000000002</v>
      </c>
      <c r="BK24" s="42">
        <v>0.14090675814648329</v>
      </c>
      <c r="BL24" s="43">
        <v>0.28791727261236194</v>
      </c>
      <c r="BM24" s="43">
        <v>0.16617375651424315</v>
      </c>
      <c r="BN24" s="41">
        <v>25.859090899999956</v>
      </c>
      <c r="BO24" s="43">
        <v>-5.8240834080210038E-2</v>
      </c>
      <c r="BP24" s="41">
        <v>-9.0631340000000478</v>
      </c>
    </row>
    <row r="25" spans="61:69" x14ac:dyDescent="0.25">
      <c r="BI25" s="40" t="s">
        <v>37</v>
      </c>
      <c r="BJ25" s="41">
        <v>114.87946399999998</v>
      </c>
      <c r="BK25" s="42">
        <v>0.1040215710234037</v>
      </c>
      <c r="BL25" s="43">
        <v>0.33977481277941901</v>
      </c>
      <c r="BM25" s="43">
        <v>0.29350438125303246</v>
      </c>
      <c r="BN25" s="41">
        <v>33.717626000000024</v>
      </c>
      <c r="BO25" s="43">
        <v>0.11658635524274395</v>
      </c>
      <c r="BP25" s="41">
        <v>13.393378000000013</v>
      </c>
    </row>
    <row r="26" spans="61:69" x14ac:dyDescent="0.25">
      <c r="BI26" s="40" t="s">
        <v>39</v>
      </c>
      <c r="BJ26" s="41">
        <v>66.005799999999994</v>
      </c>
      <c r="BK26" s="42">
        <v>5.9767227088181572E-2</v>
      </c>
      <c r="BL26" s="43">
        <v>0.35603887350051061</v>
      </c>
      <c r="BM26" s="43">
        <v>0.10497250340424635</v>
      </c>
      <c r="BN26" s="41">
        <v>6.9287940652000088</v>
      </c>
      <c r="BO26" s="43">
        <v>-2.091140475533947E-2</v>
      </c>
      <c r="BP26" s="41">
        <v>-1.3802739999999858</v>
      </c>
    </row>
    <row r="27" spans="61:69" x14ac:dyDescent="0.25">
      <c r="BI27" s="40" t="s">
        <v>96</v>
      </c>
      <c r="BJ27" s="41">
        <v>9.99925</v>
      </c>
      <c r="BK27" s="42">
        <v>9.054165625770761E-3</v>
      </c>
      <c r="BL27" s="43">
        <v>0.2</v>
      </c>
      <c r="BM27" s="43">
        <v>0.19999999999999996</v>
      </c>
      <c r="BN27" s="41">
        <v>1.9998499999999986</v>
      </c>
      <c r="BO27" s="43">
        <v>-1.696377228292139E-2</v>
      </c>
      <c r="BP27" s="41">
        <v>-0.16962500000000169</v>
      </c>
    </row>
    <row r="28" spans="61:69" x14ac:dyDescent="0.25">
      <c r="BI28" s="40" t="s">
        <v>74</v>
      </c>
      <c r="BJ28" s="41">
        <v>2.9136552000000001E-16</v>
      </c>
      <c r="BK28" s="42">
        <v>2.6382695459347681E-19</v>
      </c>
      <c r="BL28" s="43">
        <v>0.48159901967810059</v>
      </c>
      <c r="BM28" s="43">
        <v>9.9274912144717842E-2</v>
      </c>
      <c r="BN28" s="41">
        <v>2.8925286400000047E-17</v>
      </c>
      <c r="BO28" s="43">
        <v>-0.94159329491011845</v>
      </c>
      <c r="BP28" s="41">
        <v>-2.7434782000000001E-16</v>
      </c>
    </row>
    <row r="29" spans="61:69" x14ac:dyDescent="0.25">
      <c r="BI29" s="40" t="s">
        <v>87</v>
      </c>
      <c r="BJ29" s="41">
        <v>1.3353E-17</v>
      </c>
      <c r="BK29" s="42">
        <v>1.2090934180155208E-20</v>
      </c>
      <c r="BL29" s="43">
        <v>0.2</v>
      </c>
      <c r="BM29" s="43">
        <v>7.0000000000000062E-2</v>
      </c>
      <c r="BN29" s="41">
        <v>9.3470999999999986E-19</v>
      </c>
      <c r="BO29" s="43">
        <v>0.1040964577248558</v>
      </c>
      <c r="BP29" s="41">
        <v>1.3899999999999995E-18</v>
      </c>
    </row>
    <row r="30" spans="61:69" x14ac:dyDescent="0.25">
      <c r="BI30" s="40" t="s">
        <v>71</v>
      </c>
      <c r="BJ30" s="41">
        <v>5.5999999999999995E-18</v>
      </c>
      <c r="BK30" s="42">
        <v>5.0707130539106685E-21</v>
      </c>
      <c r="BL30" s="43">
        <v>0.19</v>
      </c>
      <c r="BM30" s="43">
        <v>7.0000000000000062E-2</v>
      </c>
      <c r="BN30" s="41">
        <v>3.9200000000000069E-19</v>
      </c>
      <c r="BO30" s="43">
        <v>0.18250000000000008</v>
      </c>
      <c r="BP30" s="41">
        <v>1.0220000000000004E-18</v>
      </c>
    </row>
    <row r="31" spans="61:69" x14ac:dyDescent="0.25">
      <c r="BI31" s="31" t="s">
        <v>105</v>
      </c>
      <c r="BJ31" s="24">
        <v>1104.3811670000002</v>
      </c>
      <c r="BK31" s="25">
        <v>1</v>
      </c>
      <c r="BL31" s="30">
        <v>0.25488408088011155</v>
      </c>
      <c r="BM31" s="30">
        <v>0.13616306932079381</v>
      </c>
      <c r="BN31" s="24">
        <v>150.37592939880028</v>
      </c>
      <c r="BO31" s="30">
        <v>-1.8018365936151651E-2</v>
      </c>
      <c r="BP31" s="24">
        <v>-19.899144000000206</v>
      </c>
    </row>
  </sheetData>
  <mergeCells count="17">
    <mergeCell ref="L1:P1"/>
    <mergeCell ref="L2:P2"/>
    <mergeCell ref="R2:S2"/>
    <mergeCell ref="R1:S1"/>
    <mergeCell ref="V2:Z2"/>
    <mergeCell ref="V1:Z1"/>
    <mergeCell ref="BJ19:BQ19"/>
    <mergeCell ref="BJ1:BQ1"/>
    <mergeCell ref="BJ2:BQ2"/>
    <mergeCell ref="AC1:AG1"/>
    <mergeCell ref="AC2:AG2"/>
    <mergeCell ref="AY2:BF2"/>
    <mergeCell ref="AY1:BF1"/>
    <mergeCell ref="AQ2:AV2"/>
    <mergeCell ref="AQ1:AV1"/>
    <mergeCell ref="AJ1:AN1"/>
    <mergeCell ref="AJ2:AN2"/>
  </mergeCells>
  <conditionalFormatting sqref="K4:K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2:AO44"/>
  <sheetViews>
    <sheetView topLeftCell="H1" zoomScaleNormal="100" workbookViewId="0">
      <selection activeCell="AD30" sqref="AD28:AG30"/>
    </sheetView>
  </sheetViews>
  <sheetFormatPr defaultRowHeight="15" x14ac:dyDescent="0.25"/>
  <cols>
    <col min="2" max="2" width="13.5703125" bestFit="1" customWidth="1"/>
    <col min="3" max="3" width="8.85546875" bestFit="1" customWidth="1"/>
    <col min="4" max="4" width="9.7109375" bestFit="1" customWidth="1"/>
    <col min="5" max="5" width="9.14062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  <col min="27" max="27" width="10.140625" bestFit="1" customWidth="1"/>
    <col min="29" max="29" width="9.140625" customWidth="1"/>
    <col min="33" max="33" width="10.140625" bestFit="1" customWidth="1"/>
    <col min="36" max="36" width="10.140625" bestFit="1" customWidth="1"/>
    <col min="41" max="41" width="10.140625" bestFit="1" customWidth="1"/>
  </cols>
  <sheetData>
    <row r="2" spans="2:41" x14ac:dyDescent="0.25">
      <c r="B2" t="s">
        <v>124</v>
      </c>
      <c r="C2" t="s">
        <v>125</v>
      </c>
      <c r="D2" t="s">
        <v>122</v>
      </c>
      <c r="E2" s="29">
        <v>8.8700000000000001E-2</v>
      </c>
      <c r="G2" t="s">
        <v>124</v>
      </c>
      <c r="H2" t="s">
        <v>125</v>
      </c>
      <c r="I2" t="s">
        <v>122</v>
      </c>
      <c r="J2" s="29">
        <v>0.24129999999999999</v>
      </c>
      <c r="M2" t="s">
        <v>124</v>
      </c>
      <c r="N2" t="s">
        <v>125</v>
      </c>
      <c r="O2" t="s">
        <v>122</v>
      </c>
      <c r="P2" s="29">
        <v>0.44950000000000001</v>
      </c>
      <c r="R2" t="s">
        <v>124</v>
      </c>
      <c r="S2" t="s">
        <v>125</v>
      </c>
      <c r="T2" t="s">
        <v>122</v>
      </c>
      <c r="U2" s="29">
        <v>0.54500000000000004</v>
      </c>
      <c r="X2" t="s">
        <v>124</v>
      </c>
      <c r="Y2" t="s">
        <v>125</v>
      </c>
      <c r="Z2" t="s">
        <v>122</v>
      </c>
      <c r="AA2" s="29">
        <v>8.6900000000000005E-2</v>
      </c>
      <c r="AD2" t="s">
        <v>124</v>
      </c>
      <c r="AE2" t="s">
        <v>125</v>
      </c>
      <c r="AF2" t="s">
        <v>122</v>
      </c>
      <c r="AG2" s="29">
        <v>0.1434</v>
      </c>
      <c r="AL2" t="s">
        <v>124</v>
      </c>
      <c r="AM2" t="s">
        <v>125</v>
      </c>
      <c r="AN2" t="s">
        <v>122</v>
      </c>
      <c r="AO2" s="29">
        <v>0.23449999999999999</v>
      </c>
    </row>
    <row r="3" spans="2:41" x14ac:dyDescent="0.25">
      <c r="B3" t="s">
        <v>124</v>
      </c>
      <c r="C3" t="s">
        <v>125</v>
      </c>
      <c r="D3" t="s">
        <v>126</v>
      </c>
      <c r="E3" s="29">
        <v>0.1077</v>
      </c>
      <c r="G3" t="s">
        <v>124</v>
      </c>
      <c r="H3" t="s">
        <v>125</v>
      </c>
      <c r="I3" t="s">
        <v>126</v>
      </c>
      <c r="J3" s="29">
        <v>0.30709999999999998</v>
      </c>
      <c r="M3" t="s">
        <v>124</v>
      </c>
      <c r="N3" t="s">
        <v>125</v>
      </c>
      <c r="O3" t="s">
        <v>126</v>
      </c>
      <c r="P3" s="29">
        <v>0.46850000000000003</v>
      </c>
      <c r="R3" t="s">
        <v>124</v>
      </c>
      <c r="S3" t="s">
        <v>125</v>
      </c>
      <c r="T3" t="s">
        <v>126</v>
      </c>
      <c r="U3" s="29">
        <v>0.3967</v>
      </c>
      <c r="X3" t="s">
        <v>124</v>
      </c>
      <c r="Y3" t="s">
        <v>125</v>
      </c>
      <c r="Z3" t="s">
        <v>126</v>
      </c>
      <c r="AA3" s="29">
        <v>0.1148</v>
      </c>
      <c r="AD3" t="s">
        <v>124</v>
      </c>
      <c r="AE3" t="s">
        <v>125</v>
      </c>
      <c r="AF3" t="s">
        <v>126</v>
      </c>
      <c r="AG3" s="29">
        <v>0.15690000000000001</v>
      </c>
      <c r="AL3" t="s">
        <v>124</v>
      </c>
      <c r="AM3" t="s">
        <v>125</v>
      </c>
      <c r="AN3" t="s">
        <v>126</v>
      </c>
      <c r="AO3" s="29">
        <v>0.21890000000000001</v>
      </c>
    </row>
    <row r="4" spans="2:41" x14ac:dyDescent="0.25">
      <c r="X4" t="s">
        <v>148</v>
      </c>
      <c r="AA4" s="22">
        <v>1</v>
      </c>
      <c r="AD4" t="s">
        <v>148</v>
      </c>
      <c r="AG4" s="22">
        <v>0.65</v>
      </c>
      <c r="AL4" t="s">
        <v>148</v>
      </c>
      <c r="AO4" s="22">
        <v>1</v>
      </c>
    </row>
    <row r="5" spans="2:41" x14ac:dyDescent="0.25">
      <c r="B5" s="39" t="s">
        <v>82</v>
      </c>
      <c r="C5" s="39" t="s">
        <v>2</v>
      </c>
      <c r="D5" s="39" t="s">
        <v>123</v>
      </c>
      <c r="E5" s="39" t="s">
        <v>127</v>
      </c>
      <c r="G5" s="39" t="s">
        <v>82</v>
      </c>
      <c r="H5" s="39" t="s">
        <v>2</v>
      </c>
      <c r="I5" s="39" t="s">
        <v>123</v>
      </c>
      <c r="J5" s="39" t="s">
        <v>127</v>
      </c>
      <c r="M5" s="39" t="s">
        <v>82</v>
      </c>
      <c r="N5" s="39" t="s">
        <v>2</v>
      </c>
      <c r="O5" s="39" t="s">
        <v>123</v>
      </c>
      <c r="P5" s="39" t="s">
        <v>127</v>
      </c>
      <c r="R5" s="39" t="s">
        <v>82</v>
      </c>
      <c r="S5" s="39" t="s">
        <v>2</v>
      </c>
      <c r="T5" s="39" t="s">
        <v>123</v>
      </c>
      <c r="U5" s="39" t="s">
        <v>127</v>
      </c>
      <c r="X5" t="s">
        <v>135</v>
      </c>
      <c r="AC5" t="s">
        <v>147</v>
      </c>
      <c r="AD5" t="s">
        <v>135</v>
      </c>
      <c r="AL5" t="s">
        <v>36</v>
      </c>
    </row>
    <row r="6" spans="2:41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49" t="s">
        <v>86</v>
      </c>
      <c r="N6" s="50">
        <v>4.1399999999999999E-2</v>
      </c>
      <c r="O6" s="50">
        <v>0.59519999999999995</v>
      </c>
      <c r="P6" s="50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  <c r="X6" s="39" t="s">
        <v>82</v>
      </c>
      <c r="Y6" s="39" t="s">
        <v>2</v>
      </c>
      <c r="Z6" s="39" t="s">
        <v>123</v>
      </c>
      <c r="AA6" s="39" t="s">
        <v>127</v>
      </c>
      <c r="AD6" s="39" t="s">
        <v>82</v>
      </c>
      <c r="AE6" s="39" t="s">
        <v>2</v>
      </c>
      <c r="AF6" s="39" t="s">
        <v>134</v>
      </c>
      <c r="AG6" s="39" t="s">
        <v>127</v>
      </c>
      <c r="AI6" s="48" t="s">
        <v>149</v>
      </c>
      <c r="AJ6" s="39" t="s">
        <v>127</v>
      </c>
      <c r="AL6" s="39" t="s">
        <v>82</v>
      </c>
      <c r="AM6" s="39" t="s">
        <v>2</v>
      </c>
      <c r="AN6" s="39" t="s">
        <v>134</v>
      </c>
      <c r="AO6" s="39" t="s">
        <v>127</v>
      </c>
    </row>
    <row r="7" spans="2:41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  <c r="X7" s="49" t="s">
        <v>98</v>
      </c>
      <c r="Y7" s="50">
        <v>0.1174</v>
      </c>
      <c r="Z7" s="50">
        <v>5.8500000000000003E-2</v>
      </c>
      <c r="AA7" s="50">
        <f t="shared" ref="AA7:AA16" si="4">Z7-Y7</f>
        <v>-5.8900000000000001E-2</v>
      </c>
      <c r="AC7">
        <v>0</v>
      </c>
      <c r="AD7" s="33" t="s">
        <v>98</v>
      </c>
      <c r="AE7" s="34">
        <v>0.1174</v>
      </c>
      <c r="AF7" s="34">
        <v>0.20399999999999999</v>
      </c>
      <c r="AG7" s="34">
        <f t="shared" ref="AG7:AG16" si="5">AF7-AE7</f>
        <v>8.6599999999999983E-2</v>
      </c>
      <c r="AI7">
        <f>(Z7+AF7)/2</f>
        <v>0.13125000000000001</v>
      </c>
      <c r="AJ7" s="34">
        <f>AI7-AE7</f>
        <v>1.3850000000000001E-2</v>
      </c>
      <c r="AL7" s="33" t="s">
        <v>22</v>
      </c>
      <c r="AM7" s="34">
        <v>0.50090000000000001</v>
      </c>
      <c r="AN7" s="34">
        <v>0.156</v>
      </c>
      <c r="AO7" s="34">
        <f t="shared" ref="AO7:AO15" si="6">AN7-AM7</f>
        <v>-0.34489999999999998</v>
      </c>
    </row>
    <row r="8" spans="2:41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5" t="s">
        <v>5</v>
      </c>
      <c r="N8" s="36">
        <v>0.1242</v>
      </c>
      <c r="O8" s="36">
        <v>0</v>
      </c>
      <c r="P8" s="36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X8" s="33" t="s">
        <v>5</v>
      </c>
      <c r="Y8" s="34">
        <v>0.25779999999999997</v>
      </c>
      <c r="Z8" s="34">
        <v>0.113</v>
      </c>
      <c r="AA8" s="34">
        <f t="shared" si="4"/>
        <v>-0.14479999999999998</v>
      </c>
      <c r="AC8">
        <v>1</v>
      </c>
      <c r="AD8" s="33" t="s">
        <v>5</v>
      </c>
      <c r="AE8" s="34">
        <v>0.25779999999999997</v>
      </c>
      <c r="AF8" s="34">
        <v>0.2581</v>
      </c>
      <c r="AG8" s="34">
        <f t="shared" si="5"/>
        <v>3.0000000000002247E-4</v>
      </c>
      <c r="AI8">
        <f t="shared" ref="AI8:AI16" si="7">(Z8+AF8)/2</f>
        <v>0.18554999999999999</v>
      </c>
      <c r="AJ8" s="34">
        <f t="shared" ref="AJ8:AJ16" si="8">AI8-AE8</f>
        <v>-7.2249999999999981E-2</v>
      </c>
      <c r="AL8" s="33" t="s">
        <v>12</v>
      </c>
      <c r="AM8" s="34">
        <v>0.43469999999999998</v>
      </c>
      <c r="AN8" s="34">
        <v>0.30940000000000001</v>
      </c>
      <c r="AO8" s="34">
        <f t="shared" si="6"/>
        <v>-0.12529999999999997</v>
      </c>
    </row>
    <row r="9" spans="2:41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  <c r="X9" s="52" t="s">
        <v>20</v>
      </c>
      <c r="Y9" s="53">
        <v>0.2039</v>
      </c>
      <c r="Z9" s="53">
        <v>0.16420000000000001</v>
      </c>
      <c r="AA9" s="53">
        <f t="shared" si="4"/>
        <v>-3.9699999999999985E-2</v>
      </c>
      <c r="AC9">
        <v>2</v>
      </c>
      <c r="AD9" s="33" t="s">
        <v>20</v>
      </c>
      <c r="AE9" s="34">
        <v>0.2039</v>
      </c>
      <c r="AF9" s="34">
        <v>0</v>
      </c>
      <c r="AG9" s="34">
        <f t="shared" si="5"/>
        <v>-0.2039</v>
      </c>
      <c r="AI9">
        <f t="shared" si="7"/>
        <v>8.2100000000000006E-2</v>
      </c>
      <c r="AJ9" s="34">
        <f t="shared" si="8"/>
        <v>-0.12179999999999999</v>
      </c>
      <c r="AL9" s="33" t="s">
        <v>17</v>
      </c>
      <c r="AM9" s="34">
        <v>6.4199999999999993E-2</v>
      </c>
      <c r="AN9" s="34">
        <v>0.14630000000000001</v>
      </c>
      <c r="AO9" s="34">
        <f t="shared" si="6"/>
        <v>8.210000000000002E-2</v>
      </c>
    </row>
    <row r="10" spans="2:41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X10" s="33" t="s">
        <v>16</v>
      </c>
      <c r="Y10" s="34">
        <v>0.2319</v>
      </c>
      <c r="Z10" s="34">
        <v>0.2298</v>
      </c>
      <c r="AA10" s="34">
        <f t="shared" si="4"/>
        <v>-2.0999999999999908E-3</v>
      </c>
      <c r="AC10">
        <v>3</v>
      </c>
      <c r="AD10" s="33" t="s">
        <v>16</v>
      </c>
      <c r="AE10" s="34">
        <v>0.2319</v>
      </c>
      <c r="AF10" s="34">
        <v>0</v>
      </c>
      <c r="AG10" s="34">
        <f t="shared" si="5"/>
        <v>-0.2319</v>
      </c>
      <c r="AI10">
        <f t="shared" si="7"/>
        <v>0.1149</v>
      </c>
      <c r="AJ10" s="34">
        <f t="shared" si="8"/>
        <v>-0.11699999999999999</v>
      </c>
      <c r="AL10" s="33" t="s">
        <v>13</v>
      </c>
      <c r="AM10" s="34">
        <v>1E-4</v>
      </c>
      <c r="AN10" s="34">
        <v>0.35099999999999998</v>
      </c>
      <c r="AO10" s="34">
        <f t="shared" si="6"/>
        <v>0.35089999999999999</v>
      </c>
    </row>
    <row r="11" spans="2:41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X11" s="33" t="s">
        <v>43</v>
      </c>
      <c r="Y11" s="34">
        <v>0.13170000000000001</v>
      </c>
      <c r="Z11" s="34">
        <v>0.15509999999999999</v>
      </c>
      <c r="AA11" s="34">
        <f t="shared" si="4"/>
        <v>2.3399999999999976E-2</v>
      </c>
      <c r="AC11">
        <v>4</v>
      </c>
      <c r="AD11" s="33" t="s">
        <v>43</v>
      </c>
      <c r="AE11" s="34">
        <v>0.13170000000000001</v>
      </c>
      <c r="AF11" s="34">
        <v>3.8199999999999998E-2</v>
      </c>
      <c r="AG11" s="34">
        <f t="shared" si="5"/>
        <v>-9.3500000000000014E-2</v>
      </c>
      <c r="AI11">
        <f t="shared" si="7"/>
        <v>9.6649999999999986E-2</v>
      </c>
      <c r="AJ11" s="34">
        <f t="shared" si="8"/>
        <v>-3.5050000000000026E-2</v>
      </c>
      <c r="AL11" s="33" t="s">
        <v>9</v>
      </c>
      <c r="AM11" s="34">
        <v>0</v>
      </c>
      <c r="AN11" s="34">
        <v>0</v>
      </c>
      <c r="AO11" s="34">
        <f t="shared" si="6"/>
        <v>0</v>
      </c>
    </row>
    <row r="12" spans="2:41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X12" s="49" t="s">
        <v>59</v>
      </c>
      <c r="Y12" s="50">
        <v>1E-4</v>
      </c>
      <c r="Z12" s="50">
        <v>8.1000000000000003E-2</v>
      </c>
      <c r="AA12" s="50">
        <f t="shared" si="4"/>
        <v>8.09E-2</v>
      </c>
      <c r="AC12">
        <v>5</v>
      </c>
      <c r="AD12" s="33" t="s">
        <v>59</v>
      </c>
      <c r="AE12" s="34">
        <v>1E-4</v>
      </c>
      <c r="AF12" s="34">
        <v>0</v>
      </c>
      <c r="AG12" s="34">
        <f t="shared" si="5"/>
        <v>-1E-4</v>
      </c>
      <c r="AI12">
        <f t="shared" si="7"/>
        <v>4.0500000000000001E-2</v>
      </c>
      <c r="AJ12" s="34">
        <f t="shared" si="8"/>
        <v>4.0399999999999998E-2</v>
      </c>
      <c r="AL12" s="33" t="s">
        <v>60</v>
      </c>
      <c r="AM12" s="34">
        <v>0</v>
      </c>
      <c r="AN12" s="34">
        <v>0</v>
      </c>
      <c r="AO12" s="34">
        <f t="shared" si="6"/>
        <v>0</v>
      </c>
    </row>
    <row r="13" spans="2:41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5" t="s">
        <v>20</v>
      </c>
      <c r="N13" s="36">
        <v>6.93E-2</v>
      </c>
      <c r="O13" s="36">
        <v>0</v>
      </c>
      <c r="P13" s="36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X13" s="35" t="s">
        <v>34</v>
      </c>
      <c r="Y13" s="36">
        <v>0</v>
      </c>
      <c r="Z13" s="36">
        <v>0</v>
      </c>
      <c r="AA13" s="36">
        <f t="shared" si="4"/>
        <v>0</v>
      </c>
      <c r="AC13">
        <v>6</v>
      </c>
      <c r="AD13" s="33" t="s">
        <v>34</v>
      </c>
      <c r="AE13" s="34">
        <v>0</v>
      </c>
      <c r="AF13" s="34">
        <v>0.2001</v>
      </c>
      <c r="AG13" s="34">
        <f t="shared" si="5"/>
        <v>0.2001</v>
      </c>
      <c r="AI13">
        <f t="shared" si="7"/>
        <v>0.10005</v>
      </c>
      <c r="AJ13" s="34">
        <f t="shared" si="8"/>
        <v>0.10005</v>
      </c>
      <c r="AL13" s="33" t="s">
        <v>24</v>
      </c>
      <c r="AM13" s="34">
        <v>0</v>
      </c>
      <c r="AN13" s="34">
        <v>3.7400000000000003E-2</v>
      </c>
      <c r="AO13" s="34">
        <f t="shared" si="6"/>
        <v>3.7400000000000003E-2</v>
      </c>
    </row>
    <row r="14" spans="2:41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  <c r="X14" s="35" t="s">
        <v>55</v>
      </c>
      <c r="Y14" s="36">
        <v>0</v>
      </c>
      <c r="Z14" s="36">
        <v>0.17960000000000001</v>
      </c>
      <c r="AA14" s="36">
        <f t="shared" si="4"/>
        <v>0.17960000000000001</v>
      </c>
      <c r="AC14">
        <v>7</v>
      </c>
      <c r="AD14" s="33" t="s">
        <v>55</v>
      </c>
      <c r="AE14" s="34">
        <v>0</v>
      </c>
      <c r="AF14" s="34">
        <v>0.29949999999999999</v>
      </c>
      <c r="AG14" s="34">
        <f t="shared" si="5"/>
        <v>0.29949999999999999</v>
      </c>
      <c r="AI14">
        <f t="shared" si="7"/>
        <v>0.23954999999999999</v>
      </c>
      <c r="AJ14" s="34">
        <f t="shared" si="8"/>
        <v>0.23954999999999999</v>
      </c>
      <c r="AL14" s="33" t="s">
        <v>30</v>
      </c>
      <c r="AM14" s="34">
        <v>0</v>
      </c>
      <c r="AN14" s="34">
        <v>0</v>
      </c>
      <c r="AO14" s="34">
        <f t="shared" si="6"/>
        <v>0</v>
      </c>
    </row>
    <row r="15" spans="2:41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  <c r="X15" s="33" t="s">
        <v>56</v>
      </c>
      <c r="Y15" s="34">
        <v>0</v>
      </c>
      <c r="Z15" s="34">
        <v>0</v>
      </c>
      <c r="AA15" s="34">
        <f t="shared" si="4"/>
        <v>0</v>
      </c>
      <c r="AC15">
        <v>8</v>
      </c>
      <c r="AD15" s="33" t="s">
        <v>56</v>
      </c>
      <c r="AE15" s="34">
        <v>0</v>
      </c>
      <c r="AF15" s="34">
        <v>0</v>
      </c>
      <c r="AG15" s="34">
        <f t="shared" si="5"/>
        <v>0</v>
      </c>
      <c r="AI15">
        <f t="shared" si="7"/>
        <v>0</v>
      </c>
      <c r="AJ15" s="34">
        <f t="shared" si="8"/>
        <v>0</v>
      </c>
      <c r="AL15" s="33" t="s">
        <v>84</v>
      </c>
      <c r="AM15" s="34">
        <v>0</v>
      </c>
      <c r="AN15" s="34">
        <v>0</v>
      </c>
      <c r="AO15" s="34">
        <f t="shared" si="6"/>
        <v>0</v>
      </c>
    </row>
    <row r="16" spans="2:41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  <c r="X16" s="33" t="s">
        <v>41</v>
      </c>
      <c r="Y16" s="34">
        <v>5.7200000000000001E-2</v>
      </c>
      <c r="Z16" s="34">
        <v>1.89E-2</v>
      </c>
      <c r="AA16" s="34">
        <f t="shared" si="4"/>
        <v>-3.8300000000000001E-2</v>
      </c>
      <c r="AC16">
        <v>9</v>
      </c>
      <c r="AD16" s="33" t="s">
        <v>41</v>
      </c>
      <c r="AE16" s="34">
        <v>5.7200000000000001E-2</v>
      </c>
      <c r="AF16" s="34">
        <v>0</v>
      </c>
      <c r="AG16" s="34">
        <f t="shared" si="5"/>
        <v>-5.7200000000000001E-2</v>
      </c>
      <c r="AI16">
        <f t="shared" si="7"/>
        <v>9.4500000000000001E-3</v>
      </c>
      <c r="AJ16" s="34">
        <f t="shared" si="8"/>
        <v>-4.7750000000000001E-2</v>
      </c>
    </row>
    <row r="17" spans="2:38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2:38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  <c r="X18" t="s">
        <v>150</v>
      </c>
      <c r="AD18" t="s">
        <v>124</v>
      </c>
      <c r="AE18" t="s">
        <v>125</v>
      </c>
      <c r="AF18" t="s">
        <v>122</v>
      </c>
      <c r="AG18" s="29">
        <v>0.13339999999999999</v>
      </c>
      <c r="AL18" t="s">
        <v>154</v>
      </c>
    </row>
    <row r="19" spans="2:38" x14ac:dyDescent="0.25">
      <c r="B19" t="s">
        <v>124</v>
      </c>
      <c r="C19" t="s">
        <v>125</v>
      </c>
      <c r="D19" t="s">
        <v>122</v>
      </c>
      <c r="E19" s="29">
        <v>0.15629999999999999</v>
      </c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  <c r="X19" s="39" t="s">
        <v>82</v>
      </c>
      <c r="Y19" t="s">
        <v>151</v>
      </c>
      <c r="AD19" t="s">
        <v>124</v>
      </c>
      <c r="AE19" t="s">
        <v>125</v>
      </c>
      <c r="AF19" t="s">
        <v>126</v>
      </c>
      <c r="AG19" s="29">
        <v>0.13569999999999999</v>
      </c>
    </row>
    <row r="20" spans="2:38" x14ac:dyDescent="0.25">
      <c r="B20" t="s">
        <v>124</v>
      </c>
      <c r="C20" t="s">
        <v>125</v>
      </c>
      <c r="D20" t="s">
        <v>126</v>
      </c>
      <c r="E20" s="29">
        <v>0.1726</v>
      </c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  <c r="X20" s="33" t="s">
        <v>98</v>
      </c>
      <c r="Y20" s="29">
        <v>2.5000000000000001E-2</v>
      </c>
      <c r="AD20" t="s">
        <v>148</v>
      </c>
      <c r="AG20" s="22">
        <v>0.81</v>
      </c>
    </row>
    <row r="21" spans="2:38" x14ac:dyDescent="0.25">
      <c r="B21" t="s">
        <v>148</v>
      </c>
      <c r="E21" s="22">
        <v>0.81</v>
      </c>
      <c r="M21" s="35" t="s">
        <v>28</v>
      </c>
      <c r="N21" s="36">
        <v>8.9599999999999999E-2</v>
      </c>
      <c r="O21" s="36">
        <v>0</v>
      </c>
      <c r="P21" s="36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  <c r="X21" s="33" t="s">
        <v>5</v>
      </c>
      <c r="Y21" s="29">
        <v>8.2000000000000003E-2</v>
      </c>
      <c r="AD21" t="s">
        <v>135</v>
      </c>
    </row>
    <row r="22" spans="2:38" x14ac:dyDescent="0.25">
      <c r="B22" t="s">
        <v>160</v>
      </c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  <c r="X22" s="33" t="s">
        <v>20</v>
      </c>
      <c r="Y22" s="29">
        <v>3.4000000000000002E-2</v>
      </c>
      <c r="AD22" s="39" t="s">
        <v>82</v>
      </c>
      <c r="AE22" s="39" t="s">
        <v>2</v>
      </c>
      <c r="AF22" s="39" t="s">
        <v>134</v>
      </c>
      <c r="AG22" s="39" t="s">
        <v>127</v>
      </c>
    </row>
    <row r="23" spans="2:38" x14ac:dyDescent="0.25">
      <c r="B23" s="39" t="s">
        <v>82</v>
      </c>
      <c r="C23" s="39" t="s">
        <v>2</v>
      </c>
      <c r="D23" s="39" t="s">
        <v>123</v>
      </c>
      <c r="E23" s="39" t="s">
        <v>127</v>
      </c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  <c r="X23" s="33" t="s">
        <v>16</v>
      </c>
      <c r="Y23" s="29">
        <v>2.8000000000000001E-2</v>
      </c>
      <c r="AD23" s="33" t="s">
        <v>16</v>
      </c>
      <c r="AE23" s="34">
        <v>0.2319</v>
      </c>
      <c r="AF23" s="34">
        <v>6.0100000000000001E-2</v>
      </c>
      <c r="AG23" s="34">
        <f t="shared" ref="AG23:AG32" si="9">AF23-AE23</f>
        <v>-0.17180000000000001</v>
      </c>
    </row>
    <row r="24" spans="2:38" x14ac:dyDescent="0.25">
      <c r="B24" s="52" t="s">
        <v>103</v>
      </c>
      <c r="C24" s="53">
        <v>0.22159999999999999</v>
      </c>
      <c r="D24" s="53">
        <v>0</v>
      </c>
      <c r="E24" s="53">
        <f t="shared" ref="E24:E34" si="10">D24-C24</f>
        <v>-0.22159999999999999</v>
      </c>
      <c r="F24" t="s">
        <v>161</v>
      </c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  <c r="X24" s="33" t="s">
        <v>43</v>
      </c>
      <c r="Y24" s="29">
        <v>2.5999999999999999E-2</v>
      </c>
      <c r="AD24" s="33" t="s">
        <v>41</v>
      </c>
      <c r="AE24" s="34">
        <v>5.7200000000000001E-2</v>
      </c>
      <c r="AF24" s="34">
        <v>2.41E-2</v>
      </c>
      <c r="AG24" s="34">
        <f t="shared" si="9"/>
        <v>-3.3100000000000004E-2</v>
      </c>
    </row>
    <row r="25" spans="2:38" x14ac:dyDescent="0.25">
      <c r="B25" s="35" t="s">
        <v>46</v>
      </c>
      <c r="C25" s="36">
        <v>0.22120000000000001</v>
      </c>
      <c r="D25" s="36">
        <v>8.3099999999999993E-2</v>
      </c>
      <c r="E25" s="36">
        <f t="shared" si="10"/>
        <v>-0.1381</v>
      </c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  <c r="X25" s="51" t="s">
        <v>152</v>
      </c>
      <c r="Y25" s="29"/>
      <c r="AD25" s="33" t="s">
        <v>43</v>
      </c>
      <c r="AE25" s="34">
        <v>0.13170000000000001</v>
      </c>
      <c r="AF25" s="34">
        <v>2.1700000000000001E-2</v>
      </c>
      <c r="AG25" s="34">
        <f t="shared" si="9"/>
        <v>-0.11000000000000001</v>
      </c>
    </row>
    <row r="26" spans="2:38" x14ac:dyDescent="0.25">
      <c r="B26" s="37" t="s">
        <v>27</v>
      </c>
      <c r="C26" s="38">
        <v>0.20300000000000001</v>
      </c>
      <c r="D26" s="38">
        <v>0.56920000000000004</v>
      </c>
      <c r="E26" s="38">
        <f t="shared" si="10"/>
        <v>0.36620000000000003</v>
      </c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  <c r="X26" s="51" t="s">
        <v>153</v>
      </c>
      <c r="Y26" s="29"/>
      <c r="AD26" s="33" t="s">
        <v>56</v>
      </c>
      <c r="AE26" s="34">
        <v>0</v>
      </c>
      <c r="AF26" s="34">
        <v>0</v>
      </c>
      <c r="AG26" s="34">
        <f t="shared" si="9"/>
        <v>0</v>
      </c>
    </row>
    <row r="27" spans="2:38" x14ac:dyDescent="0.25">
      <c r="B27" s="35" t="s">
        <v>94</v>
      </c>
      <c r="C27" s="36">
        <v>0.23980000000000001</v>
      </c>
      <c r="D27" s="36">
        <v>0</v>
      </c>
      <c r="E27" s="36">
        <f t="shared" si="10"/>
        <v>-0.23980000000000001</v>
      </c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  <c r="Y27" s="29"/>
      <c r="AD27" s="33" t="s">
        <v>55</v>
      </c>
      <c r="AE27" s="34">
        <v>0</v>
      </c>
      <c r="AF27" s="34">
        <v>0.41249999999999998</v>
      </c>
      <c r="AG27" s="34">
        <f t="shared" si="9"/>
        <v>0.41249999999999998</v>
      </c>
    </row>
    <row r="28" spans="2:38" x14ac:dyDescent="0.25">
      <c r="B28" s="33" t="s">
        <v>92</v>
      </c>
      <c r="C28" s="34">
        <v>0</v>
      </c>
      <c r="D28" s="34">
        <v>0</v>
      </c>
      <c r="E28" s="34">
        <f t="shared" si="10"/>
        <v>0</v>
      </c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  <c r="Y28" s="29"/>
      <c r="AD28" s="33" t="s">
        <v>34</v>
      </c>
      <c r="AE28" s="34">
        <v>0</v>
      </c>
      <c r="AF28" s="34">
        <v>0.1847</v>
      </c>
      <c r="AG28" s="34">
        <f t="shared" si="9"/>
        <v>0.1847</v>
      </c>
    </row>
    <row r="29" spans="2:38" x14ac:dyDescent="0.25">
      <c r="B29" s="33" t="s">
        <v>50</v>
      </c>
      <c r="C29" s="34">
        <v>0</v>
      </c>
      <c r="D29" s="34">
        <v>0</v>
      </c>
      <c r="E29" s="34">
        <f t="shared" si="10"/>
        <v>0</v>
      </c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  <c r="Y29" s="29"/>
      <c r="AD29" s="33" t="s">
        <v>59</v>
      </c>
      <c r="AE29" s="34">
        <v>1E-4</v>
      </c>
      <c r="AF29" s="34">
        <v>0.12939999999999999</v>
      </c>
      <c r="AG29" s="34">
        <f t="shared" si="9"/>
        <v>0.1293</v>
      </c>
    </row>
    <row r="30" spans="2:38" x14ac:dyDescent="0.25">
      <c r="B30" s="33" t="s">
        <v>44</v>
      </c>
      <c r="C30" s="34">
        <v>0</v>
      </c>
      <c r="D30" s="34">
        <v>0</v>
      </c>
      <c r="E30" s="34">
        <f t="shared" si="10"/>
        <v>0</v>
      </c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  <c r="Z30" s="29"/>
      <c r="AD30" s="33" t="s">
        <v>98</v>
      </c>
      <c r="AE30" s="34">
        <v>0.1174</v>
      </c>
      <c r="AF30" s="34">
        <v>0.13350000000000001</v>
      </c>
      <c r="AG30" s="34">
        <f t="shared" si="9"/>
        <v>1.6100000000000003E-2</v>
      </c>
    </row>
    <row r="31" spans="2:38" x14ac:dyDescent="0.25">
      <c r="B31" s="33" t="s">
        <v>48</v>
      </c>
      <c r="C31" s="34">
        <v>0</v>
      </c>
      <c r="D31" s="34">
        <v>0</v>
      </c>
      <c r="E31" s="34">
        <f t="shared" si="10"/>
        <v>0</v>
      </c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  <c r="Z31" s="29"/>
      <c r="AD31" s="33" t="s">
        <v>20</v>
      </c>
      <c r="AE31" s="34">
        <v>0.2039</v>
      </c>
      <c r="AF31" s="34">
        <v>0</v>
      </c>
      <c r="AG31" s="34">
        <f t="shared" si="9"/>
        <v>-0.2039</v>
      </c>
    </row>
    <row r="32" spans="2:38" x14ac:dyDescent="0.25">
      <c r="B32" s="33" t="s">
        <v>32</v>
      </c>
      <c r="C32" s="34">
        <v>0</v>
      </c>
      <c r="D32" s="34">
        <v>0</v>
      </c>
      <c r="E32" s="34">
        <f t="shared" si="10"/>
        <v>0</v>
      </c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  <c r="AD32" s="33" t="s">
        <v>5</v>
      </c>
      <c r="AE32" s="34">
        <v>0.25779999999999997</v>
      </c>
      <c r="AF32" s="34">
        <v>3.4000000000000002E-2</v>
      </c>
      <c r="AG32" s="34">
        <f t="shared" si="9"/>
        <v>-0.22379999999999997</v>
      </c>
    </row>
    <row r="33" spans="2:31" x14ac:dyDescent="0.25">
      <c r="B33" s="37" t="s">
        <v>53</v>
      </c>
      <c r="C33" s="38">
        <v>0</v>
      </c>
      <c r="D33" s="38">
        <v>4.9700000000000001E-2</v>
      </c>
      <c r="E33" s="38">
        <f t="shared" si="10"/>
        <v>4.9700000000000001E-2</v>
      </c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2:31" x14ac:dyDescent="0.25">
      <c r="B34" s="37" t="s">
        <v>91</v>
      </c>
      <c r="C34" s="38">
        <v>0.1144</v>
      </c>
      <c r="D34" s="38">
        <v>0.29799999999999999</v>
      </c>
      <c r="E34" s="38">
        <f t="shared" si="10"/>
        <v>0.18359999999999999</v>
      </c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  <c r="AD34" s="29"/>
      <c r="AE34" s="29"/>
    </row>
    <row r="35" spans="2:3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  <c r="Y35" s="29"/>
      <c r="Z35" s="29"/>
      <c r="AD35" s="29"/>
      <c r="AE35" s="29"/>
    </row>
    <row r="36" spans="2:3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  <c r="Y36" s="29"/>
      <c r="Z36" s="29"/>
      <c r="AD36" s="29"/>
      <c r="AE36" s="29"/>
    </row>
    <row r="37" spans="2:3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  <c r="Y37" s="29"/>
      <c r="Z37" s="29"/>
      <c r="AD37" s="29"/>
      <c r="AE37" s="29"/>
    </row>
    <row r="38" spans="2:3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  <c r="Y38" s="29"/>
      <c r="Z38" s="29"/>
      <c r="AD38" s="29"/>
      <c r="AE38" s="29"/>
    </row>
    <row r="39" spans="2:3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  <c r="Y39" s="29"/>
      <c r="Z39" s="29"/>
      <c r="AD39" s="29"/>
      <c r="AE39" s="29"/>
    </row>
    <row r="40" spans="2:3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  <c r="Y40" s="29"/>
      <c r="Z40" s="29"/>
      <c r="AD40" s="29"/>
      <c r="AE40" s="29"/>
    </row>
    <row r="41" spans="2:3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  <c r="Y41" s="29"/>
      <c r="Z41" s="29"/>
      <c r="AD41" s="29"/>
      <c r="AE41" s="29"/>
    </row>
    <row r="42" spans="2:3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  <c r="Y42" s="29"/>
      <c r="Z42" s="29"/>
      <c r="AD42" s="29"/>
      <c r="AE42" s="29"/>
    </row>
    <row r="43" spans="2:31" x14ac:dyDescent="0.25">
      <c r="Y43" s="29"/>
      <c r="Z43" s="29"/>
      <c r="AD43" s="29"/>
      <c r="AE43" s="29"/>
    </row>
    <row r="44" spans="2:31" x14ac:dyDescent="0.25">
      <c r="Y44" s="29"/>
      <c r="Z44" s="29"/>
    </row>
  </sheetData>
  <autoFilter ref="R5:U42" xr:uid="{CD6C5064-D029-4982-9C03-6BDB75C18181}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F293E84F-3DB7-4B95-8236-67AC7C98919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AA7:AA16 AG7:AG16 AJ7:AJ16</xm:sqref>
        </x14:conditionalFormatting>
        <x14:conditionalFormatting xmlns:xm="http://schemas.microsoft.com/office/excel/2006/main">
          <x14:cfRule type="iconSet" priority="2" id="{1F0AE9C3-FD1B-466E-A789-59FB1655B3C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AO7:AO15</xm:sqref>
        </x14:conditionalFormatting>
        <x14:conditionalFormatting xmlns:xm="http://schemas.microsoft.com/office/excel/2006/main">
          <x14:cfRule type="iconSet" priority="1" id="{619D2448-0E18-4AF2-BD93-C4E4CCADB1BB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AG23:AG32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2025-03-02T23:32:57Z</dcterms:modified>
</cp:coreProperties>
</file>