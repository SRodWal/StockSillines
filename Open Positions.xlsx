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EB73886E-0264-41DD-9469-1D2C934A187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3" sheetId="5" r:id="rId3"/>
    <sheet name="Sheet1" sheetId="4" r:id="rId4"/>
  </sheets>
  <definedNames>
    <definedName name="_xlnm._FilterDatabase" localSheetId="0" hidden="1">Positions!$A$1:$X$46</definedName>
    <definedName name="_xlnm._FilterDatabase" localSheetId="3" hidden="1">Sheet1!$R$5:$U$42</definedName>
  </definedNames>
  <calcPr calcId="191029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14" i="3" l="1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U3" i="1" s="1"/>
  <c r="J3" i="1"/>
  <c r="G3" i="1"/>
  <c r="L3" i="1" s="1"/>
  <c r="O13" i="1" a="1"/>
  <c r="O5" i="1" a="1"/>
  <c r="O17" i="1" a="1"/>
  <c r="O8" i="1" a="1"/>
  <c r="O7" i="1" a="1"/>
  <c r="O20" i="1" a="1"/>
  <c r="O25" i="1" a="1"/>
  <c r="O10" i="1" a="1"/>
  <c r="O23" i="1" a="1"/>
  <c r="O9" i="1" a="1"/>
  <c r="O21" i="1" a="1"/>
  <c r="O6" i="1" a="1"/>
  <c r="O24" i="1" a="1"/>
  <c r="O22" i="1" a="1"/>
  <c r="O15" i="1" a="1"/>
  <c r="O14" i="1" a="1"/>
  <c r="O14" i="1" l="1"/>
  <c r="O15" i="1"/>
  <c r="O22" i="1"/>
  <c r="O24" i="1"/>
  <c r="O6" i="1"/>
  <c r="O21" i="1"/>
  <c r="O9" i="1"/>
  <c r="O23" i="1"/>
  <c r="O10" i="1"/>
  <c r="O25" i="1"/>
  <c r="O20" i="1"/>
  <c r="O7" i="1"/>
  <c r="O8" i="1"/>
  <c r="O17" i="1"/>
  <c r="O5" i="1"/>
  <c r="O1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O2" i="1" a="1"/>
  <c r="O2" i="1" l="1"/>
  <c r="CY14" i="3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4" i="1"/>
  <c r="P9" i="1"/>
  <c r="P16" i="1"/>
  <c r="P6" i="1"/>
  <c r="P22" i="1"/>
  <c r="P15" i="1"/>
  <c r="P8" i="1"/>
  <c r="P21" i="1"/>
  <c r="P14" i="1"/>
  <c r="P4" i="1"/>
  <c r="P7" i="1"/>
  <c r="P25" i="1"/>
  <c r="P19" i="1"/>
  <c r="P10" i="1"/>
  <c r="P5" i="1"/>
  <c r="P17" i="1"/>
  <c r="P12" i="1"/>
  <c r="P13" i="1"/>
  <c r="P23" i="1"/>
  <c r="P18" i="1"/>
  <c r="P11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16" i="1" l="1"/>
  <c r="T16" i="1" s="1"/>
  <c r="M16" i="1"/>
  <c r="S16" i="1" s="1"/>
  <c r="J16" i="1"/>
  <c r="G16" i="1"/>
  <c r="R19" i="1"/>
  <c r="T19" i="1" s="1"/>
  <c r="M19" i="1"/>
  <c r="S19" i="1" s="1"/>
  <c r="J19" i="1"/>
  <c r="G19" i="1"/>
  <c r="R18" i="1"/>
  <c r="T18" i="1" s="1"/>
  <c r="M18" i="1"/>
  <c r="S18" i="1" s="1"/>
  <c r="J18" i="1"/>
  <c r="G18" i="1"/>
  <c r="L18" i="1" s="1"/>
  <c r="U16" i="1" l="1"/>
  <c r="L19" i="1"/>
  <c r="Q19" i="1"/>
  <c r="L16" i="1"/>
  <c r="Q16" i="1"/>
  <c r="Q18" i="1"/>
  <c r="U18" i="1"/>
  <c r="U19" i="1"/>
  <c r="N16" i="1"/>
  <c r="N19" i="1"/>
  <c r="N18" i="1"/>
  <c r="N6" i="1" l="1"/>
  <c r="N43" i="1"/>
  <c r="R14" i="1"/>
  <c r="T14" i="1" s="1"/>
  <c r="M14" i="1"/>
  <c r="S14" i="1" s="1"/>
  <c r="J14" i="1"/>
  <c r="G14" i="1"/>
  <c r="H6" i="1"/>
  <c r="R6" i="1" s="1"/>
  <c r="T6" i="1" s="1"/>
  <c r="R30" i="1"/>
  <c r="T30" i="1" s="1"/>
  <c r="M30" i="1"/>
  <c r="S30" i="1" s="1"/>
  <c r="J30" i="1"/>
  <c r="G30" i="1"/>
  <c r="R12" i="1"/>
  <c r="T12" i="1" s="1"/>
  <c r="M12" i="1"/>
  <c r="S12" i="1" s="1"/>
  <c r="J12" i="1"/>
  <c r="G12" i="1"/>
  <c r="R23" i="1"/>
  <c r="T23" i="1" s="1"/>
  <c r="M23" i="1"/>
  <c r="S23" i="1" s="1"/>
  <c r="J23" i="1"/>
  <c r="G23" i="1"/>
  <c r="S6" i="1"/>
  <c r="G6" i="1"/>
  <c r="R41" i="1"/>
  <c r="T41" i="1" s="1"/>
  <c r="M41" i="1"/>
  <c r="S41" i="1" s="1"/>
  <c r="J41" i="1"/>
  <c r="G41" i="1"/>
  <c r="R20" i="1"/>
  <c r="T20" i="1" s="1"/>
  <c r="M20" i="1"/>
  <c r="S20" i="1" s="1"/>
  <c r="J20" i="1"/>
  <c r="G20" i="1"/>
  <c r="R35" i="1"/>
  <c r="T35" i="1" s="1"/>
  <c r="M35" i="1"/>
  <c r="S35" i="1" s="1"/>
  <c r="J35" i="1"/>
  <c r="G35" i="1"/>
  <c r="M29" i="1"/>
  <c r="S29" i="1" s="1"/>
  <c r="M11" i="1"/>
  <c r="S11" i="1" s="1"/>
  <c r="J11" i="1"/>
  <c r="G11" i="1"/>
  <c r="R38" i="1"/>
  <c r="T38" i="1" s="1"/>
  <c r="G38" i="1"/>
  <c r="H44" i="1"/>
  <c r="M44" i="1" s="1"/>
  <c r="S44" i="1" s="1"/>
  <c r="M15" i="1"/>
  <c r="S15" i="1" s="1"/>
  <c r="R42" i="1"/>
  <c r="T42" i="1" s="1"/>
  <c r="H5" i="1"/>
  <c r="M5" i="1" s="1"/>
  <c r="S5" i="1" s="1"/>
  <c r="H36" i="1"/>
  <c r="J36" i="1" s="1"/>
  <c r="R45" i="1"/>
  <c r="T45" i="1" s="1"/>
  <c r="H2" i="1"/>
  <c r="J2" i="1" s="1"/>
  <c r="H7" i="1"/>
  <c r="M7" i="1" s="1"/>
  <c r="S7" i="1" s="1"/>
  <c r="R37" i="1"/>
  <c r="T37" i="1" s="1"/>
  <c r="J34" i="1"/>
  <c r="H21" i="1"/>
  <c r="R21" i="1" s="1"/>
  <c r="T21" i="1" s="1"/>
  <c r="M32" i="1"/>
  <c r="S32" i="1" s="1"/>
  <c r="M28" i="1"/>
  <c r="S28" i="1" s="1"/>
  <c r="R40" i="1"/>
  <c r="T40" i="1" s="1"/>
  <c r="R26" i="1"/>
  <c r="T26" i="1" s="1"/>
  <c r="M26" i="1"/>
  <c r="S26" i="1" s="1"/>
  <c r="J26" i="1"/>
  <c r="G26" i="1"/>
  <c r="D26" i="1"/>
  <c r="R33" i="1"/>
  <c r="T33" i="1" s="1"/>
  <c r="M33" i="1"/>
  <c r="S33" i="1" s="1"/>
  <c r="J33" i="1"/>
  <c r="G33" i="1"/>
  <c r="J43" i="1"/>
  <c r="R43" i="1"/>
  <c r="T43" i="1" s="1"/>
  <c r="S43" i="1"/>
  <c r="G43" i="1"/>
  <c r="R39" i="1"/>
  <c r="T39" i="1" s="1"/>
  <c r="M39" i="1"/>
  <c r="S39" i="1" s="1"/>
  <c r="J39" i="1"/>
  <c r="G39" i="1"/>
  <c r="M22" i="1"/>
  <c r="S22" i="1" s="1"/>
  <c r="R22" i="1"/>
  <c r="T22" i="1" s="1"/>
  <c r="M17" i="1"/>
  <c r="S17" i="1" s="1"/>
  <c r="R17" i="1"/>
  <c r="T17" i="1" s="1"/>
  <c r="M24" i="1"/>
  <c r="S24" i="1" s="1"/>
  <c r="R24" i="1"/>
  <c r="T24" i="1" s="1"/>
  <c r="M13" i="1"/>
  <c r="S13" i="1" s="1"/>
  <c r="R13" i="1"/>
  <c r="T13" i="1" s="1"/>
  <c r="M10" i="1"/>
  <c r="S10" i="1" s="1"/>
  <c r="R10" i="1"/>
  <c r="T10" i="1" s="1"/>
  <c r="M25" i="1"/>
  <c r="S25" i="1" s="1"/>
  <c r="R25" i="1"/>
  <c r="T25" i="1" s="1"/>
  <c r="M31" i="1"/>
  <c r="S31" i="1" s="1"/>
  <c r="R31" i="1"/>
  <c r="T31" i="1" s="1"/>
  <c r="M27" i="1"/>
  <c r="S27" i="1" s="1"/>
  <c r="R27" i="1"/>
  <c r="T27" i="1" s="1"/>
  <c r="M9" i="1"/>
  <c r="S9" i="1" s="1"/>
  <c r="R9" i="1"/>
  <c r="T9" i="1" s="1"/>
  <c r="M8" i="1"/>
  <c r="S8" i="1" s="1"/>
  <c r="R8" i="1"/>
  <c r="T8" i="1" s="1"/>
  <c r="J22" i="1"/>
  <c r="J17" i="1"/>
  <c r="J24" i="1"/>
  <c r="J13" i="1"/>
  <c r="J10" i="1"/>
  <c r="J25" i="1"/>
  <c r="J31" i="1"/>
  <c r="J27" i="1"/>
  <c r="J9" i="1"/>
  <c r="J8" i="1"/>
  <c r="G27" i="1"/>
  <c r="G24" i="1"/>
  <c r="G40" i="1"/>
  <c r="G37" i="1"/>
  <c r="G44" i="1"/>
  <c r="G46" i="1"/>
  <c r="G42" i="1"/>
  <c r="G5" i="1"/>
  <c r="G45" i="1"/>
  <c r="G17" i="1"/>
  <c r="G22" i="1"/>
  <c r="G28" i="1"/>
  <c r="G36" i="1"/>
  <c r="G32" i="1"/>
  <c r="G13" i="1"/>
  <c r="G15" i="1"/>
  <c r="G29" i="1"/>
  <c r="G34" i="1"/>
  <c r="G2" i="1"/>
  <c r="G9" i="1"/>
  <c r="G21" i="1"/>
  <c r="G8" i="1"/>
  <c r="G25" i="1"/>
  <c r="G10" i="1"/>
  <c r="G31" i="1"/>
  <c r="G7" i="1"/>
  <c r="L2" i="1" l="1"/>
  <c r="Q2" i="1"/>
  <c r="L15" i="1"/>
  <c r="Q15" i="1"/>
  <c r="L7" i="1"/>
  <c r="Q7" i="1"/>
  <c r="L34" i="1"/>
  <c r="Q34" i="1"/>
  <c r="L26" i="1"/>
  <c r="Q26" i="1"/>
  <c r="L6" i="1"/>
  <c r="Q6" i="1"/>
  <c r="L37" i="1"/>
  <c r="Q37" i="1"/>
  <c r="L31" i="1"/>
  <c r="Q31" i="1"/>
  <c r="L27" i="1"/>
  <c r="Q27" i="1"/>
  <c r="L46" i="1"/>
  <c r="Q46" i="1"/>
  <c r="L39" i="1"/>
  <c r="Q39" i="1"/>
  <c r="L44" i="1"/>
  <c r="Q44" i="1"/>
  <c r="L20" i="1"/>
  <c r="P20" i="1"/>
  <c r="Q20" i="1" s="1"/>
  <c r="Q28" i="1"/>
  <c r="L28" i="1"/>
  <c r="L22" i="1"/>
  <c r="Q22" i="1"/>
  <c r="L38" i="1"/>
  <c r="Q38" i="1"/>
  <c r="Q12" i="1"/>
  <c r="L12" i="1"/>
  <c r="L30" i="1"/>
  <c r="Q30" i="1"/>
  <c r="L29" i="1"/>
  <c r="Q29" i="1"/>
  <c r="L35" i="1"/>
  <c r="Q35" i="1"/>
  <c r="L23" i="1"/>
  <c r="Q23" i="1"/>
  <c r="L32" i="1"/>
  <c r="Q32" i="1"/>
  <c r="L10" i="1"/>
  <c r="Q10" i="1"/>
  <c r="L25" i="1"/>
  <c r="Q25" i="1"/>
  <c r="L8" i="1"/>
  <c r="Q8" i="1"/>
  <c r="L17" i="1"/>
  <c r="Q17" i="1"/>
  <c r="L33" i="1"/>
  <c r="Q33" i="1"/>
  <c r="L13" i="1"/>
  <c r="Q13" i="1"/>
  <c r="L24" i="1"/>
  <c r="Q24" i="1"/>
  <c r="L43" i="1"/>
  <c r="Q43" i="1"/>
  <c r="L21" i="1"/>
  <c r="Q21" i="1"/>
  <c r="L45" i="1"/>
  <c r="Q45" i="1"/>
  <c r="L11" i="1"/>
  <c r="Q11" i="1"/>
  <c r="L41" i="1"/>
  <c r="Q41" i="1"/>
  <c r="L42" i="1"/>
  <c r="Q42" i="1"/>
  <c r="L40" i="1"/>
  <c r="Q40" i="1"/>
  <c r="L14" i="1"/>
  <c r="Q14" i="1"/>
  <c r="L36" i="1"/>
  <c r="Q36" i="1"/>
  <c r="L9" i="1"/>
  <c r="Q9" i="1"/>
  <c r="L5" i="1"/>
  <c r="Q5" i="1"/>
  <c r="N9" i="1"/>
  <c r="N7" i="1"/>
  <c r="N35" i="1"/>
  <c r="N30" i="1"/>
  <c r="N20" i="1"/>
  <c r="N26" i="1"/>
  <c r="N44" i="1"/>
  <c r="N23" i="1"/>
  <c r="N32" i="1"/>
  <c r="N13" i="1"/>
  <c r="N10" i="1"/>
  <c r="N25" i="1"/>
  <c r="N24" i="1"/>
  <c r="N12" i="1"/>
  <c r="N41" i="1"/>
  <c r="N17" i="1"/>
  <c r="N31" i="1"/>
  <c r="N29" i="1"/>
  <c r="N33" i="1"/>
  <c r="N22" i="1"/>
  <c r="N27" i="1"/>
  <c r="N28" i="1"/>
  <c r="N8" i="1"/>
  <c r="N39" i="1"/>
  <c r="N5" i="1"/>
  <c r="N14" i="1"/>
  <c r="N11" i="1"/>
  <c r="N15" i="1"/>
  <c r="J7" i="1"/>
  <c r="R7" i="1"/>
  <c r="T7" i="1" s="1"/>
  <c r="U7" i="1" s="1"/>
  <c r="U23" i="1"/>
  <c r="U14" i="1"/>
  <c r="U12" i="1"/>
  <c r="U30" i="1"/>
  <c r="J6" i="1"/>
  <c r="U6" i="1"/>
  <c r="R44" i="1"/>
  <c r="T44" i="1" s="1"/>
  <c r="U44" i="1" s="1"/>
  <c r="R15" i="1"/>
  <c r="T15" i="1" s="1"/>
  <c r="U15" i="1" s="1"/>
  <c r="U35" i="1"/>
  <c r="U41" i="1"/>
  <c r="U20" i="1"/>
  <c r="R11" i="1"/>
  <c r="T11" i="1" s="1"/>
  <c r="U11" i="1" s="1"/>
  <c r="M36" i="1"/>
  <c r="J15" i="1"/>
  <c r="J42" i="1"/>
  <c r="R36" i="1"/>
  <c r="T36" i="1" s="1"/>
  <c r="M45" i="1"/>
  <c r="J38" i="1"/>
  <c r="M38" i="1"/>
  <c r="R29" i="1"/>
  <c r="T29" i="1" s="1"/>
  <c r="U29" i="1" s="1"/>
  <c r="J29" i="1"/>
  <c r="M37" i="1"/>
  <c r="R2" i="1"/>
  <c r="T2" i="1" s="1"/>
  <c r="J44" i="1"/>
  <c r="J45" i="1"/>
  <c r="M34" i="1"/>
  <c r="J37" i="1"/>
  <c r="M42" i="1"/>
  <c r="R34" i="1"/>
  <c r="T34" i="1" s="1"/>
  <c r="J5" i="1"/>
  <c r="M2" i="1"/>
  <c r="R5" i="1"/>
  <c r="T5" i="1" s="1"/>
  <c r="U5" i="1" s="1"/>
  <c r="M21" i="1"/>
  <c r="J46" i="1"/>
  <c r="R46" i="1"/>
  <c r="T46" i="1" s="1"/>
  <c r="M46" i="1"/>
  <c r="J21" i="1"/>
  <c r="R28" i="1"/>
  <c r="T28" i="1" s="1"/>
  <c r="U28" i="1" s="1"/>
  <c r="J28" i="1"/>
  <c r="J32" i="1"/>
  <c r="R32" i="1"/>
  <c r="T32" i="1" s="1"/>
  <c r="U32" i="1" s="1"/>
  <c r="M40" i="1"/>
  <c r="J40" i="1"/>
  <c r="U43" i="1"/>
  <c r="U26" i="1"/>
  <c r="U33" i="1"/>
  <c r="U39" i="1"/>
  <c r="U31" i="1"/>
  <c r="U17" i="1"/>
  <c r="U25" i="1"/>
  <c r="U24" i="1"/>
  <c r="U8" i="1"/>
  <c r="U13" i="1"/>
  <c r="U27" i="1"/>
  <c r="U10" i="1"/>
  <c r="U9" i="1"/>
  <c r="U22" i="1"/>
  <c r="K3" i="1" l="1"/>
  <c r="K4" i="1"/>
  <c r="K16" i="1"/>
  <c r="S34" i="1"/>
  <c r="U34" i="1" s="1"/>
  <c r="N34" i="1"/>
  <c r="S36" i="1"/>
  <c r="U36" i="1" s="1"/>
  <c r="N36" i="1"/>
  <c r="S46" i="1"/>
  <c r="U46" i="1" s="1"/>
  <c r="N46" i="1"/>
  <c r="S37" i="1"/>
  <c r="U37" i="1" s="1"/>
  <c r="N37" i="1"/>
  <c r="S21" i="1"/>
  <c r="U21" i="1" s="1"/>
  <c r="N21" i="1"/>
  <c r="S2" i="1"/>
  <c r="U2" i="1" s="1"/>
  <c r="N2" i="1"/>
  <c r="S40" i="1"/>
  <c r="U40" i="1" s="1"/>
  <c r="N40" i="1"/>
  <c r="S45" i="1"/>
  <c r="U45" i="1" s="1"/>
  <c r="N45" i="1"/>
  <c r="S38" i="1"/>
  <c r="U38" i="1" s="1"/>
  <c r="N38" i="1"/>
  <c r="K18" i="1"/>
  <c r="K19" i="1"/>
  <c r="S42" i="1"/>
  <c r="U42" i="1" s="1"/>
  <c r="N42" i="1"/>
  <c r="K14" i="1"/>
  <c r="K20" i="1"/>
  <c r="K12" i="1"/>
  <c r="K41" i="1"/>
  <c r="K23" i="1"/>
  <c r="K30" i="1"/>
  <c r="K11" i="1"/>
  <c r="K6" i="1"/>
  <c r="K35" i="1"/>
  <c r="K46" i="1"/>
  <c r="K38" i="1"/>
  <c r="K17" i="1"/>
  <c r="K25" i="1"/>
  <c r="K34" i="1"/>
  <c r="K31" i="1"/>
  <c r="K32" i="1"/>
  <c r="K24" i="1"/>
  <c r="K13" i="1"/>
  <c r="K37" i="1"/>
  <c r="K36" i="1"/>
  <c r="K28" i="1"/>
  <c r="K42" i="1"/>
  <c r="K27" i="1"/>
  <c r="K21" i="1"/>
  <c r="K7" i="1"/>
  <c r="K9" i="1"/>
  <c r="K15" i="1"/>
  <c r="K45" i="1"/>
  <c r="K2" i="1"/>
  <c r="K43" i="1"/>
  <c r="K29" i="1"/>
  <c r="K10" i="1"/>
  <c r="K26" i="1"/>
  <c r="K39" i="1"/>
  <c r="K5" i="1"/>
  <c r="K44" i="1"/>
  <c r="K8" i="1"/>
  <c r="K22" i="1"/>
  <c r="K33" i="1"/>
  <c r="K40" i="1"/>
  <c r="V3" i="1" l="1"/>
  <c r="V4" i="1"/>
  <c r="V18" i="1"/>
  <c r="V16" i="1"/>
  <c r="V19" i="1"/>
  <c r="V14" i="1"/>
  <c r="V40" i="1"/>
  <c r="V12" i="1"/>
  <c r="V23" i="1"/>
  <c r="V30" i="1"/>
  <c r="V41" i="1"/>
  <c r="V11" i="1"/>
  <c r="V6" i="1"/>
  <c r="V35" i="1"/>
  <c r="V20" i="1"/>
  <c r="V22" i="1"/>
  <c r="V38" i="1"/>
  <c r="V10" i="1"/>
  <c r="V46" i="1"/>
  <c r="V42" i="1"/>
  <c r="V5" i="1"/>
  <c r="V29" i="1"/>
  <c r="V33" i="1"/>
  <c r="V44" i="1"/>
  <c r="V39" i="1"/>
  <c r="V25" i="1"/>
  <c r="V13" i="1"/>
  <c r="V2" i="1"/>
  <c r="V36" i="1"/>
  <c r="V26" i="1"/>
  <c r="V31" i="1"/>
  <c r="V34" i="1"/>
  <c r="V37" i="1"/>
  <c r="V27" i="1"/>
  <c r="V32" i="1"/>
  <c r="V24" i="1"/>
  <c r="V21" i="1"/>
  <c r="V43" i="1"/>
  <c r="V15" i="1"/>
  <c r="V9" i="1"/>
  <c r="V45" i="1"/>
  <c r="V17" i="1"/>
  <c r="V28" i="1"/>
  <c r="V7" i="1"/>
  <c r="V8" i="1"/>
  <c r="X3" i="1" l="1"/>
  <c r="W3" i="1"/>
  <c r="X4" i="1"/>
  <c r="W4" i="1"/>
  <c r="X16" i="1"/>
  <c r="W16" i="1"/>
  <c r="X19" i="1"/>
  <c r="W19" i="1"/>
  <c r="X18" i="1"/>
  <c r="W18" i="1"/>
  <c r="X14" i="1"/>
  <c r="W14" i="1"/>
  <c r="X30" i="1"/>
  <c r="W30" i="1"/>
  <c r="X12" i="1"/>
  <c r="W12" i="1"/>
  <c r="X23" i="1"/>
  <c r="W23" i="1"/>
  <c r="X6" i="1"/>
  <c r="W6" i="1"/>
  <c r="X41" i="1"/>
  <c r="W41" i="1"/>
  <c r="W20" i="1"/>
  <c r="X20" i="1"/>
  <c r="X35" i="1"/>
  <c r="W35" i="1"/>
  <c r="W11" i="1"/>
  <c r="X11" i="1"/>
  <c r="W40" i="1"/>
  <c r="W46" i="1"/>
  <c r="W8" i="1"/>
  <c r="W2" i="1"/>
  <c r="W5" i="1"/>
  <c r="X32" i="1"/>
  <c r="W37" i="1"/>
  <c r="W39" i="1"/>
  <c r="W25" i="1"/>
  <c r="W31" i="1"/>
  <c r="W7" i="1"/>
  <c r="W43" i="1"/>
  <c r="W22" i="1"/>
  <c r="W27" i="1"/>
  <c r="W15" i="1"/>
  <c r="W29" i="1"/>
  <c r="W17" i="1"/>
  <c r="W9" i="1"/>
  <c r="X15" i="1"/>
  <c r="W21" i="1"/>
  <c r="X43" i="1"/>
  <c r="W34" i="1"/>
  <c r="X39" i="1"/>
  <c r="W26" i="1"/>
  <c r="W13" i="1"/>
  <c r="X22" i="1"/>
  <c r="W33" i="1"/>
  <c r="X42" i="1"/>
  <c r="W42" i="1"/>
  <c r="W38" i="1"/>
  <c r="X28" i="1"/>
  <c r="W36" i="1"/>
  <c r="W44" i="1"/>
  <c r="X40" i="1"/>
  <c r="W10" i="1"/>
  <c r="W24" i="1"/>
  <c r="X21" i="1"/>
  <c r="X46" i="1"/>
  <c r="X2" i="1"/>
  <c r="X44" i="1"/>
  <c r="X17" i="1"/>
  <c r="X9" i="1"/>
  <c r="X33" i="1"/>
  <c r="X25" i="1"/>
  <c r="X34" i="1"/>
  <c r="X10" i="1"/>
  <c r="W28" i="1"/>
  <c r="X26" i="1"/>
  <c r="W45" i="1"/>
  <c r="X24" i="1"/>
  <c r="W32" i="1"/>
  <c r="X38" i="1"/>
  <c r="X45" i="1"/>
  <c r="X5" i="1"/>
  <c r="X7" i="1"/>
  <c r="X36" i="1"/>
  <c r="X37" i="1"/>
  <c r="X31" i="1"/>
  <c r="X27" i="1"/>
  <c r="X29" i="1"/>
  <c r="X8" i="1"/>
  <c r="X1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</futureMetadata>
  <cellMetadata count="1">
    <bk>
      <rc t="1" v="0"/>
    </bk>
  </cellMetadata>
  <valueMetadata count="1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</valueMetadata>
</metadata>
</file>

<file path=xl/sharedStrings.xml><?xml version="1.0" encoding="utf-8"?>
<sst xmlns="http://schemas.openxmlformats.org/spreadsheetml/2006/main" count="694" uniqueCount="169">
  <si>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</si>
  <si>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</si>
  <si>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</si>
  <si>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</si>
  <si>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</si>
  <si>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</si>
  <si>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</si>
  <si>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</si>
  <si>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</si>
  <si>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</si>
  <si>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</si>
  <si>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</si>
  <si>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</si>
  <si>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</si>
  <si>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</si>
  <si>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</si>
  <si>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</si>
  <si>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</si>
  <si>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</si>
  <si>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</si>
  <si>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</si>
  <si>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</si>
  <si>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</si>
  <si>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</si>
  <si>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</si>
  <si>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</si>
  <si>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</si>
  <si>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</si>
  <si>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</si>
  <si>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</si>
  <si>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</si>
  <si>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</si>
  <si>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</si>
  <si>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</si>
  <si>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</si>
  <si>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</si>
  <si>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</si>
  <si>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</si>
  <si>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</si>
  <si>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</si>
  <si>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</si>
  <si>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</si>
  <si>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</si>
  <si>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</si>
  <si>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</si>
  <si>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</si>
  <si>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</si>
  <si>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</si>
  <si>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</si>
  <si>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</si>
  <si>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</si>
  <si>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</si>
  <si>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</si>
  <si>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</si>
  <si>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</si>
  <si>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</si>
  <si>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</si>
  <si>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</si>
  <si>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</si>
  <si>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</si>
  <si>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</si>
  <si>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</si>
  <si>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</si>
  <si>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</si>
  <si>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</si>
  <si>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</si>
  <si>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</si>
  <si>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</si>
  <si>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</si>
  <si>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</si>
  <si>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</si>
  <si>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</si>
  <si>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</si>
  <si>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</si>
  <si>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</si>
  <si>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</si>
  <si>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</si>
  <si>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</si>
  <si>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</si>
  <si>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</si>
  <si>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</si>
  <si>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</si>
  <si>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</si>
  <si>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</si>
  <si>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</si>
  <si>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</si>
  <si>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</si>
  <si>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</si>
  <si>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</si>
  <si>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</si>
  <si>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</si>
  <si>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</si>
  <si>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</si>
  <si>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</si>
  <si>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</si>
  <si>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</si>
  <si>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</si>
  <si>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</si>
  <si>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</si>
  <si>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</si>
  <si>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</si>
  <si>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</si>
  <si>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</si>
  <si>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</si>
  <si>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</si>
  <si>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</si>
  <si>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</si>
  <si>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</si>
  <si>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</si>
  <si>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</si>
  <si>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</si>
  <si>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</si>
  <si>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</si>
  <si>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</si>
  <si>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</si>
  <si>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</si>
  <si>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</si>
  <si>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</si>
  <si>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</si>
  <si>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</si>
  <si>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</si>
  <si>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</si>
  <si>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</si>
  <si>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</si>
  <si>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</si>
  <si>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</si>
  <si>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</si>
  <si>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</si>
  <si>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</si>
  <si>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</si>
  <si>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</si>
  <si>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</si>
  <si>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</si>
  <si>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</si>
  <si>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</si>
  <si>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</si>
  <si>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</si>
  <si>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</si>
  <si>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</si>
  <si>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</si>
  <si>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</si>
  <si>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</si>
  <si>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</si>
  <si>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</si>
  <si>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</si>
  <si>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</si>
  <si>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</si>
  <si>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</si>
  <si>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</si>
  <si>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</si>
  <si>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</si>
  <si>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</si>
  <si>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</si>
  <si>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</si>
  <si>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</si>
  <si>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</si>
  <si>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</si>
  <si>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</si>
  <si>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</si>
  <si>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</si>
  <si>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</si>
  <si>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</si>
  <si>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</si>
  <si>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</si>
  <si>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</si>
  <si>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</si>
  <si>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BND.US</t>
  </si>
  <si>
    <t>Vanguard Bonds</t>
  </si>
  <si>
    <t>WK14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</si>
</sst>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3" fillId="13" borderId="6" xfId="0" applyFont="1" applyFill="1" applyBorder="1"/>
    <xf numFmtId="0" fontId="3" fillId="13" borderId="6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left"/>
    </xf>
    <xf numFmtId="44" fontId="2" fillId="14" borderId="7" xfId="0" applyNumberFormat="1" applyFont="1" applyFill="1" applyBorder="1"/>
    <xf numFmtId="9" fontId="2" fillId="14" borderId="7" xfId="0" applyNumberFormat="1" applyFont="1" applyFill="1" applyBorder="1"/>
    <xf numFmtId="10" fontId="2" fillId="14" borderId="7" xfId="0" applyNumberFormat="1" applyFont="1" applyFill="1" applyBorder="1"/>
    <xf numFmtId="0" fontId="3" fillId="13" borderId="8" xfId="0" applyFont="1" applyFill="1" applyBorder="1" applyAlignment="1">
      <alignment horizontal="left"/>
    </xf>
    <xf numFmtId="44" fontId="3" fillId="13" borderId="8" xfId="0" applyNumberFormat="1" applyFont="1" applyFill="1" applyBorder="1"/>
    <xf numFmtId="9" fontId="3" fillId="13" borderId="8" xfId="0" applyNumberFormat="1" applyFont="1" applyFill="1" applyBorder="1"/>
    <xf numFmtId="10" fontId="3" fillId="13" borderId="8" xfId="0" applyNumberFormat="1" applyFont="1" applyFill="1" applyBorder="1"/>
  </cellXfs>
  <cellStyles count="3">
    <cellStyle name="Currency" xfId="1" builtinId="4"/>
    <cellStyle name="Normal" xfId="0" builtinId="0"/>
    <cellStyle name="Percent" xfId="2" builtinId="5"/>
  </cellStyles>
  <dxfs count="80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ichStyles" Target="richData/richStyl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51.422884490741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0">
        <s v="Tech"/>
        <s v="ETF"/>
        <s v="Energy"/>
        <s v="US Consumer"/>
        <s v="Banking"/>
        <s v="Asia Consumer"/>
        <s v="Health"/>
        <s v="Forex"/>
        <s v="Industrials"/>
        <s v="Automotive"/>
      </sharedItems>
    </cacheField>
    <cacheField name="Name" numFmtId="0">
      <sharedItems count="45">
        <s v="TSMC"/>
        <s v="Vanguard Bonds"/>
        <s v="Emergin Markets"/>
        <s v="First Solar"/>
        <s v="APA"/>
        <s v="Altaria"/>
        <s v="Pepsi"/>
        <s v="Kimberly Clark"/>
        <s v="Microsoft"/>
        <s v="ING Group NV"/>
        <s v="Albertson Companies"/>
        <s v="Master Card"/>
        <s v="YPF"/>
        <s v="NextEra Energy"/>
        <s v="Bitcoin ETF"/>
        <s v="Ingredion"/>
        <s v="Robotics &amp; AI"/>
        <s v="Batterey Value-Chain"/>
        <s v="Excelon"/>
        <s v="Google"/>
        <s v="MSG"/>
        <s v="Agios"/>
        <s v="Yum! Brands"/>
        <s v="Apple2"/>
        <s v="Gold"/>
        <s v="ASML"/>
        <s v="LVMH"/>
        <s v="Visa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/>
      </sharedItems>
    </cacheField>
    <cacheField name="Ticker" numFmtId="0">
      <sharedItems containsBlank="1" count="48">
        <s v="TSM"/>
        <s v="BND.US"/>
        <s v="VWO.US"/>
        <s v="FSLR"/>
        <s v="APA"/>
        <s v="MO"/>
        <s v="PEP"/>
        <s v="KMB"/>
        <s v="MSFT"/>
        <s v="ING"/>
        <s v="ACI"/>
        <s v="MA"/>
        <s v="YPF"/>
        <s v="NEE"/>
        <s v="VBTC.DE"/>
        <s v="INGR"/>
        <s v="BOTZ.UK"/>
        <s v="BATT.NL"/>
        <s v="EXC"/>
        <s v="GOOGL"/>
        <s v="DAR"/>
        <s v="AGIO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"/>
        <s v="CSIQ"/>
        <s v="MAXN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4-05T00:00:00"/>
    </cacheField>
    <cacheField name="Volume" numFmtId="164">
      <sharedItems containsSemiMixedTypes="0" containsString="0" containsNumber="1" minValue="9.9999999999999998E-20" maxValue="4.447300000000000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82.91662099999999"/>
    </cacheField>
    <cacheField name="Expected Return QoQ%" numFmtId="10">
      <sharedItems containsSemiMixedTypes="0" containsString="0" containsNumber="1" minValue="3.5000000000000003E-2" maxValue="1"/>
    </cacheField>
    <cacheField name="Volatility" numFmtId="0">
      <sharedItems containsSemiMixedTypes="0" containsString="0" containsNumber="1" minValue="0.15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4.0016240357287861E-2" maxValue="0.59136"/>
    </cacheField>
    <cacheField name="W/Avg Volatility" numFmtId="9">
      <sharedItems containsSemiMixedTypes="0" containsString="0" containsNumber="1" minValue="2.5499999999999999E-19" maxValue="67.679149769999995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239.83878000000007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65.80938700000002"/>
    </cacheField>
    <cacheField name="Actual P&amp;L" numFmtId="44">
      <sharedItems containsSemiMixedTypes="0" containsString="0" containsNumber="1" minValue="-21.631904000000006" maxValue="5.7547500000000014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64.75"/>
    </cacheField>
    <cacheField name="Normalized Risk" numFmtId="44">
      <sharedItems containsSemiMixedTypes="0" containsString="0" containsNumber="1" minValue="0" maxValue="182.30285714285662"/>
    </cacheField>
    <cacheField name="Risk Mix" numFmtId="9">
      <sharedItems containsSemiMixedTypes="0" containsString="0" containsNumber="1" minValue="0" maxValue="9.1811733314880087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8">
          <x v="2"/>
          <x v="4"/>
          <x v="3"/>
          <x v="2"/>
          <x v="2"/>
          <x v="3"/>
          <x v="3"/>
          <x v="3"/>
          <x v="3"/>
          <x v="2"/>
          <x v="2"/>
          <x v="2"/>
          <x v="2"/>
          <x v="2"/>
          <x v="2"/>
          <x v="2"/>
          <x v="3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2"/>
          <x v="2"/>
          <x v="2"/>
          <x v="3"/>
          <x v="1"/>
          <x v="0"/>
        </discretePr>
        <groupItems count="5">
          <s v="LVMH"/>
          <m/>
          <s v="Group1"/>
          <s v="Group2"/>
          <s v="BND.US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F7C2E8EE-41B2-4379-9483-1E1726C2B88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1.0547"/>
    <n v="173.43"/>
    <n v="182.91662099999999"/>
    <n v="0.31119183532260863"/>
    <n v="0.37"/>
    <n v="0.84105901438542874"/>
    <n v="0.49736865874696712"/>
    <n v="67.679149769999995"/>
    <n v="227.40000000000006"/>
    <n v="239.83878000000007"/>
    <n v="157.21"/>
    <n v="165.80938700000002"/>
    <n v="-17.107233999999977"/>
    <n v="163.79737688634319"/>
    <n v="53.970000000000056"/>
    <n v="-4.8163115568284098"/>
    <n v="49.153688443171646"/>
    <n v="15.596311556828354"/>
    <n v="6.4117724011622565E-2"/>
    <n v="8.5551657287558217E-2"/>
  </r>
  <r>
    <x v="1"/>
    <x v="1"/>
    <x v="1"/>
    <d v="2025-03-27T00:00:00"/>
    <n v="2"/>
    <n v="73.5"/>
    <n v="147"/>
    <n v="4.4999999999999998E-2"/>
    <n v="0.16500000000000001"/>
    <n v="0.27272727272727271"/>
    <n v="0.16127999999999998"/>
    <n v="24.255000000000003"/>
    <n v="76.80749999999999"/>
    <n v="153.61499999999998"/>
    <n v="74.14"/>
    <n v="148.28"/>
    <n v="1.2800000000000011"/>
    <n v="65.625"/>
    <n v="3.3074999999999903"/>
    <n v="-3.9375"/>
    <n v="-0.63000000000000966"/>
    <n v="65.38000000000001"/>
    <n v="1.5295197308045272E-2"/>
    <n v="0.35863398426480375"/>
  </r>
  <r>
    <x v="1"/>
    <x v="2"/>
    <x v="2"/>
    <d v="2025-01-31T00:00:00"/>
    <n v="3"/>
    <n v="44.95"/>
    <n v="134.85000000000002"/>
    <n v="8.3000000000000004E-2"/>
    <n v="0.16800000000000001"/>
    <n v="0.49404761904761907"/>
    <n v="0.29215999999999998"/>
    <n v="22.654800000000005"/>
    <n v="48.68085"/>
    <n v="146.04255000000001"/>
    <n v="42.29"/>
    <n v="126.87"/>
    <n v="-7.9800000000000182"/>
    <n v="41.428571428571431"/>
    <n v="3.7308499999999967"/>
    <n v="-1.7607142857142861"/>
    <n v="1.9701357142857105"/>
    <n v="62.779864285714289"/>
    <n v="1.5928674127885182E-2"/>
    <n v="0.34437125818888603"/>
  </r>
  <r>
    <x v="2"/>
    <x v="3"/>
    <x v="3"/>
    <d v="2024-08-07T00:00:00"/>
    <n v="0.57440000000000002"/>
    <n v="158.26"/>
    <n v="90.904544000000001"/>
    <n v="0.23859471755339334"/>
    <n v="0.52980000000000005"/>
    <n v="0.45034865525366802"/>
    <n v="0.2663181807708091"/>
    <n v="48.161227411200002"/>
    <n v="196.02"/>
    <n v="112.59388800000001"/>
    <n v="120.6"/>
    <n v="69.272639999999996"/>
    <n v="-21.631904000000006"/>
    <n v="122.56765221725638"/>
    <n v="37.760000000000019"/>
    <n v="-17.846173891371805"/>
    <n v="19.913826108628214"/>
    <n v="44.836173891371786"/>
    <n v="2.2303419609861909E-2"/>
    <n v="0.24594334172303811"/>
  </r>
  <r>
    <x v="2"/>
    <x v="4"/>
    <x v="4"/>
    <d v="2024-12-01T00:00:00"/>
    <n v="4.4473000000000003"/>
    <n v="20.23"/>
    <n v="89.968879000000001"/>
    <n v="0.31389026198714776"/>
    <n v="0.45929999999999999"/>
    <n v="0.68341010665610225"/>
    <n v="0.4041414006721526"/>
    <n v="41.322706124699998"/>
    <n v="26.58"/>
    <n v="118.209234"/>
    <n v="17.670000000000002"/>
    <n v="78.583791000000005"/>
    <n v="-11.385087999999996"/>
    <n v="17.661801998555216"/>
    <n v="6.3499999999999979"/>
    <n v="-1.2840990007223922"/>
    <n v="5.0659009992776056"/>
    <n v="59.684099000722398"/>
    <n v="1.6754881396264291E-2"/>
    <n v="0.32738981679235335"/>
  </r>
  <r>
    <x v="3"/>
    <x v="5"/>
    <x v="5"/>
    <d v="2024-09-18T00:00:00"/>
    <n v="1.5346"/>
    <n v="51.96"/>
    <n v="79.737815999999995"/>
    <n v="0.18430000000000002"/>
    <n v="0.19980000000000001"/>
    <n v="0.92242242242242245"/>
    <n v="0.54548372372372367"/>
    <n v="15.9316156368"/>
    <n v="61.536227999999994"/>
    <n v="94.433495488799991"/>
    <n v="55.71"/>
    <n v="85.492565999999997"/>
    <n v="5.7547500000000014"/>
    <n v="51.166912850812416"/>
    <n v="9.5762279999999933"/>
    <n v="-0.39654357459379241"/>
    <n v="9.1796844254062009"/>
    <n v="55.570315574593799"/>
    <n v="1.7995219024042938E-2"/>
    <n v="0.30482416153822345"/>
  </r>
  <r>
    <x v="3"/>
    <x v="6"/>
    <x v="6"/>
    <d v="2024-06-17T00:00:00"/>
    <n v="0.5"/>
    <n v="157.79"/>
    <n v="78.894999999999996"/>
    <n v="6.7199999999999996E-2"/>
    <n v="0.16439999999999999"/>
    <n v="0.40875912408759124"/>
    <n v="0.24172379562043794"/>
    <n v="12.970337999999998"/>
    <n v="168.39348799999999"/>
    <n v="84.196743999999995"/>
    <n v="148.07499999999999"/>
    <n v="74.037499999999994"/>
    <n v="-4.8575000000000017"/>
    <n v="143.81152023332115"/>
    <n v="10.603487999999999"/>
    <n v="-6.9892398833394225"/>
    <n v="3.6142481166605762"/>
    <n v="61.135751883339424"/>
    <n v="1.635704099801082E-2"/>
    <n v="0.33535268092607057"/>
  </r>
  <r>
    <x v="3"/>
    <x v="7"/>
    <x v="7"/>
    <d v="2024-09-09T00:00:00"/>
    <n v="0.5"/>
    <n v="138.28"/>
    <n v="69.14"/>
    <n v="7.0000000000000007E-2"/>
    <n v="0.18340000000000001"/>
    <n v="0.38167938931297712"/>
    <n v="0.22570992366412215"/>
    <n v="12.680276000000001"/>
    <n v="147.95960000000002"/>
    <n v="73.979800000000012"/>
    <n v="141.07"/>
    <n v="70.534999999999997"/>
    <n v="1.394999999999996"/>
    <n v="124.19615591880726"/>
    <n v="9.679600000000022"/>
    <n v="-7.0419220405963685"/>
    <n v="2.6376779594036535"/>
    <n v="62.112322040596347"/>
    <n v="1.6099865004988934E-2"/>
    <n v="0.34070953694337186"/>
  </r>
  <r>
    <x v="0"/>
    <x v="8"/>
    <x v="8"/>
    <d v="2024-10-09T00:00:00"/>
    <n v="0.16059999999999999"/>
    <n v="421.18"/>
    <n v="67.641508000000002"/>
    <n v="0.15"/>
    <n v="0.1963"/>
    <n v="0.76413652572592972"/>
    <n v="0.45187977585328576"/>
    <n v="13.278028020400001"/>
    <n v="484.35699999999997"/>
    <n v="77.787734199999989"/>
    <n v="367.24"/>
    <n v="58.978743999999999"/>
    <n v="-8.6627640000000028"/>
    <n v="402.54229188569246"/>
    <n v="63.176999999999964"/>
    <n v="-9.3188540571537715"/>
    <n v="53.858145942846193"/>
    <n v="10.891854057153807"/>
    <n v="9.1811733314880087E-2"/>
    <n v="5.9745931730618491E-2"/>
  </r>
  <r>
    <x v="4"/>
    <x v="9"/>
    <x v="9"/>
    <d v="2025-03-01T00:00:00"/>
    <n v="3.9380999999999999"/>
    <n v="16.670000000000002"/>
    <n v="65.648127000000002"/>
    <n v="9.0200000000000002E-2"/>
    <n v="0.41289999999999999"/>
    <n v="0.21845483167837249"/>
    <n v="0.12918544926132236"/>
    <n v="27.1061116383"/>
    <n v="18.173634000000003"/>
    <n v="71.569588055400018"/>
    <n v="17.55"/>
    <n v="69.113655000000008"/>
    <n v="3.4655280000000062"/>
    <n v="12.603008996749075"/>
    <n v="1.5036340000000017"/>
    <n v="-2.0334955016254632"/>
    <n v="-0.52986150162546153"/>
    <n v="65.279861501625462"/>
    <n v="1.531865995112597E-2"/>
    <n v="0.35808468679385913"/>
  </r>
  <r>
    <x v="3"/>
    <x v="10"/>
    <x v="10"/>
    <d v="2024-12-04T00:00:00"/>
    <n v="3"/>
    <n v="20.71"/>
    <n v="62.13"/>
    <n v="0.2"/>
    <n v="0.2"/>
    <n v="1"/>
    <n v="0.59136"/>
    <n v="12.426000000000002"/>
    <n v="24.852"/>
    <n v="74.555999999999997"/>
    <n v="22.45"/>
    <n v="67.349999999999994"/>
    <n v="5.2199999999999918"/>
    <n v="20.71"/>
    <n v="4.1419999999999995"/>
    <n v="0"/>
    <n v="4.1419999999999995"/>
    <n v="60.608000000000004"/>
    <n v="1.6499472016895458E-2"/>
    <n v="0.33245776259286058"/>
  </r>
  <r>
    <x v="4"/>
    <x v="11"/>
    <x v="11"/>
    <d v="2025-03-01T00:00:00"/>
    <n v="0.11940000000000001"/>
    <n v="505.42"/>
    <n v="60.347148000000004"/>
    <n v="0.10929999999999999"/>
    <n v="0.30499999999999999"/>
    <n v="0.35836065573770493"/>
    <n v="0.21192015737704917"/>
    <n v="18.405880140000001"/>
    <n v="560.66240600000003"/>
    <n v="66.943091276400011"/>
    <n v="527"/>
    <n v="62.9238"/>
    <n v="2.5766519999999957"/>
    <n v="422.69800117086226"/>
    <n v="55.242406000000017"/>
    <n v="-41.36099941456888"/>
    <n v="13.881406585431137"/>
    <n v="50.868593414568863"/>
    <n v="1.9658495210398291E-2"/>
    <n v="0.27903344035199124"/>
  </r>
  <r>
    <x v="2"/>
    <x v="12"/>
    <x v="12"/>
    <d v="2024-12-01T00:00:00"/>
    <n v="1.5004999999999999"/>
    <n v="40"/>
    <n v="60.019999999999996"/>
    <n v="0.1"/>
    <n v="0.2"/>
    <n v="0.5"/>
    <n v="0.29568"/>
    <n v="12.004"/>
    <n v="44"/>
    <n v="66.021999999999991"/>
    <n v="33.29"/>
    <n v="49.951644999999999"/>
    <n v="-10.068354999999997"/>
    <n v="36.363636363636367"/>
    <n v="4"/>
    <n v="-1.8181818181818166"/>
    <n v="2.1818181818181834"/>
    <n v="62.568181818181813"/>
    <n v="1.5982564475118054E-2"/>
    <n v="0.34321009993360652"/>
  </r>
  <r>
    <x v="2"/>
    <x v="13"/>
    <x v="13"/>
    <d v="2024-08-07T00:00:00"/>
    <n v="0.74609999999999999"/>
    <n v="73.7"/>
    <n v="54.987569999999998"/>
    <n v="0.1"/>
    <n v="0.25990000000000002"/>
    <n v="0.38476337052712584"/>
    <n v="0.22753366679492112"/>
    <n v="14.291269443000001"/>
    <n v="81.070000000000007"/>
    <n v="60.486327000000003"/>
    <n v="70.13"/>
    <n v="52.323992999999994"/>
    <n v="-2.6635770000000036"/>
    <n v="63.539960341408751"/>
    <n v="7.3700000000000045"/>
    <n v="-5.080019829295626"/>
    <n v="2.2899801707043785"/>
    <n v="62.460019829295618"/>
    <n v="1.601024147499502E-2"/>
    <n v="0.34261679058793104"/>
  </r>
  <r>
    <x v="1"/>
    <x v="14"/>
    <x v="14"/>
    <d v="2024-07-08T00:00:00"/>
    <n v="1"/>
    <n v="48.68"/>
    <n v="48.68"/>
    <n v="0.1"/>
    <n v="0.2"/>
    <n v="0.5"/>
    <n v="0.29568"/>
    <n v="9.7360000000000007"/>
    <n v="53.548000000000002"/>
    <n v="53.548000000000002"/>
    <n v="40.35"/>
    <n v="40.35"/>
    <n v="-8.3299999999999983"/>
    <n v="44.254545454545458"/>
    <n v="4.8680000000000021"/>
    <n v="-2.2127272727272711"/>
    <n v="2.655272727272731"/>
    <n v="62.094727272727269"/>
    <n v="1.6104426960567578E-2"/>
    <n v="0.340613022998693"/>
  </r>
  <r>
    <x v="5"/>
    <x v="15"/>
    <x v="15"/>
    <d v="2024-10-15T00:00:00"/>
    <n v="0.34860000000000002"/>
    <n v="131.91"/>
    <n v="45.983826000000001"/>
    <n v="0.1202"/>
    <n v="0.33710000000000001"/>
    <n v="0.35657075051913378"/>
    <n v="0.21086167902699496"/>
    <n v="15.501147744600001"/>
    <n v="147.76558199999999"/>
    <n v="51.511081885199999"/>
    <n v="133.49"/>
    <n v="46.534614000000005"/>
    <n v="0.55078800000000427"/>
    <n v="108.39838934998768"/>
    <n v="15.855581999999998"/>
    <n v="-11.755805325006158"/>
    <n v="4.0997766749938407"/>
    <n v="60.650223325006159"/>
    <n v="1.648798545458445E-2"/>
    <n v="0.33268937347196526"/>
  </r>
  <r>
    <x v="1"/>
    <x v="16"/>
    <x v="16"/>
    <d v="2024-07-08T00:00:00"/>
    <n v="2"/>
    <n v="20.927"/>
    <n v="41.853999999999999"/>
    <n v="3.5000000000000003E-2"/>
    <n v="0.16500000000000001"/>
    <n v="0.21212121212121213"/>
    <n v="0.12544"/>
    <n v="6.9059100000000004"/>
    <n v="21.659444999999998"/>
    <n v="43.318889999999996"/>
    <n v="16.87"/>
    <n v="33.74"/>
    <n v="-8.1139999999999972"/>
    <n v="18.51946902654867"/>
    <n v="0.73244499999999846"/>
    <n v="-1.2037654867256649"/>
    <n v="-0.4713204867256664"/>
    <n v="65.221320486725659"/>
    <n v="1.5332409594551642E-2"/>
    <n v="0.35776356722493252"/>
  </r>
  <r>
    <x v="1"/>
    <x v="17"/>
    <x v="17"/>
    <d v="2024-07-08T00:00:00"/>
    <n v="2"/>
    <n v="16.399000000000001"/>
    <n v="32.798000000000002"/>
    <n v="3.5000000000000003E-2"/>
    <n v="0.16500000000000001"/>
    <n v="0.21212121212121213"/>
    <n v="0.12544"/>
    <n v="5.4116700000000009"/>
    <n v="16.972964999999999"/>
    <n v="33.945929999999997"/>
    <n v="12.95"/>
    <n v="25.9"/>
    <n v="-6.8980000000000032"/>
    <n v="14.512389380530973"/>
    <n v="0.57396499999999762"/>
    <n v="-0.9433053097345141"/>
    <n v="-0.36934030973451648"/>
    <n v="65.119340309734511"/>
    <n v="1.5356420922625852E-2"/>
    <n v="0.35720416745144884"/>
  </r>
  <r>
    <x v="2"/>
    <x v="18"/>
    <x v="18"/>
    <d v="2024-12-01T00:00:00"/>
    <n v="0.75290000000000001"/>
    <n v="41.16"/>
    <n v="30.989363999999998"/>
    <n v="0.1"/>
    <n v="0.2"/>
    <n v="0.5"/>
    <n v="0.29568"/>
    <n v="6.1978727999999998"/>
    <n v="45.276000000000003"/>
    <n v="34.088300400000001"/>
    <n v="45.325000000000003"/>
    <n v="34.125192500000004"/>
    <n v="3.1358285000000059"/>
    <n v="37.418181818181822"/>
    <n v="4.1160000000000068"/>
    <n v="-1.8709090909090875"/>
    <n v="2.2450909090909192"/>
    <n v="62.504909090909081"/>
    <n v="1.5998743371429737E-2"/>
    <n v="0.34286302513585304"/>
  </r>
  <r>
    <x v="0"/>
    <x v="19"/>
    <x v="19"/>
    <d v="2025-01-21T00:00:00"/>
    <n v="0.1782"/>
    <n v="168.24"/>
    <n v="29.980368000000002"/>
    <n v="0.1317760342368044"/>
    <n v="0.26790000000000003"/>
    <n v="0.49188515952521233"/>
    <n v="0.29088120793682953"/>
    <n v="8.0317405872000016"/>
    <n v="190.40999999999997"/>
    <n v="33.931061999999997"/>
    <n v="150.38999999999999"/>
    <n v="26.799497999999996"/>
    <n v="-3.1808700000000059"/>
    <n v="148.08243208476298"/>
    <n v="22.169999999999959"/>
    <n v="-10.078783957618512"/>
    <n v="12.091216042381447"/>
    <n v="52.658783957618553"/>
    <n v="1.8990184065109279E-2"/>
    <n v="0.28885331136831249"/>
  </r>
  <r>
    <x v="5"/>
    <x v="20"/>
    <x v="20"/>
    <d v="2024-08-03T00:00:00"/>
    <n v="0.52270000000000005"/>
    <n v="38.229999999999997"/>
    <n v="19.982821000000001"/>
    <n v="7.0000000000000007E-2"/>
    <n v="0.4"/>
    <n v="0.17500000000000002"/>
    <n v="0.10348800000000001"/>
    <n v="7.9931284000000007"/>
    <n v="40.906100000000002"/>
    <n v="21.381618470000003"/>
    <n v="30.14"/>
    <n v="15.754178000000001"/>
    <n v="-4.2286429999999999"/>
    <n v="28.744360902255639"/>
    <n v="2.6761000000000053"/>
    <n v="-4.7428195488721787"/>
    <n v="-2.0667195488721735"/>
    <n v="66.816719548872172"/>
    <n v="1.4966313921900396E-2"/>
    <n v="0.36651493342483976"/>
  </r>
  <r>
    <x v="6"/>
    <x v="21"/>
    <x v="21"/>
    <d v="2024-12-04T00:00:00"/>
    <n v="0.28749999999999998"/>
    <n v="34.78"/>
    <n v="9.99925"/>
    <n v="0.2"/>
    <n v="0.2"/>
    <n v="1"/>
    <n v="0.59136"/>
    <n v="1.9998500000000001"/>
    <n v="41.735999999999997"/>
    <n v="11.999099999999999"/>
    <n v="26.655000000000001"/>
    <n v="7.6633125"/>
    <n v="-2.3359375"/>
    <n v="34.78"/>
    <n v="6.955999999999996"/>
    <n v="0"/>
    <n v="6.955999999999996"/>
    <n v="57.794000000000004"/>
    <n v="1.7302834204242654E-2"/>
    <n v="0.31702191016518916"/>
  </r>
  <r>
    <x v="5"/>
    <x v="22"/>
    <x v="22"/>
    <d v="2025-02-07T00:00:00"/>
    <n v="2.9999999999999997E-4"/>
    <n v="143.18"/>
    <n v="4.2953999999999999E-2"/>
    <n v="7.0000000000000007E-2"/>
    <n v="0.1623"/>
    <n v="0.43130006161429457"/>
    <n v="0.25505360443622921"/>
    <n v="6.9714341999999995E-3"/>
    <n v="153.20260000000002"/>
    <n v="4.596078E-2"/>
    <n v="153.61000000000001"/>
    <n v="4.6082999999999999E-2"/>
    <n v="3.1289999999999998E-3"/>
    <n v="131.08120479721688"/>
    <n v="10.022600000000011"/>
    <n v="-6.0493976013915614"/>
    <n v="3.9732023986084499"/>
    <n v="60.77679760139155"/>
    <n v="1.6453647435630991E-2"/>
    <n v="0.33338368116614586"/>
  </r>
  <r>
    <x v="0"/>
    <x v="23"/>
    <x v="23"/>
    <d v="2024-07-09T00:00:00"/>
    <n v="1E-4"/>
    <n v="227.38"/>
    <n v="2.2738000000000001E-2"/>
    <n v="0.15"/>
    <n v="0.2271"/>
    <n v="0.66050198150594452"/>
    <n v="0.39059445178335533"/>
    <n v="5.1637998000000004E-3"/>
    <n v="261.48699999999997"/>
    <n v="2.6148699999999997E-2"/>
    <n v="201.25"/>
    <n v="2.0125000000000001E-2"/>
    <n v="-2.6130000000000007E-3"/>
    <n v="211.10389007520189"/>
    <n v="34.106999999999971"/>
    <n v="-8.1380549623990532"/>
    <n v="25.968945037600918"/>
    <n v="38.781054962399082"/>
    <n v="2.5785786409615964E-2"/>
    <n v="0.21272872828322911"/>
  </r>
  <r>
    <x v="7"/>
    <x v="24"/>
    <x v="24"/>
    <d v="2025-03-15T00:00:00"/>
    <n v="9.9999999999999998E-20"/>
    <n v="2742.9"/>
    <n v="2.7429000000000002E-16"/>
    <n v="0.1"/>
    <n v="0.5"/>
    <n v="0.2"/>
    <n v="0.118272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182.30285714285662"/>
    <n v="5.4853775507005768E-3"/>
    <n v="1"/>
  </r>
  <r>
    <x v="0"/>
    <x v="25"/>
    <x v="25"/>
    <d v="2024-07-08T00:00:00"/>
    <n v="9.9999999999999998E-20"/>
    <n v="700.32"/>
    <n v="7.0031999999999998E-17"/>
    <n v="0.1"/>
    <n v="0.45340000000000003"/>
    <n v="0.22055580061755625"/>
    <n v="0.13042787825319807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86.151828875424826"/>
    <n v="1.1607414642885824E-2"/>
    <n v="0.47257530806505305"/>
  </r>
  <r>
    <x v="5"/>
    <x v="26"/>
    <x v="26"/>
    <d v="2024-09-27T00:00:00"/>
    <n v="9.9999999999999998E-20"/>
    <n v="668.82"/>
    <n v="6.6881999999999999E-17"/>
    <n v="0.05"/>
    <n v="0.28000000000000003"/>
    <n v="0.17857142857142858"/>
    <n v="0.1056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93.840951219512192"/>
    <n v="1.0656328468589433E-2"/>
    <n v="0.51475304715590009"/>
  </r>
  <r>
    <x v="4"/>
    <x v="27"/>
    <x v="27"/>
    <d v="2025-04-04T00:00:00"/>
    <n v="6.1600000000000002E-2"/>
    <n v="324.48"/>
    <n v="19.987968000000002"/>
    <n v="0.10829999999999999"/>
    <n v="0.27510000000000001"/>
    <n v="0.3936750272628135"/>
    <n v="0.23280366412213738"/>
    <n v="5.4986899968000005"/>
    <n v="359.62118400000003"/>
    <n v="22.152664934400004"/>
    <n v="324.48"/>
    <n v="19.987968000000002"/>
    <n v="0"/>
    <n v="278.09393212204321"/>
    <n v="35.14118400000001"/>
    <n v="-23.193033938978402"/>
    <n v="11.948150061021607"/>
    <n v="52.801849938978393"/>
    <n v="1.8938730388341918E-2"/>
    <n v="0.28963808229073268"/>
  </r>
  <r>
    <x v="6"/>
    <x v="28"/>
    <x v="28"/>
    <d v="2024-12-04T00:00:00"/>
    <n v="9.9999999999999998E-20"/>
    <n v="323.75"/>
    <n v="3.2375000000000002E-17"/>
    <n v="0.2"/>
    <n v="0.2"/>
    <n v="1"/>
    <n v="0.59136"/>
    <n v="6.4750000000000006E-18"/>
    <n v="388.5"/>
    <n v="3.8849999999999999E-17"/>
    <n v="323.75"/>
    <n v="3.2375000000000002E-17"/>
    <n v="0"/>
    <n v="323.75"/>
    <n v="64.75"/>
    <n v="0"/>
    <n v="64.75"/>
    <n v="0"/>
    <n v="0"/>
    <n v="0"/>
  </r>
  <r>
    <x v="0"/>
    <x v="29"/>
    <x v="29"/>
    <d v="2024-09-09T00:00:00"/>
    <n v="9.9999999999999998E-20"/>
    <n v="188.12"/>
    <n v="1.8812000000000001E-17"/>
    <n v="0.15"/>
    <n v="0.37780000000000002"/>
    <n v="0.39703546850185278"/>
    <n v="0.23479089465325564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53.983431829288179"/>
    <n v="1.8524202076709392E-2"/>
    <n v="0.29611950506615237"/>
  </r>
  <r>
    <x v="0"/>
    <x v="30"/>
    <x v="30"/>
    <d v="2024-07-08T00:00:00"/>
    <n v="9.9999999999999998E-20"/>
    <n v="169.34"/>
    <n v="1.6933999999999999E-17"/>
    <n v="0.1"/>
    <n v="0.4259"/>
    <n v="0.23479690068091102"/>
    <n v="0.13884949518666354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68.627488800060306"/>
    <n v="1.4571420541314068E-2"/>
    <n v="0.37644768642480608"/>
  </r>
  <r>
    <x v="7"/>
    <x v="31"/>
    <x v="31"/>
    <d v="2024-10-09T00:00:00"/>
    <n v="9.9999999999999998E-20"/>
    <n v="153.7552"/>
    <n v="1.5375519999999999E-17"/>
    <n v="7.0000000000000007E-2"/>
    <n v="0.19"/>
    <n v="0.36842105263157898"/>
    <n v="0.21786947368421053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62.224021714285698"/>
    <n v="1.6070963792596114E-2"/>
    <n v="0.34132225182584797"/>
  </r>
  <r>
    <x v="0"/>
    <x v="32"/>
    <x v="32"/>
    <d v="2024-07-09T00:00:00"/>
    <n v="9.9999999999999998E-20"/>
    <n v="147.01"/>
    <n v="1.4700999999999999E-17"/>
    <n v="0.15"/>
    <n v="0.52380000000000004"/>
    <n v="0.28636884306987398"/>
    <n v="0.16934707903780066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62.698623016450746"/>
    <n v="1.5949313587598594E-2"/>
    <n v="0.34392561915427738"/>
  </r>
  <r>
    <x v="8"/>
    <x v="33"/>
    <x v="33"/>
    <d v="2024-12-01T00:00:00"/>
    <n v="9.9999999999999998E-20"/>
    <n v="133.53"/>
    <n v="1.3353E-17"/>
    <n v="7.0000000000000007E-2"/>
    <n v="0.2"/>
    <n v="0.35000000000000003"/>
    <n v="0.2069760000000000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63.083829203539807"/>
    <n v="1.5851922951181398E-2"/>
    <n v="0.34603862052532669"/>
  </r>
  <r>
    <x v="2"/>
    <x v="34"/>
    <x v="34"/>
    <d v="2024-08-07T00:00:00"/>
    <n v="9.9999999999999998E-20"/>
    <n v="113.58"/>
    <n v="1.1357999999999999E-17"/>
    <n v="6.664905793273479E-2"/>
    <n v="0.16439999999999999"/>
    <n v="0.40540789496797319"/>
    <n v="0.23974201276826063"/>
    <n v="1.8672551999999998E-18"/>
    <n v="121.15000000000002"/>
    <n v="1.2115000000000002E-17"/>
    <n v="113.58"/>
    <n v="1.1357999999999999E-17"/>
    <n v="0"/>
    <n v="103.46609203186667"/>
    <n v="7.5700000000000216"/>
    <n v="-5.0569539840666664"/>
    <n v="2.5130460159333552"/>
    <n v="62.236953984066645"/>
    <n v="1.60676243933148E-2"/>
    <n v="0.34139319020818398"/>
  </r>
  <r>
    <x v="3"/>
    <x v="35"/>
    <x v="35"/>
    <d v="2024-08-01T00:00:00"/>
    <n v="9.9999999999999998E-20"/>
    <n v="86.6"/>
    <n v="8.6599999999999986E-18"/>
    <n v="7.0000000000000007E-2"/>
    <n v="0.17249999999999999"/>
    <n v="0.40579710144927544"/>
    <n v="0.23997217391304351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62.713623582766424"/>
    <n v="1.594549864719981E-2"/>
    <n v="0.34400790292399319"/>
  </r>
  <r>
    <x v="0"/>
    <x v="36"/>
    <x v="36"/>
    <d v="2024-07-08T00:00:00"/>
    <n v="9.9999999999999998E-20"/>
    <n v="64.349999999999994"/>
    <n v="6.4349999999999993E-18"/>
    <n v="0.15"/>
    <n v="0.67300000000000004"/>
    <n v="0.22288261515601782"/>
    <n v="0.1318038632986627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66.146433026920562"/>
    <n v="1.5117973173141711E-2"/>
    <n v="0.36283815878478926"/>
  </r>
  <r>
    <x v="9"/>
    <x v="37"/>
    <x v="37"/>
    <d v="2024-09-27T00:00:00"/>
    <n v="9.9999999999999998E-20"/>
    <n v="56"/>
    <n v="5.5999999999999995E-18"/>
    <n v="7.0000000000000007E-2"/>
    <n v="0.19"/>
    <n v="0.36842105263157898"/>
    <n v="0.21786947368421053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63.83"/>
    <n v="1.5666614444618518E-2"/>
    <n v="0.3501316490612178"/>
  </r>
  <r>
    <x v="5"/>
    <x v="38"/>
    <x v="38"/>
    <d v="2024-10-09T00:00:00"/>
    <n v="9.9999999999999998E-20"/>
    <n v="47.42"/>
    <n v="4.7419999999999999E-18"/>
    <n v="7.0000000000000007E-2"/>
    <n v="0.4"/>
    <n v="0.17500000000000002"/>
    <n v="0.10348800000000001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67.313532330827059"/>
    <n v="1.4855853873264021E-2"/>
    <n v="0.36924013910587622"/>
  </r>
  <r>
    <x v="2"/>
    <x v="39"/>
    <x v="39"/>
    <d v="2024-12-01T00:00:00"/>
    <n v="9.9999999999999998E-20"/>
    <n v="26.63"/>
    <n v="2.663E-18"/>
    <n v="0.1"/>
    <n v="0.2"/>
    <n v="0.5"/>
    <n v="0.29568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63.297454545454542"/>
    <n v="1.5798423604568332E-2"/>
    <n v="0.34721043618012654"/>
  </r>
  <r>
    <x v="2"/>
    <x v="40"/>
    <x v="40"/>
    <d v="2024-08-07T00:00:00"/>
    <n v="9.9999999999999998E-20"/>
    <n v="20.82"/>
    <n v="2.0820000000000002E-18"/>
    <n v="0.05"/>
    <n v="0.7389"/>
    <n v="6.7668155366084726E-2"/>
    <n v="4.0016240357287861E-2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67.955224761679204"/>
    <n v="1.4715571959433977E-2"/>
    <n v="0.37276006436052705"/>
  </r>
  <r>
    <x v="7"/>
    <x v="41"/>
    <x v="41"/>
    <d v="2024-10-15T00:00:00"/>
    <n v="9.9999999999999998E-20"/>
    <n v="17"/>
    <n v="1.7E-18"/>
    <n v="0.1"/>
    <n v="0.15"/>
    <n v="0.66666666666666674"/>
    <n v="0.39424000000000003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60.954761904761902"/>
    <n v="1.6405609155892349E-2"/>
    <n v="0.33435988256067967"/>
  </r>
  <r>
    <x v="2"/>
    <x v="42"/>
    <x v="42"/>
    <d v="2024-08-07T00:00:00"/>
    <n v="9.9999999999999998E-20"/>
    <n v="13.04"/>
    <n v="1.304E-18"/>
    <n v="5.2147239263803824E-2"/>
    <n v="0.30159999999999998"/>
    <n v="0.17290198694895167"/>
    <n v="0.10224731900213206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65.371715479856704"/>
    <n v="1.5297135659659027E-2"/>
    <n v="0.35858854054399136"/>
  </r>
  <r>
    <x v="2"/>
    <x v="43"/>
    <x v="43"/>
    <d v="2024-08-07T00:00:00"/>
    <n v="9.9999999999999998E-20"/>
    <n v="11.05"/>
    <n v="1.1050000000000001E-18"/>
    <n v="0.05"/>
    <n v="0.72170000000000001"/>
    <n v="6.9280864625190522E-2"/>
    <n v="4.0969932104752665E-2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66.417481156906149"/>
    <n v="1.5056277091231111E-2"/>
    <n v="0.36432496011217158"/>
  </r>
  <r>
    <x v="2"/>
    <x v="44"/>
    <x v="44"/>
    <d v="2024-08-07T00:00:00"/>
    <n v="9.9999999999999998E-20"/>
    <n v="10.92"/>
    <n v="1.092E-18"/>
    <n v="1"/>
    <n v="1.8652"/>
    <n v="0.53613553506326406"/>
    <n v="0.31704911001501179"/>
    <n v="2.0367984000000001E-18"/>
    <n v="21.84"/>
    <n v="2.1840000000000001E-18"/>
    <n v="10.92"/>
    <n v="1.092E-18"/>
    <n v="0"/>
    <n v="5.8546000428908433"/>
    <n v="10.92"/>
    <n v="-2.5326999785545783"/>
    <n v="8.3873000214454212"/>
    <n v="56.362699978554581"/>
    <n v="1.7742230240575585E-2"/>
    <n v="0.30917068915923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sd="0" x="2"/>
        <item sd="0" x="7"/>
        <item sd="0" x="6"/>
        <item sd="0" x="8"/>
        <item sd="0" x="0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6">
        <item sd="0" x="33"/>
        <item sd="0" x="21"/>
        <item sd="0" x="10"/>
        <item sd="0" x="5"/>
        <item sd="0" x="4"/>
        <item sd="0" x="23"/>
        <item sd="0" x="30"/>
        <item sd="0" x="37"/>
        <item sd="0" x="25"/>
        <item sd="0" x="17"/>
        <item sd="0" x="14"/>
        <item sd="0" x="43"/>
        <item sd="0" x="34"/>
        <item sd="0" x="2"/>
        <item sd="0" x="18"/>
        <item sd="0" x="3"/>
        <item sd="0" x="24"/>
        <item sd="0" x="19"/>
        <item sd="0" x="28"/>
        <item sd="0" x="9"/>
        <item sd="0" x="15"/>
        <item sd="0" x="31"/>
        <item sd="0" x="40"/>
        <item sd="0" x="7"/>
        <item sd="0" x="26"/>
        <item sd="0" x="11"/>
        <item sd="0" x="44"/>
        <item sd="0" x="41"/>
        <item sd="0" x="8"/>
        <item sd="0" x="20"/>
        <item sd="0" x="13"/>
        <item sd="0" x="32"/>
        <item sd="0" x="36"/>
        <item sd="0" x="6"/>
        <item sd="0" x="39"/>
        <item sd="0" x="29"/>
        <item sd="0" x="16"/>
        <item sd="0" x="42"/>
        <item sd="0" x="0"/>
        <item sd="0" x="27"/>
        <item sd="0" x="35"/>
        <item sd="0" x="12"/>
        <item sd="0" x="38"/>
        <item sd="0" x="22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49">
        <item sd="0" x="23"/>
        <item sd="0" x="10"/>
        <item sd="0" x="21"/>
        <item sd="0" x="30"/>
        <item sd="0" x="4"/>
        <item sd="0" x="37"/>
        <item sd="0" x="25"/>
        <item sd="0" x="17"/>
        <item sd="0" m="1" x="45"/>
        <item sd="0" x="16"/>
        <item sd="0" x="43"/>
        <item sd="0" x="20"/>
        <item sd="0" x="34"/>
        <item sd="0" x="18"/>
        <item sd="0" x="3"/>
        <item sd="0" x="24"/>
        <item sd="0" x="19"/>
        <item sd="0" x="28"/>
        <item sd="0" x="9"/>
        <item sd="0" x="15"/>
        <item sd="0" x="40"/>
        <item sd="0" x="7"/>
        <item sd="0" x="11"/>
        <item sd="0" x="44"/>
        <item sd="0" x="26"/>
        <item sd="0" x="33"/>
        <item sd="0" x="5"/>
        <item sd="0" x="8"/>
        <item sd="0" x="13"/>
        <item sd="0" x="32"/>
        <item sd="0" x="39"/>
        <item sd="0" x="6"/>
        <item sd="0" x="36"/>
        <item sd="0" x="29"/>
        <item sd="0" x="42"/>
        <item sd="0" x="0"/>
        <item sd="0" x="31"/>
        <item sd="0" x="41"/>
        <item sd="0" x="27"/>
        <item sd="0" x="14"/>
        <item sd="0" x="35"/>
        <item sd="0" x="12"/>
        <item sd="0" x="22"/>
        <item sd="0" x="38"/>
        <item sd="0" x="2"/>
        <item sd="0" m="1" x="47"/>
        <item m="1" x="46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6">
        <item sd="0" x="0"/>
        <item sd="0" x="1"/>
        <item n="High Risk &gt;=20%" sd="0" x="2"/>
        <item n="Low Risk &lt;20%" sd="0" x="3"/>
        <item x="4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11">
    <i>
      <x v="9"/>
    </i>
    <i>
      <x v="3"/>
    </i>
    <i>
      <x v="8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">
      <pivotArea outline="0" fieldPosition="0">
        <references count="1">
          <reference field="4294967294" count="1">
            <x v="3"/>
          </reference>
        </references>
      </pivotArea>
    </format>
    <format dxfId="76">
      <pivotArea outline="0" fieldPosition="0">
        <references count="1">
          <reference field="4294967294" count="1">
            <x v="5"/>
          </reference>
        </references>
      </pivotArea>
    </format>
    <format dxfId="75">
      <pivotArea outline="0" fieldPosition="0">
        <references count="1">
          <reference field="4294967294" count="1">
            <x v="2"/>
          </reference>
        </references>
      </pivotArea>
    </format>
    <format dxfId="74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73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7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9">
  <a r="1">
    <v t="i">1</v>
  </a>
  <a r="1">
    <v>120.6</v>
  </a>
  <a r="1">
    <v>157.21</v>
  </a>
  <a r="1">
    <v>153.61000000000001</v>
  </a>
  <a r="1">
    <v>201.25</v>
  </a>
  <a r="1">
    <v>148.07499999999999</v>
  </a>
  <a r="1">
    <v>33.29</v>
  </a>
  <a r="1">
    <v>150.38999999999999</v>
  </a>
  <a r="1">
    <v>527</v>
  </a>
  <a r="1">
    <v>55.71</v>
  </a>
  <a r="1">
    <v>133.49</v>
  </a>
  <a r="1">
    <v>367.24</v>
  </a>
  <a r="1">
    <v>30.14</v>
  </a>
  <a r="1">
    <v>141.07</v>
  </a>
  <a r="1">
    <v>17.670000000000002</v>
  </a>
  <a r="1">
    <v>26.655000000000001</v>
  </a>
  <a r="1">
    <v>45.325000000000003</v>
  </a>
  <a r="1">
    <v>70.13</v>
  </a>
  <a r="46">
    <v t="r">0</v>
    <v t="e">#NULL!</v>
    <v t="e">#NULL!</v>
    <v t="r">1</v>
    <v t="r">2</v>
    <v t="r">3</v>
    <v t="r">4</v>
    <v t="r">5</v>
    <v t="r">6</v>
    <v t="e">#NULL!</v>
    <v t="e">#NULL!</v>
    <v t="r">7</v>
    <v t="r">8</v>
    <v t="r">9</v>
    <v t="e">#NULL!</v>
    <v t="r">10</v>
    <v t="e">#NULL!</v>
    <v t="e">#NULL!</v>
    <v t="r">11</v>
    <v t="r">12</v>
    <v t="r">13</v>
    <v t="r">14</v>
    <v t="r">15</v>
    <v t="r">16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36">
  <rv s="0">
    <fb>157.21</fb>
    <v>0</v>
  </rv>
  <rv s="0">
    <fb>120.6</fb>
    <v>0</v>
  </rv>
  <rv s="0">
    <fb>17.670000000000002</fb>
    <v>0</v>
  </rv>
  <rv s="0">
    <fb>55.71</fb>
    <v>0</v>
  </rv>
  <rv s="0">
    <fb>148.07499999999999</fb>
    <v>0</v>
  </rv>
  <rv s="0">
    <fb>141.07</fb>
    <v>0</v>
  </rv>
  <rv s="0">
    <fb>367.24</fb>
    <v>0</v>
  </rv>
  <rv s="0">
    <fb>527</fb>
    <v>0</v>
  </rv>
  <rv s="0">
    <fb>33.29</fb>
    <v>0</v>
  </rv>
  <rv s="0">
    <fb>70.13</fb>
    <v>0</v>
  </rv>
  <rv s="0">
    <fb>133.49</fb>
    <v>0</v>
  </rv>
  <rv s="0">
    <fb>45.325000000000003</fb>
    <v>0</v>
  </rv>
  <rv s="0">
    <fb>150.38999999999999</fb>
    <v>0</v>
  </rv>
  <rv s="0">
    <fb>30.14</fb>
    <v>0</v>
  </rv>
  <rv s="0">
    <fb>26.655000000000001</fb>
    <v>0</v>
  </rv>
  <rv s="0">
    <fb>153.61000000000001</fb>
    <v>0</v>
  </rv>
  <rv s="0">
    <fb>201.25</fb>
    <v>0</v>
  </rv>
  <rv s="1">
    <v>1</v>
    <v>FSLR</v>
    <v>Weekly</v>
    <v>45746</v>
    <v>45752</v>
    <v>0</v>
    <v>1</v>
    <v>638792352000000000,638793795956883199,0</v>
    <v>0</v>
    <v>a1tdvh</v>
    <v>XNAS:FSLR</v>
    <v>1</v>
  </rv>
  <rv s="1">
    <v>1</v>
    <v>TSM</v>
    <v>Weekly</v>
    <v>45746</v>
    <v>45752</v>
    <v>0</v>
    <v>1</v>
    <v>638792352000000000,638793789429662620,0</v>
    <v>0</v>
    <v>a24kjc</v>
    <v>XNYS:TSM</v>
    <v>2</v>
  </rv>
  <rv s="1">
    <v>1</v>
    <v>YUM</v>
    <v>Weekly</v>
    <v>45746</v>
    <v>45752</v>
    <v>0</v>
    <v>1</v>
    <v>638792352000000000,638793795955898878,0</v>
    <v>0</v>
    <v>a26em7</v>
    <v>XNYS:YUM</v>
    <v>3</v>
  </rv>
  <rv s="1">
    <v>1</v>
    <v>AAPL</v>
    <v>Weekly</v>
    <v>45746</v>
    <v>45752</v>
    <v>0</v>
    <v>1</v>
    <v>638792352000000000,638793795956994064,0</v>
    <v>0</v>
    <v>a1mou2</v>
    <v>XNAS:AAPL</v>
    <v>4</v>
  </rv>
  <rv s="1">
    <v>1</v>
    <v>PEP</v>
    <v>Weekly</v>
    <v>45746</v>
    <v>45752</v>
    <v>0</v>
    <v>1</v>
    <v>638792352000000000,638793795956931167,0</v>
    <v>0</v>
    <v>axyhnm</v>
    <v>XNAS:PEP</v>
    <v>5</v>
  </rv>
  <rv s="1">
    <v>1</v>
    <v>YPF</v>
    <v>Weekly</v>
    <v>45746</v>
    <v>45752</v>
    <v>0</v>
    <v>1</v>
    <v>638792352000000000,638793795955800435,0</v>
    <v>0</v>
    <v>a26e7w</v>
    <v>XNYS:YPF</v>
    <v>6</v>
  </rv>
  <rv s="1">
    <v>1</v>
    <v>GOOGL</v>
    <v>Weekly</v>
    <v>45746</v>
    <v>45752</v>
    <v>0</v>
    <v>1</v>
    <v>638792352000000000,638793795955850489,0</v>
    <v>0</v>
    <v>a1u3rw</v>
    <v>XNAS:GOOGL</v>
    <v>7</v>
  </rv>
  <rv s="1">
    <v>1</v>
    <v>MA</v>
    <v>Weekly</v>
    <v>45746</v>
    <v>45752</v>
    <v>0</v>
    <v>1</v>
    <v>638792352000000000,638793795956853017,0</v>
    <v>0</v>
    <v>a1x8w7</v>
    <v>XNYS:MA</v>
    <v>8</v>
  </rv>
  <rv s="1">
    <v>1</v>
    <v>MO</v>
    <v>Weekly</v>
    <v>45746</v>
    <v>45752</v>
    <v>0</v>
    <v>1</v>
    <v>638792352000000000,638793795956955351,0</v>
    <v>0</v>
    <v>a1xtpr</v>
    <v>XNYS:MO</v>
    <v>9</v>
  </rv>
  <rv s="1">
    <v>1</v>
    <v>INGR</v>
    <v>Weekly</v>
    <v>45746</v>
    <v>45752</v>
    <v>0</v>
    <v>1</v>
    <v>638792352000000000,638793795956916805,0</v>
    <v>0</v>
    <v>a1vkp2</v>
    <v>XNYS:INGR</v>
    <v>10</v>
  </rv>
  <rv s="1">
    <v>1</v>
    <v>MSFT</v>
    <v>Weekly</v>
    <v>45746</v>
    <v>45752</v>
    <v>0</v>
    <v>1</v>
    <v>638792352000000000,638793795957034452,0</v>
    <v>0</v>
    <v>a1xzim</v>
    <v>XNAS:MSFT</v>
    <v>11</v>
  </rv>
  <rv s="1">
    <v>1</v>
    <v>DAR</v>
    <v>Weekly</v>
    <v>45746</v>
    <v>45752</v>
    <v>0</v>
    <v>1</v>
    <v>638792352000000000,638793795955940259,0</v>
    <v>0</v>
    <v>a1qqk2</v>
    <v>XNYS:DAR</v>
    <v>12</v>
  </rv>
  <rv s="1">
    <v>1</v>
    <v>KMB</v>
    <v>Weekly</v>
    <v>45746</v>
    <v>45752</v>
    <v>0</v>
    <v>1</v>
    <v>638792352000000000,638793795955799011,0</v>
    <v>0</v>
    <v>a1wjz2</v>
    <v>XNYS:KMB</v>
    <v>13</v>
  </rv>
  <rv s="1">
    <v>1</v>
    <v>APA</v>
    <v>Weekly</v>
    <v>45746</v>
    <v>45752</v>
    <v>0</v>
    <v>1</v>
    <v>638792352000000000,638793795955870955,0</v>
    <v>0</v>
    <v>a1nkur</v>
    <v>XNAS:APA</v>
    <v>14</v>
  </rv>
  <rv s="1">
    <v>1</v>
    <v>AGIO</v>
    <v>Weekly</v>
    <v>45746</v>
    <v>45752</v>
    <v>0</v>
    <v>1</v>
    <v>638792352000000000,638793795955772400,0</v>
    <v>0</v>
    <v>a1n2qh</v>
    <v>XNAS:AGIO</v>
    <v>15</v>
  </rv>
  <rv s="1">
    <v>1</v>
    <v>EXC</v>
    <v>Weekly</v>
    <v>45746</v>
    <v>45752</v>
    <v>0</v>
    <v>1</v>
    <v>638792352000000000,638793795956978646,0</v>
    <v>0</v>
    <v>a1shjc</v>
    <v>XNAS:EXC</v>
    <v>16</v>
  </rv>
  <rv s="1">
    <v>1</v>
    <v>NEE</v>
    <v>Weekly</v>
    <v>45746</v>
    <v>45752</v>
    <v>0</v>
    <v>1</v>
    <v>638792352000000000,638793795955963061,0</v>
    <v>0</v>
    <v>a1ye2w</v>
    <v>XNYS:NEE</v>
    <v>17</v>
  </rv>
  <rv s="2">
    <v>18</v>
  </rv>
  <rv s="3">
    <v>{F7C2E8EE-41B2-4379-9483-1E1726C2B887}</v>
    <v>0</v>
    <v>2</v>
    <v>34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Low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3">
    <spb s="0">
      <v>1</v>
    </spb>
    <spb s="1">
      <v>1</v>
      <v>2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Low" t="i"/>
    <k n="Dat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yy"/>
    </x:dxf>
  </dxfs>
  <richProperties>
    <rPr n="NumberFormat" t="s"/>
  </richProperties>
  <richStyles>
    <rSty dxfid="0">
      <rpv i="0">_([$$-en-US]* #,##0.00_);_([$$-en-US]* (#,##0.00);_([$$-en-US]* "-"??_);_(@_)</rpv>
    </rSty>
    <rSty dxfid="1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49"/>
  <sheetViews>
    <sheetView workbookViewId="0">
      <selection activeCell="O47" sqref="O47"/>
    </sheetView>
  </sheetViews>
  <sheetFormatPr defaultRowHeight="15" outlineLevelCol="1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hidden="1" customWidth="1" outlineLevel="1"/>
    <col min="5" max="5" width="10.5703125" style="2" hidden="1" customWidth="1" outlineLevel="1"/>
    <col min="6" max="6" width="10.5703125" style="1" hidden="1" customWidth="1" outlineLevel="1"/>
    <col min="7" max="7" width="11.5703125" style="1" hidden="1" customWidth="1" outlineLevel="1"/>
    <col min="8" max="8" width="9.85546875" style="10" hidden="1" customWidth="1" outlineLevel="1"/>
    <col min="9" max="9" width="11.42578125" style="10" hidden="1" customWidth="1" outlineLevel="1"/>
    <col min="10" max="10" width="9.140625" style="10" hidden="1" customWidth="1" outlineLevel="1"/>
    <col min="11" max="11" width="7.5703125" style="10" hidden="1" customWidth="1" outlineLevel="1"/>
    <col min="12" max="12" width="12.7109375" style="10" hidden="1" customWidth="1" outlineLevel="1"/>
    <col min="13" max="13" width="11.42578125" hidden="1" customWidth="1" outlineLevel="1"/>
    <col min="14" max="14" width="14.28515625" hidden="1" customWidth="1" outlineLevel="1"/>
    <col min="15" max="15" width="15.28515625" bestFit="1" customWidth="1" collapsed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140</v>
      </c>
      <c r="M1" s="16" t="s">
        <v>64</v>
      </c>
      <c r="N1" s="16" t="s">
        <v>110</v>
      </c>
      <c r="O1" s="16" t="s">
        <v>134</v>
      </c>
      <c r="P1" s="16" t="s">
        <v>135</v>
      </c>
      <c r="Q1" s="16" t="s">
        <v>136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hidden="1" x14ac:dyDescent="0.25">
      <c r="A2" t="s">
        <v>36</v>
      </c>
      <c r="B2" s="3" t="s">
        <v>21</v>
      </c>
      <c r="C2" t="s">
        <v>22</v>
      </c>
      <c r="D2" s="8">
        <v>45484</v>
      </c>
      <c r="E2" s="2">
        <v>1.0547</v>
      </c>
      <c r="F2" s="1">
        <v>173.43</v>
      </c>
      <c r="G2" s="1">
        <f>E2*F2</f>
        <v>182.91662099999999</v>
      </c>
      <c r="H2" s="13">
        <f>227.4/F2-1</f>
        <v>0.31119183532260863</v>
      </c>
      <c r="I2" s="11">
        <v>0.37</v>
      </c>
      <c r="J2" s="9">
        <f>IFERROR(H2/I2,"")</f>
        <v>0.84105901438542874</v>
      </c>
      <c r="K2" s="9">
        <f>IFERROR(J2/SUBTOTAL(9,$J$2:$J$1048576),"")</f>
        <v>0.49736865874696712</v>
      </c>
      <c r="L2" s="9">
        <f>I2*G2</f>
        <v>67.679149769999995</v>
      </c>
      <c r="M2" s="12">
        <f>F2/(1-(F2*(1+H2)-F2)/(F2*(1+H2)))</f>
        <v>227.40000000000006</v>
      </c>
      <c r="N2" s="12">
        <f>M2*E2</f>
        <v>239.83878000000007</v>
      </c>
      <c r="O2" s="12" cm="1" vm="1">
        <f t="array" aca="1" ref="O2" ca="1">_xlfn.STOCKHISTORY(C2,TODAY()-1,TODAY(),1,0,4)</f>
        <v>157.21</v>
      </c>
      <c r="P2" s="12">
        <f ca="1">IFERROR(O2*E2,G2)</f>
        <v>165.80938700000002</v>
      </c>
      <c r="Q2" s="12">
        <f ca="1">P2-G2</f>
        <v>-17.107233999999977</v>
      </c>
      <c r="R2" s="12">
        <f>F2/(1+I2-H2)</f>
        <v>163.79737688634319</v>
      </c>
      <c r="S2" s="12">
        <f>M2-F2</f>
        <v>53.970000000000056</v>
      </c>
      <c r="T2" s="12">
        <f>0.5*(R2-F2)</f>
        <v>-4.8163115568284098</v>
      </c>
      <c r="U2" s="15">
        <f>S2+T2</f>
        <v>49.153688443171646</v>
      </c>
      <c r="V2" s="12">
        <f>MAX($U$2:$U$277)-U2</f>
        <v>15.596311556828354</v>
      </c>
      <c r="W2" s="9">
        <f>IFERROR((SUBTOTAL(109,$V$2:$V$1048576)/V2)/SUBTOTAL(109,$V$2:$V$1048576),0)</f>
        <v>6.4117724011622565E-2</v>
      </c>
      <c r="X2" s="9">
        <f>V2/MAX($V$2:$V$28)</f>
        <v>8.5551657287558217E-2</v>
      </c>
    </row>
    <row r="3" spans="1:24" x14ac:dyDescent="0.25">
      <c r="A3" t="s">
        <v>115</v>
      </c>
      <c r="B3" s="7" t="s">
        <v>167</v>
      </c>
      <c r="C3" t="s">
        <v>166</v>
      </c>
      <c r="D3" s="8">
        <v>45743</v>
      </c>
      <c r="E3" s="2">
        <v>2</v>
      </c>
      <c r="F3" s="1">
        <v>73.5</v>
      </c>
      <c r="G3" s="1">
        <f>E3*F3</f>
        <v>147</v>
      </c>
      <c r="H3" s="13">
        <v>4.4999999999999998E-2</v>
      </c>
      <c r="I3" s="11">
        <v>0.16500000000000001</v>
      </c>
      <c r="J3" s="9">
        <f>IFERROR(H3/I3,"")</f>
        <v>0.27272727272727271</v>
      </c>
      <c r="K3" s="9">
        <f>IFERROR(J3/SUBTOTAL(9,$J$2:$J$1048576),"")</f>
        <v>0.16127999999999998</v>
      </c>
      <c r="L3" s="9">
        <f>I3*G3</f>
        <v>24.255000000000003</v>
      </c>
      <c r="M3" s="12">
        <f>F3/(1-(F3*(1+H3)-F3)/(F3*(1+H3)))</f>
        <v>76.80749999999999</v>
      </c>
      <c r="N3" s="12">
        <f>M3*E3</f>
        <v>153.61499999999998</v>
      </c>
      <c r="O3" s="12">
        <v>74.14</v>
      </c>
      <c r="P3" s="12">
        <f>IFERROR(O3*E3,G3)</f>
        <v>148.28</v>
      </c>
      <c r="Q3" s="12">
        <f>P3-G3</f>
        <v>1.2800000000000011</v>
      </c>
      <c r="R3" s="12">
        <f>F3/(1+I3-H3)</f>
        <v>65.625</v>
      </c>
      <c r="S3" s="12">
        <f>M3-F3</f>
        <v>3.3074999999999903</v>
      </c>
      <c r="T3" s="12">
        <f>0.5*(R3-F3)</f>
        <v>-3.9375</v>
      </c>
      <c r="U3" s="15">
        <f>S3+T3</f>
        <v>-0.63000000000000966</v>
      </c>
      <c r="V3" s="12">
        <f>MAX($U$2:$U$277)-U3</f>
        <v>65.38000000000001</v>
      </c>
      <c r="W3" s="9">
        <f>IFERROR((SUBTOTAL(109,$V$2:$V$1048576)/V3)/SUBTOTAL(109,$V$2:$V$1048576),0)</f>
        <v>1.5295197308045272E-2</v>
      </c>
      <c r="X3" s="9">
        <f>V3/MAX($V$2:$V$28)</f>
        <v>0.35863398426480375</v>
      </c>
    </row>
    <row r="4" spans="1:24" x14ac:dyDescent="0.25">
      <c r="A4" t="s">
        <v>115</v>
      </c>
      <c r="B4" s="7" t="s">
        <v>128</v>
      </c>
      <c r="C4" t="s">
        <v>119</v>
      </c>
      <c r="D4" s="8">
        <v>45688</v>
      </c>
      <c r="E4" s="2">
        <v>3</v>
      </c>
      <c r="F4" s="1">
        <v>44.95</v>
      </c>
      <c r="G4" s="1">
        <f>E4*F4</f>
        <v>134.85000000000002</v>
      </c>
      <c r="H4" s="13">
        <v>8.3000000000000004E-2</v>
      </c>
      <c r="I4" s="11">
        <v>0.16800000000000001</v>
      </c>
      <c r="J4" s="9">
        <f>IFERROR(H4/I4,"")</f>
        <v>0.49404761904761907</v>
      </c>
      <c r="K4" s="9">
        <f>IFERROR(J4/SUBTOTAL(9,$J$2:$J$1048576),"")</f>
        <v>0.29215999999999998</v>
      </c>
      <c r="L4" s="9">
        <f>I4*G4</f>
        <v>22.654800000000005</v>
      </c>
      <c r="M4" s="12">
        <f>F4/(1-(F4*(1+H4)-F4)/(F4*(1+H4)))</f>
        <v>48.68085</v>
      </c>
      <c r="N4" s="12">
        <f>M4*E4</f>
        <v>146.04255000000001</v>
      </c>
      <c r="O4" s="12">
        <v>42.29</v>
      </c>
      <c r="P4" s="12">
        <f>IFERROR(O4*E4,G4)</f>
        <v>126.87</v>
      </c>
      <c r="Q4" s="12">
        <f>P4-G4</f>
        <v>-7.9800000000000182</v>
      </c>
      <c r="R4" s="12">
        <f>F4/(1+I4-H4)</f>
        <v>41.428571428571431</v>
      </c>
      <c r="S4" s="12">
        <f>M4-F4</f>
        <v>3.7308499999999967</v>
      </c>
      <c r="T4" s="12">
        <f>0.5*(R4-F4)</f>
        <v>-1.7607142857142861</v>
      </c>
      <c r="U4" s="15">
        <f>S4+T4</f>
        <v>1.9701357142857105</v>
      </c>
      <c r="V4" s="12">
        <f>MAX($U$2:$U$277)-U4</f>
        <v>62.779864285714289</v>
      </c>
      <c r="W4" s="9">
        <f>IFERROR((SUBTOTAL(109,$V$2:$V$1048576)/V4)/SUBTOTAL(109,$V$2:$V$1048576),0)</f>
        <v>1.5928674127885182E-2</v>
      </c>
      <c r="X4" s="9">
        <f>V4/MAX($V$2:$V$28)</f>
        <v>0.34437125818888603</v>
      </c>
    </row>
    <row r="5" spans="1:24" hidden="1" x14ac:dyDescent="0.25">
      <c r="A5" t="s">
        <v>40</v>
      </c>
      <c r="B5" s="7" t="s">
        <v>47</v>
      </c>
      <c r="C5" t="s">
        <v>46</v>
      </c>
      <c r="D5" s="8">
        <v>45511</v>
      </c>
      <c r="E5" s="2">
        <v>0.57440000000000002</v>
      </c>
      <c r="F5" s="1">
        <v>158.26</v>
      </c>
      <c r="G5" s="1">
        <f>E5*F5</f>
        <v>90.904544000000001</v>
      </c>
      <c r="H5" s="13">
        <f>196.02/F5-1</f>
        <v>0.23859471755339334</v>
      </c>
      <c r="I5" s="11">
        <v>0.52980000000000005</v>
      </c>
      <c r="J5" s="9">
        <f>IFERROR(H5/I5,"")</f>
        <v>0.45034865525366802</v>
      </c>
      <c r="K5" s="9">
        <f>IFERROR(J5/SUBTOTAL(9,$J$2:$J$1048576),"")</f>
        <v>0.2663181807708091</v>
      </c>
      <c r="L5" s="9">
        <f>I5*G5</f>
        <v>48.161227411200002</v>
      </c>
      <c r="M5" s="12">
        <f>F5/(1-(F5*(1+H5)-F5)/(F5*(1+H5)))</f>
        <v>196.02</v>
      </c>
      <c r="N5" s="12">
        <f>M5*E5</f>
        <v>112.59388800000001</v>
      </c>
      <c r="O5" s="12" cm="1" vm="2">
        <f t="array" aca="1" ref="O5" ca="1">_xlfn.STOCKHISTORY(C5,TODAY()-1,TODAY(),1,0,4)</f>
        <v>120.6</v>
      </c>
      <c r="P5" s="12">
        <f ca="1">IFERROR(O5*E5,G5)</f>
        <v>69.272639999999996</v>
      </c>
      <c r="Q5" s="12">
        <f ca="1">P5-G5</f>
        <v>-21.631904000000006</v>
      </c>
      <c r="R5" s="12">
        <f>F5/(1+I5-H5)</f>
        <v>122.56765221725638</v>
      </c>
      <c r="S5" s="12">
        <f>M5-F5</f>
        <v>37.760000000000019</v>
      </c>
      <c r="T5" s="12">
        <f>0.5*(R5-F5)</f>
        <v>-17.846173891371805</v>
      </c>
      <c r="U5" s="15">
        <f>S5+T5</f>
        <v>19.913826108628214</v>
      </c>
      <c r="V5" s="12">
        <f>MAX($U$2:$U$277)-U5</f>
        <v>44.836173891371786</v>
      </c>
      <c r="W5" s="9">
        <f>IFERROR((SUBTOTAL(109,$V$2:$V$1048576)/V5)/SUBTOTAL(109,$V$2:$V$1048576),0)</f>
        <v>2.2303419609861909E-2</v>
      </c>
      <c r="X5" s="9">
        <f>V5/MAX($V$2:$V$28)</f>
        <v>0.24594334172303811</v>
      </c>
    </row>
    <row r="6" spans="1:24" hidden="1" x14ac:dyDescent="0.25">
      <c r="A6" t="s">
        <v>40</v>
      </c>
      <c r="B6" s="7" t="s">
        <v>94</v>
      </c>
      <c r="C6" t="s">
        <v>94</v>
      </c>
      <c r="D6" s="8">
        <v>45627</v>
      </c>
      <c r="E6" s="2">
        <v>4.4473000000000003</v>
      </c>
      <c r="F6" s="1">
        <v>20.23</v>
      </c>
      <c r="G6" s="1">
        <f>E6*F6</f>
        <v>89.968879000000001</v>
      </c>
      <c r="H6" s="13">
        <f>M6/F6-1</f>
        <v>0.31389026198714776</v>
      </c>
      <c r="I6" s="11">
        <v>0.45929999999999999</v>
      </c>
      <c r="J6" s="9">
        <f>IFERROR(H6/I6,"")</f>
        <v>0.68341010665610225</v>
      </c>
      <c r="K6" s="9">
        <f>IFERROR(J6/SUBTOTAL(9,$J$2:$J$1048576),"")</f>
        <v>0.4041414006721526</v>
      </c>
      <c r="L6" s="9">
        <f>I6*G6</f>
        <v>41.322706124699998</v>
      </c>
      <c r="M6" s="12">
        <v>26.58</v>
      </c>
      <c r="N6" s="12">
        <f>M6*E6</f>
        <v>118.209234</v>
      </c>
      <c r="O6" s="12" cm="1" vm="3">
        <f t="array" aca="1" ref="O6" ca="1">_xlfn.STOCKHISTORY(C6,TODAY()-1,TODAY(),1,0,4)</f>
        <v>17.670000000000002</v>
      </c>
      <c r="P6" s="12">
        <f ca="1">IFERROR(O6*E6,G6)</f>
        <v>78.583791000000005</v>
      </c>
      <c r="Q6" s="12">
        <f ca="1">P6-G6</f>
        <v>-11.385087999999996</v>
      </c>
      <c r="R6" s="12">
        <f>F6/(1+I6-H6)</f>
        <v>17.661801998555216</v>
      </c>
      <c r="S6" s="12">
        <f>M6-F6</f>
        <v>6.3499999999999979</v>
      </c>
      <c r="T6" s="12">
        <f>0.5*(R6-F6)</f>
        <v>-1.2840990007223922</v>
      </c>
      <c r="U6" s="15">
        <f>S6+T6</f>
        <v>5.0659009992776056</v>
      </c>
      <c r="V6" s="12">
        <f>MAX($U$2:$U$277)-U6</f>
        <v>59.684099000722398</v>
      </c>
      <c r="W6" s="9">
        <f>IFERROR((SUBTOTAL(109,$V$2:$V$1048576)/V6)/SUBTOTAL(109,$V$2:$V$1048576),0)</f>
        <v>1.6754881396264291E-2</v>
      </c>
      <c r="X6" s="9">
        <f>V6/MAX($V$2:$V$28)</f>
        <v>0.32738981679235335</v>
      </c>
    </row>
    <row r="7" spans="1:24" hidden="1" x14ac:dyDescent="0.25">
      <c r="A7" t="s">
        <v>38</v>
      </c>
      <c r="B7" s="5" t="s">
        <v>6</v>
      </c>
      <c r="C7" t="s">
        <v>5</v>
      </c>
      <c r="D7" s="8">
        <v>45553</v>
      </c>
      <c r="E7" s="2">
        <v>1.5346</v>
      </c>
      <c r="F7" s="1">
        <v>51.96</v>
      </c>
      <c r="G7" s="1">
        <f>E7*F7</f>
        <v>79.737815999999995</v>
      </c>
      <c r="H7" s="13">
        <f>16.68%+7%/4</f>
        <v>0.18430000000000002</v>
      </c>
      <c r="I7" s="11">
        <v>0.19980000000000001</v>
      </c>
      <c r="J7" s="9">
        <f>IFERROR(H7/I7,"")</f>
        <v>0.92242242242242245</v>
      </c>
      <c r="K7" s="9">
        <f>IFERROR(J7/SUBTOTAL(9,$J$2:$J$1048576),"")</f>
        <v>0.54548372372372367</v>
      </c>
      <c r="L7" s="9">
        <f>I7*G7</f>
        <v>15.9316156368</v>
      </c>
      <c r="M7" s="12">
        <f>F7/(1-(F7*(1+H7)-F7)/(F7*(1+H7)))</f>
        <v>61.536227999999994</v>
      </c>
      <c r="N7" s="12">
        <f>M7*E7</f>
        <v>94.433495488799991</v>
      </c>
      <c r="O7" s="12" cm="1" vm="4">
        <f t="array" aca="1" ref="O7" ca="1">_xlfn.STOCKHISTORY(C7,TODAY()-1,TODAY(),1,0,4)</f>
        <v>55.71</v>
      </c>
      <c r="P7" s="12">
        <f ca="1">IFERROR(O7*E7,G7)</f>
        <v>85.492565999999997</v>
      </c>
      <c r="Q7" s="12">
        <f ca="1">P7-G7</f>
        <v>5.7547500000000014</v>
      </c>
      <c r="R7" s="12">
        <f>F7/(1+I7-H7)</f>
        <v>51.166912850812416</v>
      </c>
      <c r="S7" s="12">
        <f>M7-F7</f>
        <v>9.5762279999999933</v>
      </c>
      <c r="T7" s="12">
        <f>0.5*(R7-F7)</f>
        <v>-0.39654357459379241</v>
      </c>
      <c r="U7" s="15">
        <f>S7+T7</f>
        <v>9.1796844254062009</v>
      </c>
      <c r="V7" s="12">
        <f>MAX($U$2:$U$277)-U7</f>
        <v>55.570315574593799</v>
      </c>
      <c r="W7" s="9">
        <f>IFERROR((SUBTOTAL(109,$V$2:$V$1048576)/V7)/SUBTOTAL(109,$V$2:$V$1048576),0)</f>
        <v>1.7995219024042938E-2</v>
      </c>
      <c r="X7" s="9">
        <f>V7/MAX($V$2:$V$28)</f>
        <v>0.30482416153822345</v>
      </c>
    </row>
    <row r="8" spans="1:24" hidden="1" x14ac:dyDescent="0.25">
      <c r="A8" t="s">
        <v>38</v>
      </c>
      <c r="B8" s="5" t="s">
        <v>15</v>
      </c>
      <c r="C8" t="s">
        <v>16</v>
      </c>
      <c r="D8" s="8">
        <v>45460</v>
      </c>
      <c r="E8" s="2">
        <v>0.5</v>
      </c>
      <c r="F8" s="1">
        <v>157.79</v>
      </c>
      <c r="G8" s="1">
        <f>E8*F8</f>
        <v>78.894999999999996</v>
      </c>
      <c r="H8" s="13">
        <v>6.7199999999999996E-2</v>
      </c>
      <c r="I8" s="11">
        <v>0.16439999999999999</v>
      </c>
      <c r="J8" s="9">
        <f>IFERROR(H8/I8,"")</f>
        <v>0.40875912408759124</v>
      </c>
      <c r="K8" s="9">
        <f>IFERROR(J8/SUBTOTAL(9,$J$2:$J$1048576),"")</f>
        <v>0.24172379562043794</v>
      </c>
      <c r="L8" s="9">
        <f>I8*G8</f>
        <v>12.970337999999998</v>
      </c>
      <c r="M8" s="12">
        <f>F8/(1-(F8*(1+H8)-F8)/(F8*(1+H8)))</f>
        <v>168.39348799999999</v>
      </c>
      <c r="N8" s="12">
        <f>M8*E8</f>
        <v>84.196743999999995</v>
      </c>
      <c r="O8" s="12" cm="1" vm="5">
        <f t="array" aca="1" ref="O8" ca="1">_xlfn.STOCKHISTORY(C8,TODAY()-1,TODAY(),1,0,4)</f>
        <v>148.07499999999999</v>
      </c>
      <c r="P8" s="12">
        <f ca="1">IFERROR(O8*E8,G8)</f>
        <v>74.037499999999994</v>
      </c>
      <c r="Q8" s="12">
        <f ca="1">P8-G8</f>
        <v>-4.8575000000000017</v>
      </c>
      <c r="R8" s="12">
        <f>F8/(1+I8-H8)</f>
        <v>143.81152023332115</v>
      </c>
      <c r="S8" s="12">
        <f>M8-F8</f>
        <v>10.603487999999999</v>
      </c>
      <c r="T8" s="12">
        <f>0.5*(R8-F8)</f>
        <v>-6.9892398833394225</v>
      </c>
      <c r="U8" s="15">
        <f>S8+T8</f>
        <v>3.6142481166605762</v>
      </c>
      <c r="V8" s="12">
        <f>MAX($U$2:$U$277)-U8</f>
        <v>61.135751883339424</v>
      </c>
      <c r="W8" s="9">
        <f>IFERROR((SUBTOTAL(109,$V$2:$V$1048576)/V8)/SUBTOTAL(109,$V$2:$V$1048576),0)</f>
        <v>1.635704099801082E-2</v>
      </c>
      <c r="X8" s="9">
        <f>V8/MAX($V$2:$V$28)</f>
        <v>0.33535268092607057</v>
      </c>
    </row>
    <row r="9" spans="1:24" hidden="1" x14ac:dyDescent="0.25">
      <c r="A9" t="s">
        <v>38</v>
      </c>
      <c r="B9" s="5" t="s">
        <v>19</v>
      </c>
      <c r="C9" t="s">
        <v>20</v>
      </c>
      <c r="D9" s="8">
        <v>45544</v>
      </c>
      <c r="E9" s="2">
        <v>0.5</v>
      </c>
      <c r="F9" s="1">
        <v>138.28</v>
      </c>
      <c r="G9" s="1">
        <f>E9*F9</f>
        <v>69.14</v>
      </c>
      <c r="H9" s="13">
        <v>7.0000000000000007E-2</v>
      </c>
      <c r="I9" s="11">
        <v>0.18340000000000001</v>
      </c>
      <c r="J9" s="9">
        <f>IFERROR(H9/I9,"")</f>
        <v>0.38167938931297712</v>
      </c>
      <c r="K9" s="9">
        <f>IFERROR(J9/SUBTOTAL(9,$J$2:$J$1048576),"")</f>
        <v>0.22570992366412215</v>
      </c>
      <c r="L9" s="9">
        <f>I9*G9</f>
        <v>12.680276000000001</v>
      </c>
      <c r="M9" s="12">
        <f>F9/(1-(F9*(1+H9)-F9)/(F9*(1+H9)))</f>
        <v>147.95960000000002</v>
      </c>
      <c r="N9" s="12">
        <f>M9*E9</f>
        <v>73.979800000000012</v>
      </c>
      <c r="O9" s="12" cm="1" vm="6">
        <f t="array" aca="1" ref="O9" ca="1">_xlfn.STOCKHISTORY(C9,TODAY()-1,TODAY(),1,0,4)</f>
        <v>141.07</v>
      </c>
      <c r="P9" s="12">
        <f ca="1">IFERROR(O9*E9,G9)</f>
        <v>70.534999999999997</v>
      </c>
      <c r="Q9" s="12">
        <f ca="1">P9-G9</f>
        <v>1.394999999999996</v>
      </c>
      <c r="R9" s="12">
        <f>F9/(1+I9-H9)</f>
        <v>124.19615591880726</v>
      </c>
      <c r="S9" s="12">
        <f>M9-F9</f>
        <v>9.679600000000022</v>
      </c>
      <c r="T9" s="12">
        <f>0.5*(R9-F9)</f>
        <v>-7.0419220405963685</v>
      </c>
      <c r="U9" s="15">
        <f>S9+T9</f>
        <v>2.6376779594036535</v>
      </c>
      <c r="V9" s="12">
        <f>MAX($U$2:$U$277)-U9</f>
        <v>62.112322040596347</v>
      </c>
      <c r="W9" s="9">
        <f>IFERROR((SUBTOTAL(109,$V$2:$V$1048576)/V9)/SUBTOTAL(109,$V$2:$V$1048576),0)</f>
        <v>1.6099865004988934E-2</v>
      </c>
      <c r="X9" s="9">
        <f>V9/MAX($V$2:$V$28)</f>
        <v>0.34070953694337186</v>
      </c>
    </row>
    <row r="10" spans="1:24" hidden="1" x14ac:dyDescent="0.25">
      <c r="A10" t="s">
        <v>36</v>
      </c>
      <c r="B10" s="3" t="s">
        <v>11</v>
      </c>
      <c r="C10" t="s">
        <v>12</v>
      </c>
      <c r="D10" s="8">
        <v>45574</v>
      </c>
      <c r="E10" s="2">
        <v>0.16059999999999999</v>
      </c>
      <c r="F10" s="1">
        <v>421.18</v>
      </c>
      <c r="G10" s="1">
        <f>E10*F10</f>
        <v>67.641508000000002</v>
      </c>
      <c r="H10" s="13">
        <v>0.15</v>
      </c>
      <c r="I10" s="11">
        <v>0.1963</v>
      </c>
      <c r="J10" s="9">
        <f>IFERROR(H10/I10,"")</f>
        <v>0.76413652572592972</v>
      </c>
      <c r="K10" s="9">
        <f>IFERROR(J10/SUBTOTAL(9,$J$2:$J$1048576),"")</f>
        <v>0.45187977585328576</v>
      </c>
      <c r="L10" s="9">
        <f>I10*G10</f>
        <v>13.278028020400001</v>
      </c>
      <c r="M10" s="12">
        <f>F10/(1-(F10*(1+H10)-F10)/(F10*(1+H10)))</f>
        <v>484.35699999999997</v>
      </c>
      <c r="N10" s="12">
        <f>M10*E10</f>
        <v>77.787734199999989</v>
      </c>
      <c r="O10" s="12" cm="1" vm="7">
        <f t="array" aca="1" ref="O10" ca="1">_xlfn.STOCKHISTORY(C10,TODAY()-1,TODAY(),1,0,4)</f>
        <v>367.24</v>
      </c>
      <c r="P10" s="12">
        <f ca="1">IFERROR(O10*E10,G10)</f>
        <v>58.978743999999999</v>
      </c>
      <c r="Q10" s="12">
        <f ca="1">P10-G10</f>
        <v>-8.6627640000000028</v>
      </c>
      <c r="R10" s="12">
        <f>F10/(1+I10-H10)</f>
        <v>402.54229188569246</v>
      </c>
      <c r="S10" s="12">
        <f>M10-F10</f>
        <v>63.176999999999964</v>
      </c>
      <c r="T10" s="12">
        <f>0.5*(R10-F10)</f>
        <v>-9.3188540571537715</v>
      </c>
      <c r="U10" s="15">
        <f>S10+T10</f>
        <v>53.858145942846193</v>
      </c>
      <c r="V10" s="12">
        <f>MAX($U$2:$U$277)-U10</f>
        <v>10.891854057153807</v>
      </c>
      <c r="W10" s="9">
        <f>IFERROR((SUBTOTAL(109,$V$2:$V$1048576)/V10)/SUBTOTAL(109,$V$2:$V$1048576),0)</f>
        <v>9.1811733314880087E-2</v>
      </c>
      <c r="X10" s="9">
        <f>V10/MAX($V$2:$V$28)</f>
        <v>5.9745931730618491E-2</v>
      </c>
    </row>
    <row r="11" spans="1:24" hidden="1" x14ac:dyDescent="0.25">
      <c r="A11" t="s">
        <v>37</v>
      </c>
      <c r="B11" s="4" t="s">
        <v>85</v>
      </c>
      <c r="C11" s="32" t="s">
        <v>86</v>
      </c>
      <c r="D11" s="8">
        <v>45717</v>
      </c>
      <c r="E11" s="2">
        <v>3.9380999999999999</v>
      </c>
      <c r="F11" s="1">
        <v>16.670000000000002</v>
      </c>
      <c r="G11" s="1">
        <f>E11*F11</f>
        <v>65.648127000000002</v>
      </c>
      <c r="H11" s="13">
        <v>9.0200000000000002E-2</v>
      </c>
      <c r="I11" s="11">
        <v>0.41289999999999999</v>
      </c>
      <c r="J11" s="9">
        <f>IFERROR(H11/I11,"")</f>
        <v>0.21845483167837249</v>
      </c>
      <c r="K11" s="9">
        <f>IFERROR(J11/SUBTOTAL(9,$J$2:$J$1048576),"")</f>
        <v>0.12918544926132236</v>
      </c>
      <c r="L11" s="9">
        <f>I11*G11</f>
        <v>27.1061116383</v>
      </c>
      <c r="M11" s="12">
        <f>F11/(1-(F11*(1+H11)-F11)/(F11*(1+H11)))</f>
        <v>18.173634000000003</v>
      </c>
      <c r="N11" s="12">
        <f>M11*E11</f>
        <v>71.569588055400018</v>
      </c>
      <c r="O11" s="46">
        <v>17.55</v>
      </c>
      <c r="P11" s="12">
        <f>IFERROR(O11*E11,G11)</f>
        <v>69.113655000000008</v>
      </c>
      <c r="Q11" s="12">
        <f>P11-G11</f>
        <v>3.4655280000000062</v>
      </c>
      <c r="R11" s="12">
        <f>F11/(1+I11-H11)</f>
        <v>12.603008996749075</v>
      </c>
      <c r="S11" s="12">
        <f>M11-F11</f>
        <v>1.5036340000000017</v>
      </c>
      <c r="T11" s="12">
        <f>0.5*(R11-F11)</f>
        <v>-2.0334955016254632</v>
      </c>
      <c r="U11" s="15">
        <f>S11+T11</f>
        <v>-0.52986150162546153</v>
      </c>
      <c r="V11" s="12">
        <f>MAX($U$2:$U$277)-U11</f>
        <v>65.279861501625462</v>
      </c>
      <c r="W11" s="9">
        <f>IFERROR((SUBTOTAL(109,$V$2:$V$1048576)/V11)/SUBTOTAL(109,$V$2:$V$1048576),0)</f>
        <v>1.531865995112597E-2</v>
      </c>
      <c r="X11" s="9">
        <f>V11/MAX($V$2:$V$28)</f>
        <v>0.35808468679385913</v>
      </c>
    </row>
    <row r="12" spans="1:24" hidden="1" x14ac:dyDescent="0.25">
      <c r="A12" t="s">
        <v>38</v>
      </c>
      <c r="B12" s="5" t="s">
        <v>101</v>
      </c>
      <c r="C12" s="32" t="s">
        <v>98</v>
      </c>
      <c r="D12" s="8">
        <v>45630</v>
      </c>
      <c r="E12" s="2">
        <v>3</v>
      </c>
      <c r="F12" s="1">
        <v>20.71</v>
      </c>
      <c r="G12" s="1">
        <f>E12*F12</f>
        <v>62.13</v>
      </c>
      <c r="H12" s="13">
        <v>0.2</v>
      </c>
      <c r="I12" s="11">
        <v>0.2</v>
      </c>
      <c r="J12" s="9">
        <f>IFERROR(H12/I12,"")</f>
        <v>1</v>
      </c>
      <c r="K12" s="9">
        <f>IFERROR(J12/SUBTOTAL(9,$J$2:$J$1048576),"")</f>
        <v>0.59136</v>
      </c>
      <c r="L12" s="9">
        <f>I12*G12</f>
        <v>12.426000000000002</v>
      </c>
      <c r="M12" s="12">
        <f>F12/(1-(F12*(1+H12)-F12)/(F12*(1+H12)))</f>
        <v>24.852</v>
      </c>
      <c r="N12" s="12">
        <f>M12*E12</f>
        <v>74.555999999999997</v>
      </c>
      <c r="O12" s="46">
        <v>22.45</v>
      </c>
      <c r="P12" s="12">
        <f>IFERROR(O12*E12,G12)</f>
        <v>67.349999999999994</v>
      </c>
      <c r="Q12" s="12">
        <f>P12-G12</f>
        <v>5.2199999999999918</v>
      </c>
      <c r="R12" s="12">
        <f>F12/(1+I12-H12)</f>
        <v>20.71</v>
      </c>
      <c r="S12" s="12">
        <f>M12-F12</f>
        <v>4.1419999999999995</v>
      </c>
      <c r="T12" s="12">
        <f>0.5*(R12-F12)</f>
        <v>0</v>
      </c>
      <c r="U12" s="15">
        <f>S12+T12</f>
        <v>4.1419999999999995</v>
      </c>
      <c r="V12" s="12">
        <f>MAX($U$2:$U$277)-U12</f>
        <v>60.608000000000004</v>
      </c>
      <c r="W12" s="9">
        <f>IFERROR((SUBTOTAL(109,$V$2:$V$1048576)/V12)/SUBTOTAL(109,$V$2:$V$1048576),0)</f>
        <v>1.6499472016895458E-2</v>
      </c>
      <c r="X12" s="9">
        <f>V12/MAX($V$2:$V$28)</f>
        <v>0.33245776259286058</v>
      </c>
    </row>
    <row r="13" spans="1:24" hidden="1" x14ac:dyDescent="0.25">
      <c r="A13" t="s">
        <v>37</v>
      </c>
      <c r="B13" s="4" t="s">
        <v>8</v>
      </c>
      <c r="C13" t="s">
        <v>28</v>
      </c>
      <c r="D13" s="8">
        <v>45717</v>
      </c>
      <c r="E13" s="2">
        <v>0.11940000000000001</v>
      </c>
      <c r="F13" s="1">
        <v>505.42</v>
      </c>
      <c r="G13" s="1">
        <f>E13*F13</f>
        <v>60.347148000000004</v>
      </c>
      <c r="H13" s="13">
        <v>0.10929999999999999</v>
      </c>
      <c r="I13" s="11">
        <v>0.30499999999999999</v>
      </c>
      <c r="J13" s="9">
        <f>IFERROR(H13/I13,"")</f>
        <v>0.35836065573770493</v>
      </c>
      <c r="K13" s="9">
        <f>IFERROR(J13/SUBTOTAL(9,$J$2:$J$1048576),"")</f>
        <v>0.21192015737704917</v>
      </c>
      <c r="L13" s="9">
        <f>I13*G13</f>
        <v>18.405880140000001</v>
      </c>
      <c r="M13" s="12">
        <f>F13/(1-(F13*(1+H13)-F13)/(F13*(1+H13)))</f>
        <v>560.66240600000003</v>
      </c>
      <c r="N13" s="12">
        <f>M13*E13</f>
        <v>66.943091276400011</v>
      </c>
      <c r="O13" s="12" cm="1" vm="8">
        <f t="array" aca="1" ref="O13" ca="1">_xlfn.STOCKHISTORY(C13,TODAY()-1,TODAY(),1,0,4)</f>
        <v>527</v>
      </c>
      <c r="P13" s="12">
        <f ca="1">IFERROR(O13*E13,G13)</f>
        <v>62.9238</v>
      </c>
      <c r="Q13" s="12">
        <f ca="1">P13-G13</f>
        <v>2.5766519999999957</v>
      </c>
      <c r="R13" s="12">
        <f>F13/(1+I13-H13)</f>
        <v>422.69800117086226</v>
      </c>
      <c r="S13" s="12">
        <f>M13-F13</f>
        <v>55.242406000000017</v>
      </c>
      <c r="T13" s="12">
        <f>0.5*(R13-F13)</f>
        <v>-41.36099941456888</v>
      </c>
      <c r="U13" s="15">
        <f>S13+T13</f>
        <v>13.881406585431137</v>
      </c>
      <c r="V13" s="12">
        <f>MAX($U$2:$U$277)-U13</f>
        <v>50.868593414568863</v>
      </c>
      <c r="W13" s="9">
        <f>IFERROR((SUBTOTAL(109,$V$2:$V$1048576)/V13)/SUBTOTAL(109,$V$2:$V$1048576),0)</f>
        <v>1.9658495210398291E-2</v>
      </c>
      <c r="X13" s="9">
        <f>V13/MAX($V$2:$V$28)</f>
        <v>0.27903344035199124</v>
      </c>
    </row>
    <row r="14" spans="1:24" hidden="1" x14ac:dyDescent="0.25">
      <c r="A14" t="s">
        <v>40</v>
      </c>
      <c r="B14" s="7" t="s">
        <v>103</v>
      </c>
      <c r="C14" t="s">
        <v>103</v>
      </c>
      <c r="D14" s="8">
        <v>45627</v>
      </c>
      <c r="E14" s="2">
        <v>1.5004999999999999</v>
      </c>
      <c r="F14" s="1">
        <v>40</v>
      </c>
      <c r="G14" s="1">
        <f>E14*F14</f>
        <v>60.019999999999996</v>
      </c>
      <c r="H14" s="13">
        <v>0.1</v>
      </c>
      <c r="I14" s="11">
        <v>0.2</v>
      </c>
      <c r="J14" s="9">
        <f>IFERROR(H14/I14,"")</f>
        <v>0.5</v>
      </c>
      <c r="K14" s="9">
        <f>IFERROR(J14/SUBTOTAL(9,$J$2:$J$1048576),"")</f>
        <v>0.29568</v>
      </c>
      <c r="L14" s="9">
        <f>I14*G14</f>
        <v>12.004</v>
      </c>
      <c r="M14" s="12">
        <f>F14/(1-(F14*(1+H14)-F14)/(F14*(1+H14)))</f>
        <v>44</v>
      </c>
      <c r="N14" s="12">
        <f>M14*E14</f>
        <v>66.021999999999991</v>
      </c>
      <c r="O14" s="12" cm="1" vm="9">
        <f t="array" aca="1" ref="O14" ca="1">_xlfn.STOCKHISTORY(C14,TODAY()-1,TODAY(),1,0,4)</f>
        <v>33.29</v>
      </c>
      <c r="P14" s="12">
        <f ca="1">IFERROR(O14*E14,G14)</f>
        <v>49.951644999999999</v>
      </c>
      <c r="Q14" s="12">
        <f ca="1">P14-G14</f>
        <v>-10.068354999999997</v>
      </c>
      <c r="R14" s="12">
        <f>F14/(1+I14-H14)</f>
        <v>36.363636363636367</v>
      </c>
      <c r="S14" s="12">
        <f>M14-F14</f>
        <v>4</v>
      </c>
      <c r="T14" s="12">
        <f>0.5*(R14-F14)</f>
        <v>-1.8181818181818166</v>
      </c>
      <c r="U14" s="15">
        <f>S14+T14</f>
        <v>2.1818181818181834</v>
      </c>
      <c r="V14" s="12">
        <f>MAX($U$2:$U$277)-U14</f>
        <v>62.568181818181813</v>
      </c>
      <c r="W14" s="9">
        <f>IFERROR((SUBTOTAL(109,$V$2:$V$1048576)/V14)/SUBTOTAL(109,$V$2:$V$1048576),0)</f>
        <v>1.5982564475118054E-2</v>
      </c>
      <c r="X14" s="9">
        <f>V14/MAX($V$2:$V$28)</f>
        <v>0.34321009993360652</v>
      </c>
    </row>
    <row r="15" spans="1:24" hidden="1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0.74609999999999999</v>
      </c>
      <c r="F15" s="1">
        <v>73.7</v>
      </c>
      <c r="G15" s="1">
        <f>E15*F15</f>
        <v>54.987569999999998</v>
      </c>
      <c r="H15" s="13">
        <v>0.1</v>
      </c>
      <c r="I15" s="11">
        <v>0.25990000000000002</v>
      </c>
      <c r="J15" s="9">
        <f>IFERROR(H15/I15,"")</f>
        <v>0.38476337052712584</v>
      </c>
      <c r="K15" s="9">
        <f>IFERROR(J15/SUBTOTAL(9,$J$2:$J$1048576),"")</f>
        <v>0.22753366679492112</v>
      </c>
      <c r="L15" s="9">
        <f>I15*G15</f>
        <v>14.291269443000001</v>
      </c>
      <c r="M15" s="12">
        <f>F15/(1-(F15*(1+H15)-F15)/(F15*(1+H15)))</f>
        <v>81.070000000000007</v>
      </c>
      <c r="N15" s="12">
        <f>M15*E15</f>
        <v>60.486327000000003</v>
      </c>
      <c r="O15" s="12" cm="1" vm="10">
        <f t="array" aca="1" ref="O15" ca="1">_xlfn.STOCKHISTORY(C15,TODAY()-1,TODAY(),1,0,4)</f>
        <v>70.13</v>
      </c>
      <c r="P15" s="12">
        <f ca="1">IFERROR(O15*E15,G15)</f>
        <v>52.323992999999994</v>
      </c>
      <c r="Q15" s="12">
        <f ca="1">P15-G15</f>
        <v>-2.6635770000000036</v>
      </c>
      <c r="R15" s="12">
        <f>F15/(1+I15-H15)</f>
        <v>63.539960341408751</v>
      </c>
      <c r="S15" s="12">
        <f>M15-F15</f>
        <v>7.3700000000000045</v>
      </c>
      <c r="T15" s="12">
        <f>0.5*(R15-F15)</f>
        <v>-5.080019829295626</v>
      </c>
      <c r="U15" s="15">
        <f>S15+T15</f>
        <v>2.2899801707043785</v>
      </c>
      <c r="V15" s="12">
        <f>MAX($U$2:$U$277)-U15</f>
        <v>62.460019829295618</v>
      </c>
      <c r="W15" s="9">
        <f>IFERROR((SUBTOTAL(109,$V$2:$V$1048576)/V15)/SUBTOTAL(109,$V$2:$V$1048576),0)</f>
        <v>1.601024147499502E-2</v>
      </c>
      <c r="X15" s="9">
        <f>V15/MAX($V$2:$V$28)</f>
        <v>0.34261679058793104</v>
      </c>
    </row>
    <row r="16" spans="1:24" x14ac:dyDescent="0.25">
      <c r="A16" t="s">
        <v>115</v>
      </c>
      <c r="B16" s="7" t="s">
        <v>129</v>
      </c>
      <c r="C16" t="s">
        <v>118</v>
      </c>
      <c r="D16" s="8">
        <v>45481</v>
      </c>
      <c r="E16" s="2">
        <v>1</v>
      </c>
      <c r="F16" s="1">
        <v>48.68</v>
      </c>
      <c r="G16" s="1">
        <f>E16*F16</f>
        <v>48.68</v>
      </c>
      <c r="H16" s="13">
        <v>0.1</v>
      </c>
      <c r="I16" s="11">
        <v>0.2</v>
      </c>
      <c r="J16" s="9">
        <f>IFERROR(H16/I16,"")</f>
        <v>0.5</v>
      </c>
      <c r="K16" s="9">
        <f>IFERROR(J16/SUBTOTAL(9,$J$2:$J$1048576),"")</f>
        <v>0.29568</v>
      </c>
      <c r="L16" s="9">
        <f>I16*G16</f>
        <v>9.7360000000000007</v>
      </c>
      <c r="M16" s="12">
        <f>F16/(1-(F16*(1+H16)-F16)/(F16*(1+H16)))</f>
        <v>53.548000000000002</v>
      </c>
      <c r="N16" s="12">
        <f>M16*E16</f>
        <v>53.548000000000002</v>
      </c>
      <c r="O16" s="12">
        <v>40.35</v>
      </c>
      <c r="P16" s="12">
        <f>IFERROR(O16*E16,G16)</f>
        <v>40.35</v>
      </c>
      <c r="Q16" s="12">
        <f>P16-G16</f>
        <v>-8.3299999999999983</v>
      </c>
      <c r="R16" s="12">
        <f>F16/(1+I16-H16)</f>
        <v>44.254545454545458</v>
      </c>
      <c r="S16" s="12">
        <f>M16-F16</f>
        <v>4.8680000000000021</v>
      </c>
      <c r="T16" s="12">
        <f>0.5*(R16-F16)</f>
        <v>-2.2127272727272711</v>
      </c>
      <c r="U16" s="15">
        <f>S16+T16</f>
        <v>2.655272727272731</v>
      </c>
      <c r="V16" s="12">
        <f>MAX($U$2:$U$277)-U16</f>
        <v>62.094727272727269</v>
      </c>
      <c r="W16" s="9">
        <f>IFERROR((SUBTOTAL(109,$V$2:$V$1048576)/V16)/SUBTOTAL(109,$V$2:$V$1048576),0)</f>
        <v>1.6104426960567578E-2</v>
      </c>
      <c r="X16" s="9">
        <f>V16/MAX($V$2:$V$28)</f>
        <v>0.340613022998693</v>
      </c>
    </row>
    <row r="17" spans="1:24" hidden="1" x14ac:dyDescent="0.25">
      <c r="A17" t="s">
        <v>39</v>
      </c>
      <c r="B17" s="6" t="s">
        <v>130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>E17*F17</f>
        <v>45.983826000000001</v>
      </c>
      <c r="H17" s="13">
        <v>0.1202</v>
      </c>
      <c r="I17" s="11">
        <v>0.33710000000000001</v>
      </c>
      <c r="J17" s="9">
        <f>IFERROR(H17/I17,"")</f>
        <v>0.35657075051913378</v>
      </c>
      <c r="K17" s="9">
        <f>IFERROR(J17/SUBTOTAL(9,$J$2:$J$1048576),"")</f>
        <v>0.21086167902699496</v>
      </c>
      <c r="L17" s="9">
        <f>I17*G17</f>
        <v>15.501147744600001</v>
      </c>
      <c r="M17" s="12">
        <f>F17/(1-(F17*(1+H17)-F17)/(F17*(1+H17)))</f>
        <v>147.76558199999999</v>
      </c>
      <c r="N17" s="12">
        <f>M17*E17</f>
        <v>51.511081885199999</v>
      </c>
      <c r="O17" s="12" cm="1" vm="11">
        <f t="array" aca="1" ref="O17" ca="1">_xlfn.STOCKHISTORY(C17,TODAY()-1,TODAY(),1,0,4)</f>
        <v>133.49</v>
      </c>
      <c r="P17" s="12">
        <f ca="1">IFERROR(O17*E17,G17)</f>
        <v>46.534614000000005</v>
      </c>
      <c r="Q17" s="12">
        <f ca="1">P17-G17</f>
        <v>0.55078800000000427</v>
      </c>
      <c r="R17" s="12">
        <f>F17/(1+I17-H17)</f>
        <v>108.39838934998768</v>
      </c>
      <c r="S17" s="12">
        <f>M17-F17</f>
        <v>15.855581999999998</v>
      </c>
      <c r="T17" s="12">
        <f>0.5*(R17-F17)</f>
        <v>-11.755805325006158</v>
      </c>
      <c r="U17" s="15">
        <f>S17+T17</f>
        <v>4.0997766749938407</v>
      </c>
      <c r="V17" s="12">
        <f>MAX($U$2:$U$277)-U17</f>
        <v>60.650223325006159</v>
      </c>
      <c r="W17" s="9">
        <f>IFERROR((SUBTOTAL(109,$V$2:$V$1048576)/V17)/SUBTOTAL(109,$V$2:$V$1048576),0)</f>
        <v>1.648798545458445E-2</v>
      </c>
      <c r="X17" s="9">
        <f>V17/MAX($V$2:$V$28)</f>
        <v>0.33268937347196526</v>
      </c>
    </row>
    <row r="18" spans="1:24" x14ac:dyDescent="0.25">
      <c r="A18" t="s">
        <v>115</v>
      </c>
      <c r="B18" s="7" t="s">
        <v>126</v>
      </c>
      <c r="C18" t="s">
        <v>116</v>
      </c>
      <c r="D18" s="8">
        <v>45481</v>
      </c>
      <c r="E18" s="2">
        <v>2</v>
      </c>
      <c r="F18" s="1">
        <v>20.927</v>
      </c>
      <c r="G18" s="1">
        <f>E18*F18</f>
        <v>41.853999999999999</v>
      </c>
      <c r="H18" s="13">
        <v>3.5000000000000003E-2</v>
      </c>
      <c r="I18" s="11">
        <v>0.16500000000000001</v>
      </c>
      <c r="J18" s="9">
        <f>IFERROR(H18/I18,"")</f>
        <v>0.21212121212121213</v>
      </c>
      <c r="K18" s="9">
        <f>IFERROR(J18/SUBTOTAL(9,$J$2:$J$1048576),"")</f>
        <v>0.12544</v>
      </c>
      <c r="L18" s="9">
        <f>I18*G18</f>
        <v>6.9059100000000004</v>
      </c>
      <c r="M18" s="12">
        <f>F18/(1-(F18*(1+H18)-F18)/(F18*(1+H18)))</f>
        <v>21.659444999999998</v>
      </c>
      <c r="N18" s="12">
        <f>M18*E18</f>
        <v>43.318889999999996</v>
      </c>
      <c r="O18" s="12">
        <v>16.87</v>
      </c>
      <c r="P18" s="12">
        <f>IFERROR(O18*E18,G18)</f>
        <v>33.74</v>
      </c>
      <c r="Q18" s="12">
        <f>P18-G18</f>
        <v>-8.1139999999999972</v>
      </c>
      <c r="R18" s="12">
        <f>F18/(1+I18-H18)</f>
        <v>18.51946902654867</v>
      </c>
      <c r="S18" s="12">
        <f>M18-F18</f>
        <v>0.73244499999999846</v>
      </c>
      <c r="T18" s="12">
        <f>0.5*(R18-F18)</f>
        <v>-1.2037654867256649</v>
      </c>
      <c r="U18" s="15">
        <f>S18+T18</f>
        <v>-0.4713204867256664</v>
      </c>
      <c r="V18" s="12">
        <f>MAX($U$2:$U$277)-U18</f>
        <v>65.221320486725659</v>
      </c>
      <c r="W18" s="9">
        <f>IFERROR((SUBTOTAL(109,$V$2:$V$1048576)/V18)/SUBTOTAL(109,$V$2:$V$1048576),0)</f>
        <v>1.5332409594551642E-2</v>
      </c>
      <c r="X18" s="9">
        <f>V18/MAX($V$2:$V$28)</f>
        <v>0.35776356722493252</v>
      </c>
    </row>
    <row r="19" spans="1:24" x14ac:dyDescent="0.25">
      <c r="A19" t="s">
        <v>115</v>
      </c>
      <c r="B19" s="7" t="s">
        <v>127</v>
      </c>
      <c r="C19" t="s">
        <v>117</v>
      </c>
      <c r="D19" s="8">
        <v>45481</v>
      </c>
      <c r="E19" s="2">
        <v>2</v>
      </c>
      <c r="F19" s="1">
        <v>16.399000000000001</v>
      </c>
      <c r="G19" s="1">
        <f>E19*F19</f>
        <v>32.798000000000002</v>
      </c>
      <c r="H19" s="13">
        <v>3.5000000000000003E-2</v>
      </c>
      <c r="I19" s="11">
        <v>0.16500000000000001</v>
      </c>
      <c r="J19" s="9">
        <f>IFERROR(H19/I19,"")</f>
        <v>0.21212121212121213</v>
      </c>
      <c r="K19" s="9">
        <f>IFERROR(J19/SUBTOTAL(9,$J$2:$J$1048576),"")</f>
        <v>0.12544</v>
      </c>
      <c r="L19" s="9">
        <f>I19*G19</f>
        <v>5.4116700000000009</v>
      </c>
      <c r="M19" s="12">
        <f>F19/(1-(F19*(1+H19)-F19)/(F19*(1+H19)))</f>
        <v>16.972964999999999</v>
      </c>
      <c r="N19" s="12">
        <f>M19*E19</f>
        <v>33.945929999999997</v>
      </c>
      <c r="O19" s="12">
        <v>12.95</v>
      </c>
      <c r="P19" s="12">
        <f>IFERROR(O19*E19,G19)</f>
        <v>25.9</v>
      </c>
      <c r="Q19" s="12">
        <f>P19-G19</f>
        <v>-6.8980000000000032</v>
      </c>
      <c r="R19" s="12">
        <f>F19/(1+I19-H19)</f>
        <v>14.512389380530973</v>
      </c>
      <c r="S19" s="12">
        <f>M19-F19</f>
        <v>0.57396499999999762</v>
      </c>
      <c r="T19" s="12">
        <f>0.5*(R19-F19)</f>
        <v>-0.9433053097345141</v>
      </c>
      <c r="U19" s="15">
        <f>S19+T19</f>
        <v>-0.36934030973451648</v>
      </c>
      <c r="V19" s="12">
        <f>MAX($U$2:$U$277)-U19</f>
        <v>65.119340309734511</v>
      </c>
      <c r="W19" s="9">
        <f>IFERROR((SUBTOTAL(109,$V$2:$V$1048576)/V19)/SUBTOTAL(109,$V$2:$V$1048576),0)</f>
        <v>1.5356420922625852E-2</v>
      </c>
      <c r="X19" s="9">
        <f>V19/MAX($V$2:$V$28)</f>
        <v>0.35720416745144884</v>
      </c>
    </row>
    <row r="20" spans="1:24" hidden="1" x14ac:dyDescent="0.25">
      <c r="A20" t="s">
        <v>40</v>
      </c>
      <c r="B20" s="7" t="s">
        <v>90</v>
      </c>
      <c r="C20" s="32" t="s">
        <v>91</v>
      </c>
      <c r="D20" s="8">
        <v>45627</v>
      </c>
      <c r="E20" s="2">
        <v>0.75290000000000001</v>
      </c>
      <c r="F20" s="1">
        <v>41.16</v>
      </c>
      <c r="G20" s="1">
        <f>E20*F20</f>
        <v>30.989363999999998</v>
      </c>
      <c r="H20" s="13">
        <v>0.1</v>
      </c>
      <c r="I20" s="11">
        <v>0.2</v>
      </c>
      <c r="J20" s="9">
        <f>IFERROR(H20/I20,"")</f>
        <v>0.5</v>
      </c>
      <c r="K20" s="9">
        <f>IFERROR(J20/SUBTOTAL(9,$J$2:$J$1048576),"")</f>
        <v>0.29568</v>
      </c>
      <c r="L20" s="9">
        <f>I20*G20</f>
        <v>6.1978727999999998</v>
      </c>
      <c r="M20" s="12">
        <f>F20/(1-(F20*(1+H20)-F20)/(F20*(1+H20)))</f>
        <v>45.276000000000003</v>
      </c>
      <c r="N20" s="12">
        <f>M20*E20</f>
        <v>34.088300400000001</v>
      </c>
      <c r="O20" s="12" cm="1" vm="12">
        <f t="array" aca="1" ref="O20" ca="1">_xlfn.STOCKHISTORY(C20,TODAY()-1,TODAY(),1,0,4)</f>
        <v>45.325000000000003</v>
      </c>
      <c r="P20" s="12">
        <f ca="1">IFERROR(O20*E20,G20)</f>
        <v>34.125192500000004</v>
      </c>
      <c r="Q20" s="12">
        <f ca="1">P20-G20</f>
        <v>3.1358285000000059</v>
      </c>
      <c r="R20" s="12">
        <f>F20/(1+I20-H20)</f>
        <v>37.418181818181822</v>
      </c>
      <c r="S20" s="12">
        <f>M20-F20</f>
        <v>4.1160000000000068</v>
      </c>
      <c r="T20" s="12">
        <f>0.5*(R20-F20)</f>
        <v>-1.8709090909090875</v>
      </c>
      <c r="U20" s="15">
        <f>S20+T20</f>
        <v>2.2450909090909192</v>
      </c>
      <c r="V20" s="12">
        <f>MAX($U$2:$U$277)-U20</f>
        <v>62.504909090909081</v>
      </c>
      <c r="W20" s="9">
        <f>IFERROR((SUBTOTAL(109,$V$2:$V$1048576)/V20)/SUBTOTAL(109,$V$2:$V$1048576),0)</f>
        <v>1.5998743371429737E-2</v>
      </c>
      <c r="X20" s="9">
        <f>V20/MAX($V$2:$V$28)</f>
        <v>0.34286302513585304</v>
      </c>
    </row>
    <row r="21" spans="1:24" hidden="1" x14ac:dyDescent="0.25">
      <c r="A21" t="s">
        <v>36</v>
      </c>
      <c r="B21" s="3" t="s">
        <v>18</v>
      </c>
      <c r="C21" t="s">
        <v>17</v>
      </c>
      <c r="D21" s="8">
        <v>45678</v>
      </c>
      <c r="E21" s="2">
        <v>0.1782</v>
      </c>
      <c r="F21" s="1">
        <v>168.24</v>
      </c>
      <c r="G21" s="1">
        <f>E21*F21</f>
        <v>29.980368000000002</v>
      </c>
      <c r="H21" s="13">
        <f>190.41/F21-1</f>
        <v>0.1317760342368044</v>
      </c>
      <c r="I21" s="11">
        <v>0.26790000000000003</v>
      </c>
      <c r="J21" s="9">
        <f>IFERROR(H21/I21,"")</f>
        <v>0.49188515952521233</v>
      </c>
      <c r="K21" s="9">
        <f>IFERROR(J21/SUBTOTAL(9,$J$2:$J$1048576),"")</f>
        <v>0.29088120793682953</v>
      </c>
      <c r="L21" s="9">
        <f>I21*G21</f>
        <v>8.0317405872000016</v>
      </c>
      <c r="M21" s="12">
        <f>F21/(1-(F21*(1+H21)-F21)/(F21*(1+H21)))</f>
        <v>190.40999999999997</v>
      </c>
      <c r="N21" s="12">
        <f>M21*E21</f>
        <v>33.931061999999997</v>
      </c>
      <c r="O21" s="12" cm="1" vm="13">
        <f t="array" aca="1" ref="O21" ca="1">_xlfn.STOCKHISTORY(C21,TODAY()-1,TODAY(),1,0,4)</f>
        <v>150.38999999999999</v>
      </c>
      <c r="P21" s="12">
        <f ca="1">IFERROR(O21*E21,G21)</f>
        <v>26.799497999999996</v>
      </c>
      <c r="Q21" s="12">
        <f ca="1">P21-G21</f>
        <v>-3.1808700000000059</v>
      </c>
      <c r="R21" s="12">
        <f>F21/(1+I21-H21)</f>
        <v>148.08243208476298</v>
      </c>
      <c r="S21" s="12">
        <f>M21-F21</f>
        <v>22.169999999999959</v>
      </c>
      <c r="T21" s="12">
        <f>0.5*(R21-F21)</f>
        <v>-10.078783957618512</v>
      </c>
      <c r="U21" s="15">
        <f>S21+T21</f>
        <v>12.091216042381447</v>
      </c>
      <c r="V21" s="12">
        <f>MAX($U$2:$U$277)-U21</f>
        <v>52.658783957618553</v>
      </c>
      <c r="W21" s="9">
        <f>IFERROR((SUBTOTAL(109,$V$2:$V$1048576)/V21)/SUBTOTAL(109,$V$2:$V$1048576),0)</f>
        <v>1.8990184065109279E-2</v>
      </c>
      <c r="X21" s="9">
        <f>V21/MAX($V$2:$V$28)</f>
        <v>0.28885331136831249</v>
      </c>
    </row>
    <row r="22" spans="1:24" hidden="1" x14ac:dyDescent="0.25">
      <c r="A22" t="s">
        <v>39</v>
      </c>
      <c r="B22" s="6" t="s">
        <v>42</v>
      </c>
      <c r="C22" t="s">
        <v>41</v>
      </c>
      <c r="D22" s="8">
        <v>45507</v>
      </c>
      <c r="E22" s="2">
        <v>0.52270000000000005</v>
      </c>
      <c r="F22" s="1">
        <v>38.229999999999997</v>
      </c>
      <c r="G22" s="1">
        <f>E22*F22</f>
        <v>19.982821000000001</v>
      </c>
      <c r="H22" s="13">
        <v>7.0000000000000007E-2</v>
      </c>
      <c r="I22" s="11">
        <v>0.4</v>
      </c>
      <c r="J22" s="9">
        <f>IFERROR(H22/I22,"")</f>
        <v>0.17500000000000002</v>
      </c>
      <c r="K22" s="9">
        <f>IFERROR(J22/SUBTOTAL(9,$J$2:$J$1048576),"")</f>
        <v>0.10348800000000001</v>
      </c>
      <c r="L22" s="9">
        <f>I22*G22</f>
        <v>7.9931284000000007</v>
      </c>
      <c r="M22" s="12">
        <f>F22/(1-(F22*(1+H22)-F22)/(F22*(1+H22)))</f>
        <v>40.906100000000002</v>
      </c>
      <c r="N22" s="12">
        <f>M22*E22</f>
        <v>21.381618470000003</v>
      </c>
      <c r="O22" s="12" cm="1" vm="14">
        <f t="array" aca="1" ref="O22" ca="1">_xlfn.STOCKHISTORY(C22,TODAY()-1,TODAY(),1,0,4)</f>
        <v>30.14</v>
      </c>
      <c r="P22" s="12">
        <f ca="1">IFERROR(O22*E22,G22)</f>
        <v>15.754178000000001</v>
      </c>
      <c r="Q22" s="12">
        <f ca="1">P22-G22</f>
        <v>-4.2286429999999999</v>
      </c>
      <c r="R22" s="12">
        <f>F22/(1+I22-H22)</f>
        <v>28.744360902255639</v>
      </c>
      <c r="S22" s="12">
        <f>M22-F22</f>
        <v>2.6761000000000053</v>
      </c>
      <c r="T22" s="12">
        <f>0.5*(R22-F22)</f>
        <v>-4.7428195488721787</v>
      </c>
      <c r="U22" s="15">
        <f>S22+T22</f>
        <v>-2.0667195488721735</v>
      </c>
      <c r="V22" s="12">
        <f>MAX($U$2:$U$277)-U22</f>
        <v>66.816719548872172</v>
      </c>
      <c r="W22" s="9">
        <f>IFERROR((SUBTOTAL(109,$V$2:$V$1048576)/V22)/SUBTOTAL(109,$V$2:$V$1048576),0)</f>
        <v>1.4966313921900396E-2</v>
      </c>
      <c r="X22" s="9">
        <f>V22/MAX($V$2:$V$28)</f>
        <v>0.36651493342483976</v>
      </c>
    </row>
    <row r="23" spans="1:24" hidden="1" x14ac:dyDescent="0.25">
      <c r="A23" t="s">
        <v>96</v>
      </c>
      <c r="B23" s="7" t="s">
        <v>97</v>
      </c>
      <c r="C23" s="32" t="s">
        <v>100</v>
      </c>
      <c r="D23" s="8">
        <v>45630</v>
      </c>
      <c r="E23" s="2">
        <v>0.28749999999999998</v>
      </c>
      <c r="F23" s="1">
        <v>34.78</v>
      </c>
      <c r="G23" s="1">
        <f>E23*F23</f>
        <v>9.99925</v>
      </c>
      <c r="H23" s="13">
        <v>0.2</v>
      </c>
      <c r="I23" s="11">
        <v>0.2</v>
      </c>
      <c r="J23" s="9">
        <f>IFERROR(H23/I23,"")</f>
        <v>1</v>
      </c>
      <c r="K23" s="9">
        <f>IFERROR(J23/SUBTOTAL(9,$J$2:$J$1048576),"")</f>
        <v>0.59136</v>
      </c>
      <c r="L23" s="9">
        <f>I23*G23</f>
        <v>1.9998500000000001</v>
      </c>
      <c r="M23" s="12">
        <f>F23/(1-(F23*(1+H23)-F23)/(F23*(1+H23)))</f>
        <v>41.735999999999997</v>
      </c>
      <c r="N23" s="12">
        <f>M23*E23</f>
        <v>11.999099999999999</v>
      </c>
      <c r="O23" s="12" cm="1" vm="15">
        <f t="array" aca="1" ref="O23" ca="1">_xlfn.STOCKHISTORY(C23,TODAY()-1,TODAY(),1,0,4)</f>
        <v>26.655000000000001</v>
      </c>
      <c r="P23" s="12">
        <f ca="1">IFERROR(O23*E23,G23)</f>
        <v>7.6633125</v>
      </c>
      <c r="Q23" s="12">
        <f ca="1">P23-G23</f>
        <v>-2.3359375</v>
      </c>
      <c r="R23" s="12">
        <f>F23/(1+I23-H23)</f>
        <v>34.78</v>
      </c>
      <c r="S23" s="12">
        <f>M23-F23</f>
        <v>6.955999999999996</v>
      </c>
      <c r="T23" s="12">
        <f>0.5*(R23-F23)</f>
        <v>0</v>
      </c>
      <c r="U23" s="15">
        <f>S23+T23</f>
        <v>6.955999999999996</v>
      </c>
      <c r="V23" s="12">
        <f>MAX($U$2:$U$277)-U23</f>
        <v>57.794000000000004</v>
      </c>
      <c r="W23" s="9">
        <f>IFERROR((SUBTOTAL(109,$V$2:$V$1048576)/V23)/SUBTOTAL(109,$V$2:$V$1048576),0)</f>
        <v>1.7302834204242654E-2</v>
      </c>
      <c r="X23" s="9">
        <f>V23/MAX($V$2:$V$28)</f>
        <v>0.31702191016518916</v>
      </c>
    </row>
    <row r="24" spans="1:24" hidden="1" x14ac:dyDescent="0.25">
      <c r="A24" t="s">
        <v>39</v>
      </c>
      <c r="B24" s="6" t="s">
        <v>58</v>
      </c>
      <c r="C24" t="s">
        <v>59</v>
      </c>
      <c r="D24" s="8">
        <v>45695</v>
      </c>
      <c r="E24" s="2">
        <v>2.9999999999999997E-4</v>
      </c>
      <c r="F24" s="1">
        <v>143.18</v>
      </c>
      <c r="G24" s="1">
        <f>E24*F24</f>
        <v>4.2953999999999999E-2</v>
      </c>
      <c r="H24" s="13">
        <v>7.0000000000000007E-2</v>
      </c>
      <c r="I24" s="11">
        <v>0.1623</v>
      </c>
      <c r="J24" s="9">
        <f>IFERROR(H24/I24,"")</f>
        <v>0.43130006161429457</v>
      </c>
      <c r="K24" s="9">
        <f>IFERROR(J24/SUBTOTAL(9,$J$2:$J$1048576),"")</f>
        <v>0.25505360443622921</v>
      </c>
      <c r="L24" s="9">
        <f>I24*G24</f>
        <v>6.9714341999999995E-3</v>
      </c>
      <c r="M24" s="12">
        <f>F24/(1-(F24*(1+H24)-F24)/(F24*(1+H24)))</f>
        <v>153.20260000000002</v>
      </c>
      <c r="N24" s="12">
        <f>M24*E24</f>
        <v>4.596078E-2</v>
      </c>
      <c r="O24" s="12" cm="1" vm="16">
        <f t="array" aca="1" ref="O24" ca="1">_xlfn.STOCKHISTORY(C24,TODAY()-1,TODAY(),1,0,4)</f>
        <v>153.61000000000001</v>
      </c>
      <c r="P24" s="12">
        <f ca="1">IFERROR(O24*E24,G24)</f>
        <v>4.6082999999999999E-2</v>
      </c>
      <c r="Q24" s="12">
        <f ca="1">P24-G24</f>
        <v>3.1289999999999998E-3</v>
      </c>
      <c r="R24" s="12">
        <f>F24/(1+I24-H24)</f>
        <v>131.08120479721688</v>
      </c>
      <c r="S24" s="12">
        <f>M24-F24</f>
        <v>10.022600000000011</v>
      </c>
      <c r="T24" s="12">
        <f>0.5*(R24-F24)</f>
        <v>-6.0493976013915614</v>
      </c>
      <c r="U24" s="15">
        <f>S24+T24</f>
        <v>3.9732023986084499</v>
      </c>
      <c r="V24" s="12">
        <f>MAX($U$2:$U$277)-U24</f>
        <v>60.77679760139155</v>
      </c>
      <c r="W24" s="9">
        <f>IFERROR((SUBTOTAL(109,$V$2:$V$1048576)/V24)/SUBTOTAL(109,$V$2:$V$1048576),0)</f>
        <v>1.6453647435630991E-2</v>
      </c>
      <c r="X24" s="9">
        <f>V24/MAX($V$2:$V$28)</f>
        <v>0.33338368116614586</v>
      </c>
    </row>
    <row r="25" spans="1:24" hidden="1" x14ac:dyDescent="0.25">
      <c r="A25" t="s">
        <v>36</v>
      </c>
      <c r="B25" s="3" t="s">
        <v>14</v>
      </c>
      <c r="C25" t="s">
        <v>13</v>
      </c>
      <c r="D25" s="8">
        <v>45482</v>
      </c>
      <c r="E25" s="2">
        <v>1E-4</v>
      </c>
      <c r="F25" s="1">
        <v>227.38</v>
      </c>
      <c r="G25" s="1">
        <f>E25*F25</f>
        <v>2.2738000000000001E-2</v>
      </c>
      <c r="H25" s="13">
        <v>0.15</v>
      </c>
      <c r="I25" s="11">
        <v>0.2271</v>
      </c>
      <c r="J25" s="9">
        <f>IFERROR(H25/I25,"")</f>
        <v>0.66050198150594452</v>
      </c>
      <c r="K25" s="9">
        <f>IFERROR(J25/SUBTOTAL(9,$J$2:$J$1048576),"")</f>
        <v>0.39059445178335533</v>
      </c>
      <c r="L25" s="9">
        <f>I25*G25</f>
        <v>5.1637998000000004E-3</v>
      </c>
      <c r="M25" s="12">
        <f>F25/(1-(F25*(1+H25)-F25)/(F25*(1+H25)))</f>
        <v>261.48699999999997</v>
      </c>
      <c r="N25" s="12">
        <f>M25*E25</f>
        <v>2.6148699999999997E-2</v>
      </c>
      <c r="O25" s="12" cm="1" vm="17">
        <f t="array" aca="1" ref="O25" ca="1">_xlfn.STOCKHISTORY(C25,TODAY()-1,TODAY(),1,0,4)</f>
        <v>201.25</v>
      </c>
      <c r="P25" s="12">
        <f ca="1">IFERROR(O25*E25,G25)</f>
        <v>2.0125000000000001E-2</v>
      </c>
      <c r="Q25" s="12">
        <f ca="1">P25-G25</f>
        <v>-2.6130000000000007E-3</v>
      </c>
      <c r="R25" s="12">
        <f>F25/(1+I25-H25)</f>
        <v>211.10389007520189</v>
      </c>
      <c r="S25" s="12">
        <f>M25-F25</f>
        <v>34.106999999999971</v>
      </c>
      <c r="T25" s="12">
        <f>0.5*(R25-F25)</f>
        <v>-8.1380549623990532</v>
      </c>
      <c r="U25" s="15">
        <f>S25+T25</f>
        <v>25.968945037600918</v>
      </c>
      <c r="V25" s="12">
        <f>MAX($U$2:$U$277)-U25</f>
        <v>38.781054962399082</v>
      </c>
      <c r="W25" s="9">
        <f>IFERROR((SUBTOTAL(109,$V$2:$V$1048576)/V25)/SUBTOTAL(109,$V$2:$V$1048576),0)</f>
        <v>2.5785786409615964E-2</v>
      </c>
      <c r="X25" s="9">
        <f>V25/MAX($V$2:$V$28)</f>
        <v>0.21272872828322911</v>
      </c>
    </row>
    <row r="26" spans="1:24" hidden="1" x14ac:dyDescent="0.25">
      <c r="A26" t="s">
        <v>74</v>
      </c>
      <c r="B26" s="7" t="s">
        <v>79</v>
      </c>
      <c r="C26" s="14" t="s">
        <v>80</v>
      </c>
      <c r="D26" s="8">
        <f ca="1">TODAY()-20</f>
        <v>45731</v>
      </c>
      <c r="E26" s="2">
        <v>9.9999999999999998E-20</v>
      </c>
      <c r="F26" s="1">
        <v>2742.9</v>
      </c>
      <c r="G26" s="1">
        <f>E26*F26</f>
        <v>2.7429000000000002E-16</v>
      </c>
      <c r="H26" s="13">
        <v>0.1</v>
      </c>
      <c r="I26" s="11">
        <v>0.5</v>
      </c>
      <c r="J26" s="9">
        <f>IFERROR(H26/I26,"")</f>
        <v>0.2</v>
      </c>
      <c r="K26" s="9">
        <f>IFERROR(J26/SUBTOTAL(9,$J$2:$J$1048576),"")</f>
        <v>0.118272</v>
      </c>
      <c r="L26" s="9">
        <f>I26*G26</f>
        <v>1.3714500000000001E-16</v>
      </c>
      <c r="M26" s="12">
        <f>F26/(1-(F26*(1+H26)-F26)/(F26*(1+H26)))</f>
        <v>3017.1900000000005</v>
      </c>
      <c r="N26" s="12">
        <f>M26*E26</f>
        <v>3.0171900000000003E-16</v>
      </c>
      <c r="O26" s="46">
        <f>F26</f>
        <v>2742.9</v>
      </c>
      <c r="P26" s="12">
        <f>IFERROR(O26*E26,G26)</f>
        <v>2.7429000000000002E-16</v>
      </c>
      <c r="Q26" s="12">
        <f>P26-G26</f>
        <v>0</v>
      </c>
      <c r="R26" s="12">
        <f>F26/(1+I26-H26)</f>
        <v>1959.214285714286</v>
      </c>
      <c r="S26" s="12">
        <f>M26-F26</f>
        <v>274.29000000000042</v>
      </c>
      <c r="T26" s="12">
        <f>0.5*(R26-F26)</f>
        <v>-391.84285714285704</v>
      </c>
      <c r="U26" s="15">
        <f>S26+T26</f>
        <v>-117.55285714285662</v>
      </c>
      <c r="V26" s="12">
        <f>MAX($U$2:$U$277)-U26</f>
        <v>182.30285714285662</v>
      </c>
      <c r="W26" s="9">
        <f>IFERROR((SUBTOTAL(109,$V$2:$V$1048576)/V26)/SUBTOTAL(109,$V$2:$V$1048576),0)</f>
        <v>5.4853775507005768E-3</v>
      </c>
      <c r="X26" s="9">
        <f>V26/MAX($V$2:$V$28)</f>
        <v>1</v>
      </c>
    </row>
    <row r="27" spans="1:24" hidden="1" x14ac:dyDescent="0.25">
      <c r="A27" t="s">
        <v>36</v>
      </c>
      <c r="B27" s="3" t="s">
        <v>60</v>
      </c>
      <c r="C27" t="s">
        <v>60</v>
      </c>
      <c r="D27" s="8">
        <v>45481</v>
      </c>
      <c r="E27" s="2">
        <v>9.9999999999999998E-20</v>
      </c>
      <c r="F27" s="1">
        <v>700.32</v>
      </c>
      <c r="G27" s="1">
        <f>E27*F27</f>
        <v>7.0031999999999998E-17</v>
      </c>
      <c r="H27" s="13">
        <v>0.1</v>
      </c>
      <c r="I27" s="11">
        <v>0.45340000000000003</v>
      </c>
      <c r="J27" s="9">
        <f>IFERROR(H27/I27,"")</f>
        <v>0.22055580061755625</v>
      </c>
      <c r="K27" s="9">
        <f>IFERROR(J27/SUBTOTAL(9,$J$2:$J$1048576),"")</f>
        <v>0.13042787825319807</v>
      </c>
      <c r="L27" s="9">
        <f>I27*G27</f>
        <v>3.1752508800000004E-17</v>
      </c>
      <c r="M27" s="12">
        <f>F27/(1-(F27*(1+H27)-F27)/(F27*(1+H27)))</f>
        <v>770.35200000000009</v>
      </c>
      <c r="N27" s="12">
        <f>M27*E27</f>
        <v>7.7035200000000004E-17</v>
      </c>
      <c r="O27" s="46">
        <f>F27</f>
        <v>700.32</v>
      </c>
      <c r="P27" s="12">
        <f>IFERROR(O27*E27,G27)</f>
        <v>7.0031999999999998E-17</v>
      </c>
      <c r="Q27" s="12">
        <f>P27-G27</f>
        <v>0</v>
      </c>
      <c r="R27" s="12">
        <f>F27/(1+I27-H27)</f>
        <v>517.45234224915032</v>
      </c>
      <c r="S27" s="12">
        <f>M27-F27</f>
        <v>70.032000000000039</v>
      </c>
      <c r="T27" s="12">
        <f>0.5*(R27-F27)</f>
        <v>-91.433828875424865</v>
      </c>
      <c r="U27" s="15">
        <f>S27+T27</f>
        <v>-21.401828875424826</v>
      </c>
      <c r="V27" s="12">
        <f>MAX($U$2:$U$277)-U27</f>
        <v>86.151828875424826</v>
      </c>
      <c r="W27" s="9">
        <f>IFERROR((SUBTOTAL(109,$V$2:$V$1048576)/V27)/SUBTOTAL(109,$V$2:$V$1048576),0)</f>
        <v>1.1607414642885824E-2</v>
      </c>
      <c r="X27" s="9">
        <f>V27/MAX($V$2:$V$28)</f>
        <v>0.47257530806505305</v>
      </c>
    </row>
    <row r="28" spans="1:24" hidden="1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>E28*F28</f>
        <v>6.6881999999999999E-17</v>
      </c>
      <c r="H28" s="13">
        <v>0.05</v>
      </c>
      <c r="I28" s="11">
        <v>0.28000000000000003</v>
      </c>
      <c r="J28" s="9">
        <f>IFERROR(H28/I28,"")</f>
        <v>0.17857142857142858</v>
      </c>
      <c r="K28" s="9">
        <f>IFERROR(J28/SUBTOTAL(9,$J$2:$J$1048576),"")</f>
        <v>0.1056</v>
      </c>
      <c r="L28" s="9">
        <f>I28*G28</f>
        <v>1.872696E-17</v>
      </c>
      <c r="M28" s="12">
        <f>F28/(1-(F28*(1+H28)-F28)/(F28*(1+H28)))</f>
        <v>702.26100000000008</v>
      </c>
      <c r="N28" s="12">
        <f>M28*E28</f>
        <v>7.0226100000000009E-17</v>
      </c>
      <c r="O28" s="46">
        <f>F28</f>
        <v>668.82</v>
      </c>
      <c r="P28" s="12">
        <f>IFERROR(O28*E28,G28)</f>
        <v>6.6881999999999999E-17</v>
      </c>
      <c r="Q28" s="12">
        <f>P28-G28</f>
        <v>0</v>
      </c>
      <c r="R28" s="12">
        <f>F28/(1+I28-H28)</f>
        <v>543.7560975609756</v>
      </c>
      <c r="S28" s="12">
        <f>M28-F28</f>
        <v>33.441000000000031</v>
      </c>
      <c r="T28" s="12">
        <f>0.5*(R28-F28)</f>
        <v>-62.531951219512223</v>
      </c>
      <c r="U28" s="15">
        <f>S28+T28</f>
        <v>-29.090951219512192</v>
      </c>
      <c r="V28" s="12">
        <f>MAX($U$2:$U$277)-U28</f>
        <v>93.840951219512192</v>
      </c>
      <c r="W28" s="9">
        <f>IFERROR((SUBTOTAL(109,$V$2:$V$1048576)/V28)/SUBTOTAL(109,$V$2:$V$1048576),0)</f>
        <v>1.0656328468589433E-2</v>
      </c>
      <c r="X28" s="9">
        <f>V28/MAX($V$2:$V$28)</f>
        <v>0.51475304715590009</v>
      </c>
    </row>
    <row r="29" spans="1:24" hidden="1" x14ac:dyDescent="0.25">
      <c r="A29" t="s">
        <v>37</v>
      </c>
      <c r="B29" s="4" t="s">
        <v>7</v>
      </c>
      <c r="C29" t="s">
        <v>25</v>
      </c>
      <c r="D29" s="8">
        <v>45751</v>
      </c>
      <c r="E29" s="2">
        <v>6.1600000000000002E-2</v>
      </c>
      <c r="F29" s="1">
        <v>324.48</v>
      </c>
      <c r="G29" s="1">
        <f>E29*F29</f>
        <v>19.987968000000002</v>
      </c>
      <c r="H29" s="13">
        <v>0.10829999999999999</v>
      </c>
      <c r="I29" s="11">
        <v>0.27510000000000001</v>
      </c>
      <c r="J29" s="9">
        <f>IFERROR(H29/I29,"")</f>
        <v>0.3936750272628135</v>
      </c>
      <c r="K29" s="9">
        <f>IFERROR(J29/SUBTOTAL(9,$J$2:$J$1048576),"")</f>
        <v>0.23280366412213738</v>
      </c>
      <c r="L29" s="9">
        <f>I29*G29</f>
        <v>5.4986899968000005</v>
      </c>
      <c r="M29" s="12">
        <f>F29/(1-(F29*(1+H29)-F29)/(F29*(1+H29)))</f>
        <v>359.62118400000003</v>
      </c>
      <c r="N29" s="12">
        <f>M29*E29</f>
        <v>22.152664934400004</v>
      </c>
      <c r="O29" s="46">
        <f>F29</f>
        <v>324.48</v>
      </c>
      <c r="P29" s="12">
        <f>IFERROR(O29*E29,G29)</f>
        <v>19.987968000000002</v>
      </c>
      <c r="Q29" s="12">
        <f>P29-G29</f>
        <v>0</v>
      </c>
      <c r="R29" s="12">
        <f>F29/(1+I29-H29)</f>
        <v>278.09393212204321</v>
      </c>
      <c r="S29" s="12">
        <f>M29-F29</f>
        <v>35.14118400000001</v>
      </c>
      <c r="T29" s="12">
        <f>0.5*(R29-F29)</f>
        <v>-23.193033938978402</v>
      </c>
      <c r="U29" s="15">
        <f>S29+T29</f>
        <v>11.948150061021607</v>
      </c>
      <c r="V29" s="12">
        <f>MAX($U$2:$U$277)-U29</f>
        <v>52.801849938978393</v>
      </c>
      <c r="W29" s="9">
        <f>IFERROR((SUBTOTAL(109,$V$2:$V$1048576)/V29)/SUBTOTAL(109,$V$2:$V$1048576),0)</f>
        <v>1.8938730388341918E-2</v>
      </c>
      <c r="X29" s="9">
        <f>V29/MAX($V$2:$V$28)</f>
        <v>0.28963808229073268</v>
      </c>
    </row>
    <row r="30" spans="1:24" hidden="1" x14ac:dyDescent="0.25">
      <c r="A30" t="s">
        <v>96</v>
      </c>
      <c r="B30" s="7" t="s">
        <v>102</v>
      </c>
      <c r="C30" s="32" t="s">
        <v>99</v>
      </c>
      <c r="D30" s="8">
        <v>45630</v>
      </c>
      <c r="E30" s="2">
        <v>9.9999999999999998E-20</v>
      </c>
      <c r="F30" s="1">
        <v>323.75</v>
      </c>
      <c r="G30" s="1">
        <f>E30*F30</f>
        <v>3.2375000000000002E-17</v>
      </c>
      <c r="H30" s="13">
        <v>0.2</v>
      </c>
      <c r="I30" s="11">
        <v>0.2</v>
      </c>
      <c r="J30" s="9">
        <f>IFERROR(H30/I30,"")</f>
        <v>1</v>
      </c>
      <c r="K30" s="9">
        <f>IFERROR(J30/SUBTOTAL(9,$J$2:$J$1048576),"")</f>
        <v>0.59136</v>
      </c>
      <c r="L30" s="9">
        <f>I30*G30</f>
        <v>6.4750000000000006E-18</v>
      </c>
      <c r="M30" s="12">
        <f>F30/(1-(F30*(1+H30)-F30)/(F30*(1+H30)))</f>
        <v>388.5</v>
      </c>
      <c r="N30" s="12">
        <f>M30*E30</f>
        <v>3.8849999999999999E-17</v>
      </c>
      <c r="O30" s="46">
        <f>F30</f>
        <v>323.75</v>
      </c>
      <c r="P30" s="12">
        <f>IFERROR(O30*E30,G30)</f>
        <v>3.2375000000000002E-17</v>
      </c>
      <c r="Q30" s="12">
        <f>P30-G30</f>
        <v>0</v>
      </c>
      <c r="R30" s="12">
        <f>F30/(1+I30-H30)</f>
        <v>323.75</v>
      </c>
      <c r="S30" s="12">
        <f>M30-F30</f>
        <v>64.75</v>
      </c>
      <c r="T30" s="12">
        <f>0.5*(R30-F30)</f>
        <v>0</v>
      </c>
      <c r="U30" s="15">
        <f>S30+T30</f>
        <v>64.75</v>
      </c>
      <c r="V30" s="12">
        <f>MAX($U$2:$U$277)-U30</f>
        <v>0</v>
      </c>
      <c r="W30" s="9">
        <f>IFERROR((SUBTOTAL(109,$V$2:$V$1048576)/V30)/SUBTOTAL(109,$V$2:$V$1048576),0)</f>
        <v>0</v>
      </c>
      <c r="X30" s="9">
        <f>V30/MAX($V$2:$V$28)</f>
        <v>0</v>
      </c>
    </row>
    <row r="31" spans="1:24" hidden="1" x14ac:dyDescent="0.25">
      <c r="A31" t="s">
        <v>36</v>
      </c>
      <c r="B31" s="3" t="s">
        <v>10</v>
      </c>
      <c r="C31" t="s">
        <v>9</v>
      </c>
      <c r="D31" s="8">
        <v>45544</v>
      </c>
      <c r="E31" s="2">
        <v>9.9999999999999998E-20</v>
      </c>
      <c r="F31" s="1">
        <v>188.12</v>
      </c>
      <c r="G31" s="1">
        <f>E31*F31</f>
        <v>1.8812000000000001E-17</v>
      </c>
      <c r="H31" s="13">
        <v>0.15</v>
      </c>
      <c r="I31" s="11">
        <v>0.37780000000000002</v>
      </c>
      <c r="J31" s="9">
        <f>IFERROR(H31/I31,"")</f>
        <v>0.39703546850185278</v>
      </c>
      <c r="K31" s="9">
        <f>IFERROR(J31/SUBTOTAL(9,$J$2:$J$1048576),"")</f>
        <v>0.23479089465325564</v>
      </c>
      <c r="L31" s="9">
        <f>I31*G31</f>
        <v>7.1071736000000005E-18</v>
      </c>
      <c r="M31" s="12">
        <f>F31/(1-(F31*(1+H31)-F31)/(F31*(1+H31)))</f>
        <v>216.33799999999999</v>
      </c>
      <c r="N31" s="12">
        <f>M31*E31</f>
        <v>2.16338E-17</v>
      </c>
      <c r="O31" s="46">
        <f>F31</f>
        <v>188.12</v>
      </c>
      <c r="P31" s="12">
        <f>IFERROR(O31*E31,G31)</f>
        <v>1.8812000000000001E-17</v>
      </c>
      <c r="Q31" s="12">
        <f>P31-G31</f>
        <v>0</v>
      </c>
      <c r="R31" s="12">
        <f>F31/(1+I31-H31)</f>
        <v>153.21713634142367</v>
      </c>
      <c r="S31" s="12">
        <f>M31-F31</f>
        <v>28.217999999999989</v>
      </c>
      <c r="T31" s="12">
        <f>0.5*(R31-F31)</f>
        <v>-17.451431829288168</v>
      </c>
      <c r="U31" s="15">
        <f>S31+T31</f>
        <v>10.766568170711821</v>
      </c>
      <c r="V31" s="12">
        <f>MAX($U$2:$U$277)-U31</f>
        <v>53.983431829288179</v>
      </c>
      <c r="W31" s="9">
        <f>IFERROR((SUBTOTAL(109,$V$2:$V$1048576)/V31)/SUBTOTAL(109,$V$2:$V$1048576),0)</f>
        <v>1.8524202076709392E-2</v>
      </c>
      <c r="X31" s="9">
        <f>V31/MAX($V$2:$V$28)</f>
        <v>0.29611950506615237</v>
      </c>
    </row>
    <row r="32" spans="1:24" hidden="1" x14ac:dyDescent="0.25">
      <c r="A32" t="s">
        <v>36</v>
      </c>
      <c r="B32" s="3" t="s">
        <v>29</v>
      </c>
      <c r="C32" t="s">
        <v>30</v>
      </c>
      <c r="D32" s="8">
        <v>45481</v>
      </c>
      <c r="E32" s="2">
        <v>9.9999999999999998E-20</v>
      </c>
      <c r="F32" s="1">
        <v>169.34</v>
      </c>
      <c r="G32" s="1">
        <f>E32*F32</f>
        <v>1.6933999999999999E-17</v>
      </c>
      <c r="H32" s="13">
        <v>0.1</v>
      </c>
      <c r="I32" s="11">
        <v>0.4259</v>
      </c>
      <c r="J32" s="9">
        <f>IFERROR(H32/I32,"")</f>
        <v>0.23479690068091102</v>
      </c>
      <c r="K32" s="9">
        <f>IFERROR(J32/SUBTOTAL(9,$J$2:$J$1048576),"")</f>
        <v>0.13884949518666354</v>
      </c>
      <c r="L32" s="9">
        <f>I32*G32</f>
        <v>7.2121906000000005E-18</v>
      </c>
      <c r="M32" s="12">
        <f>F32/(1-(F32*(1+H32)-F32)/(F32*(1+H32)))</f>
        <v>186.27400000000003</v>
      </c>
      <c r="N32" s="12">
        <f>M32*E32</f>
        <v>1.8627400000000003E-17</v>
      </c>
      <c r="O32" s="46">
        <f>F32</f>
        <v>169.34</v>
      </c>
      <c r="P32" s="12">
        <f>IFERROR(O32*E32,G32)</f>
        <v>1.6933999999999999E-17</v>
      </c>
      <c r="Q32" s="12">
        <f>P32-G32</f>
        <v>0</v>
      </c>
      <c r="R32" s="12">
        <f>F32/(1+I32-H32)</f>
        <v>127.71702239987934</v>
      </c>
      <c r="S32" s="12">
        <f>M32-F32</f>
        <v>16.934000000000026</v>
      </c>
      <c r="T32" s="12">
        <f>0.5*(R32-F32)</f>
        <v>-20.811488800060332</v>
      </c>
      <c r="U32" s="15">
        <f>S32+T32</f>
        <v>-3.8774888000603056</v>
      </c>
      <c r="V32" s="12">
        <f>MAX($U$2:$U$277)-U32</f>
        <v>68.627488800060306</v>
      </c>
      <c r="W32" s="9">
        <f>IFERROR((SUBTOTAL(109,$V$2:$V$1048576)/V32)/SUBTOTAL(109,$V$2:$V$1048576),0)</f>
        <v>1.4571420541314068E-2</v>
      </c>
      <c r="X32" s="9">
        <f>V32/MAX($V$2:$V$28)</f>
        <v>0.37644768642480608</v>
      </c>
    </row>
    <row r="33" spans="1:24" hidden="1" x14ac:dyDescent="0.25">
      <c r="A33" t="s">
        <v>74</v>
      </c>
      <c r="B33" s="7" t="s">
        <v>77</v>
      </c>
      <c r="C33" t="s">
        <v>78</v>
      </c>
      <c r="D33" s="8">
        <v>45574</v>
      </c>
      <c r="E33" s="2">
        <v>9.9999999999999998E-20</v>
      </c>
      <c r="F33" s="1">
        <v>153.7552</v>
      </c>
      <c r="G33" s="1">
        <f>E33*F33</f>
        <v>1.5375519999999999E-17</v>
      </c>
      <c r="H33" s="13">
        <v>7.0000000000000007E-2</v>
      </c>
      <c r="I33" s="11">
        <v>0.19</v>
      </c>
      <c r="J33" s="9">
        <f>IFERROR(H33/I33,"")</f>
        <v>0.36842105263157898</v>
      </c>
      <c r="K33" s="9">
        <f>IFERROR(J33/SUBTOTAL(9,$J$2:$J$1048576),"")</f>
        <v>0.21786947368421053</v>
      </c>
      <c r="L33" s="9">
        <f>I33*G33</f>
        <v>2.9213487999999999E-18</v>
      </c>
      <c r="M33" s="12">
        <f>F33/(1-(F33*(1+H33)-F33)/(F33*(1+H33)))</f>
        <v>164.51806400000001</v>
      </c>
      <c r="N33" s="12">
        <f>M33*E33</f>
        <v>1.6451806399999999E-17</v>
      </c>
      <c r="O33" s="46">
        <f>F33</f>
        <v>153.7552</v>
      </c>
      <c r="P33" s="12">
        <f>IFERROR(O33*E33,G33)</f>
        <v>1.5375519999999999E-17</v>
      </c>
      <c r="Q33" s="12">
        <f>P33-G33</f>
        <v>0</v>
      </c>
      <c r="R33" s="12">
        <f>F33/(1+I33-H33)</f>
        <v>137.28142857142859</v>
      </c>
      <c r="S33" s="12">
        <f>M33-F33</f>
        <v>10.762864000000008</v>
      </c>
      <c r="T33" s="12">
        <f>0.5*(R33-F33)</f>
        <v>-8.2368857142857053</v>
      </c>
      <c r="U33" s="15">
        <f>S33+T33</f>
        <v>2.5259782857143023</v>
      </c>
      <c r="V33" s="12">
        <f>MAX($U$2:$U$277)-U33</f>
        <v>62.224021714285698</v>
      </c>
      <c r="W33" s="9">
        <f>IFERROR((SUBTOTAL(109,$V$2:$V$1048576)/V33)/SUBTOTAL(109,$V$2:$V$1048576),0)</f>
        <v>1.6070963792596114E-2</v>
      </c>
      <c r="X33" s="9">
        <f>V33/MAX($V$2:$V$28)</f>
        <v>0.34132225182584797</v>
      </c>
    </row>
    <row r="34" spans="1:24" hidden="1" x14ac:dyDescent="0.25">
      <c r="A34" t="s">
        <v>36</v>
      </c>
      <c r="B34" s="3" t="s">
        <v>23</v>
      </c>
      <c r="C34" t="s">
        <v>24</v>
      </c>
      <c r="D34" s="8">
        <v>45482</v>
      </c>
      <c r="E34" s="2">
        <v>9.9999999999999998E-20</v>
      </c>
      <c r="F34" s="1">
        <v>147.01</v>
      </c>
      <c r="G34" s="1">
        <f>E34*F34</f>
        <v>1.4700999999999999E-17</v>
      </c>
      <c r="H34" s="13">
        <v>0.15</v>
      </c>
      <c r="I34" s="11">
        <v>0.52380000000000004</v>
      </c>
      <c r="J34" s="9">
        <f>IFERROR(H34/I34,"")</f>
        <v>0.28636884306987398</v>
      </c>
      <c r="K34" s="9">
        <f>IFERROR(J34/SUBTOTAL(9,$J$2:$J$1048576),"")</f>
        <v>0.16934707903780066</v>
      </c>
      <c r="L34" s="9">
        <f>I34*G34</f>
        <v>7.7003838000000003E-18</v>
      </c>
      <c r="M34" s="12">
        <f>F34/(1-(F34*(1+H34)-F34)/(F34*(1+H34)))</f>
        <v>169.06149999999997</v>
      </c>
      <c r="N34" s="12">
        <f>M34*E34</f>
        <v>1.6906149999999997E-17</v>
      </c>
      <c r="O34" s="46">
        <f>F34</f>
        <v>147.01</v>
      </c>
      <c r="P34" s="12">
        <f>IFERROR(O34*E34,G34)</f>
        <v>1.4700999999999999E-17</v>
      </c>
      <c r="Q34" s="12">
        <f>P34-G34</f>
        <v>0</v>
      </c>
      <c r="R34" s="12">
        <f>F34/(1+I34-H34)</f>
        <v>107.00975396709855</v>
      </c>
      <c r="S34" s="12">
        <f>M34-F34</f>
        <v>22.051499999999976</v>
      </c>
      <c r="T34" s="12">
        <f>0.5*(R34-F34)</f>
        <v>-20.000123016450722</v>
      </c>
      <c r="U34" s="15">
        <f>S34+T34</f>
        <v>2.0513769835492539</v>
      </c>
      <c r="V34" s="12">
        <f>MAX($U$2:$U$277)-U34</f>
        <v>62.698623016450746</v>
      </c>
      <c r="W34" s="9">
        <f>IFERROR((SUBTOTAL(109,$V$2:$V$1048576)/V34)/SUBTOTAL(109,$V$2:$V$1048576),0)</f>
        <v>1.5949313587598594E-2</v>
      </c>
      <c r="X34" s="9">
        <f>V34/MAX($V$2:$V$28)</f>
        <v>0.34392561915427738</v>
      </c>
    </row>
    <row r="35" spans="1:24" hidden="1" x14ac:dyDescent="0.25">
      <c r="A35" t="s">
        <v>87</v>
      </c>
      <c r="B35" t="s">
        <v>88</v>
      </c>
      <c r="C35" s="32" t="s">
        <v>89</v>
      </c>
      <c r="D35" s="8">
        <v>45627</v>
      </c>
      <c r="E35" s="2">
        <v>9.9999999999999998E-20</v>
      </c>
      <c r="F35" s="1">
        <v>133.53</v>
      </c>
      <c r="G35" s="1">
        <f>E35*F35</f>
        <v>1.3353E-17</v>
      </c>
      <c r="H35" s="13">
        <v>7.0000000000000007E-2</v>
      </c>
      <c r="I35" s="11">
        <v>0.2</v>
      </c>
      <c r="J35" s="9">
        <f>IFERROR(H35/I35,"")</f>
        <v>0.35000000000000003</v>
      </c>
      <c r="K35" s="9">
        <f>IFERROR(J35/SUBTOTAL(9,$J$2:$J$1048576),"")</f>
        <v>0.20697600000000002</v>
      </c>
      <c r="L35" s="9">
        <f>I35*G35</f>
        <v>2.6706000000000003E-18</v>
      </c>
      <c r="M35" s="12">
        <f>F35/(1-(F35*(1+H35)-F35)/(F35*(1+H35)))</f>
        <v>142.87710000000001</v>
      </c>
      <c r="N35" s="12">
        <f>M35*E35</f>
        <v>1.428771E-17</v>
      </c>
      <c r="O35" s="46">
        <f>F35</f>
        <v>133.53</v>
      </c>
      <c r="P35" s="12">
        <f>IFERROR(O35*E35,G35)</f>
        <v>1.3353E-17</v>
      </c>
      <c r="Q35" s="12">
        <f>P35-G35</f>
        <v>0</v>
      </c>
      <c r="R35" s="12">
        <f>F35/(1+I35-H35)</f>
        <v>118.16814159292036</v>
      </c>
      <c r="S35" s="12">
        <f>M35-F35</f>
        <v>9.3471000000000117</v>
      </c>
      <c r="T35" s="12">
        <f>0.5*(R35-F35)</f>
        <v>-7.6809292035398187</v>
      </c>
      <c r="U35" s="15">
        <f>S35+T35</f>
        <v>1.6661707964601931</v>
      </c>
      <c r="V35" s="12">
        <f>MAX($U$2:$U$277)-U35</f>
        <v>63.083829203539807</v>
      </c>
      <c r="W35" s="9">
        <f>IFERROR((SUBTOTAL(109,$V$2:$V$1048576)/V35)/SUBTOTAL(109,$V$2:$V$1048576),0)</f>
        <v>1.5851922951181398E-2</v>
      </c>
      <c r="X35" s="9">
        <f>V35/MAX($V$2:$V$28)</f>
        <v>0.34603862052532669</v>
      </c>
    </row>
    <row r="36" spans="1:24" hidden="1" x14ac:dyDescent="0.25">
      <c r="A36" t="s">
        <v>40</v>
      </c>
      <c r="B36" s="7" t="s">
        <v>31</v>
      </c>
      <c r="C36" s="14" t="s">
        <v>32</v>
      </c>
      <c r="D36" s="8">
        <v>45511</v>
      </c>
      <c r="E36" s="2">
        <v>9.9999999999999998E-20</v>
      </c>
      <c r="F36" s="1">
        <v>113.58</v>
      </c>
      <c r="G36" s="1">
        <f>E36*F36</f>
        <v>1.1357999999999999E-17</v>
      </c>
      <c r="H36" s="13">
        <f>121.15/F36-1</f>
        <v>6.664905793273479E-2</v>
      </c>
      <c r="I36" s="11">
        <v>0.16439999999999999</v>
      </c>
      <c r="J36" s="9">
        <f>IFERROR(H36/I36,"")</f>
        <v>0.40540789496797319</v>
      </c>
      <c r="K36" s="9">
        <f>IFERROR(J36/SUBTOTAL(9,$J$2:$J$1048576),"")</f>
        <v>0.23974201276826063</v>
      </c>
      <c r="L36" s="9">
        <f>I36*G36</f>
        <v>1.8672551999999998E-18</v>
      </c>
      <c r="M36" s="12">
        <f>F36/(1-(F36*(1+H36)-F36)/(F36*(1+H36)))</f>
        <v>121.15000000000002</v>
      </c>
      <c r="N36" s="12">
        <f>M36*E36</f>
        <v>1.2115000000000002E-17</v>
      </c>
      <c r="O36" s="46">
        <f>F36</f>
        <v>113.58</v>
      </c>
      <c r="P36" s="12">
        <f>IFERROR(O36*E36,G36)</f>
        <v>1.1357999999999999E-17</v>
      </c>
      <c r="Q36" s="12">
        <f>P36-G36</f>
        <v>0</v>
      </c>
      <c r="R36" s="12">
        <f>F36/(1+I36-H36)</f>
        <v>103.46609203186667</v>
      </c>
      <c r="S36" s="12">
        <f>M36-F36</f>
        <v>7.5700000000000216</v>
      </c>
      <c r="T36" s="12">
        <f>0.5*(R36-F36)</f>
        <v>-5.0569539840666664</v>
      </c>
      <c r="U36" s="15">
        <f>S36+T36</f>
        <v>2.5130460159333552</v>
      </c>
      <c r="V36" s="12">
        <f>MAX($U$2:$U$277)-U36</f>
        <v>62.236953984066645</v>
      </c>
      <c r="W36" s="9">
        <f>IFERROR((SUBTOTAL(109,$V$2:$V$1048576)/V36)/SUBTOTAL(109,$V$2:$V$1048576),0)</f>
        <v>1.60676243933148E-2</v>
      </c>
      <c r="X36" s="9">
        <f>V36/MAX($V$2:$V$28)</f>
        <v>0.34139319020818398</v>
      </c>
    </row>
    <row r="37" spans="1:24" hidden="1" x14ac:dyDescent="0.25">
      <c r="A37" t="s">
        <v>38</v>
      </c>
      <c r="B37" s="5" t="s">
        <v>54</v>
      </c>
      <c r="C37" t="s">
        <v>55</v>
      </c>
      <c r="D37" s="8">
        <v>45505</v>
      </c>
      <c r="E37" s="2">
        <v>9.9999999999999998E-20</v>
      </c>
      <c r="F37" s="1">
        <v>86.6</v>
      </c>
      <c r="G37" s="1">
        <f>E37*F37</f>
        <v>8.6599999999999986E-18</v>
      </c>
      <c r="H37" s="13">
        <v>7.0000000000000007E-2</v>
      </c>
      <c r="I37" s="11">
        <v>0.17249999999999999</v>
      </c>
      <c r="J37" s="9">
        <f>IFERROR(H37/I37,"")</f>
        <v>0.40579710144927544</v>
      </c>
      <c r="K37" s="9">
        <f>IFERROR(J37/SUBTOTAL(9,$J$2:$J$1048576),"")</f>
        <v>0.23997217391304351</v>
      </c>
      <c r="L37" s="9">
        <f>I37*G37</f>
        <v>1.4938499999999996E-18</v>
      </c>
      <c r="M37" s="12">
        <f>F37/(1-(F37*(1+H37)-F37)/(F37*(1+H37)))</f>
        <v>92.662000000000006</v>
      </c>
      <c r="N37" s="12">
        <f>M37*E37</f>
        <v>9.2662000000000008E-18</v>
      </c>
      <c r="O37" s="46">
        <f>F37</f>
        <v>86.6</v>
      </c>
      <c r="P37" s="12">
        <f>IFERROR(O37*E37,G37)</f>
        <v>8.6599999999999986E-18</v>
      </c>
      <c r="Q37" s="12">
        <f>P37-G37</f>
        <v>0</v>
      </c>
      <c r="R37" s="12">
        <f>F37/(1+I37-H37)</f>
        <v>78.548752834467123</v>
      </c>
      <c r="S37" s="12">
        <f>M37-F37</f>
        <v>6.0620000000000118</v>
      </c>
      <c r="T37" s="12">
        <f>0.5*(R37-F37)</f>
        <v>-4.0256235827664355</v>
      </c>
      <c r="U37" s="15">
        <f>S37+T37</f>
        <v>2.0363764172335763</v>
      </c>
      <c r="V37" s="12">
        <f>MAX($U$2:$U$277)-U37</f>
        <v>62.713623582766424</v>
      </c>
      <c r="W37" s="9">
        <f>IFERROR((SUBTOTAL(109,$V$2:$V$1048576)/V37)/SUBTOTAL(109,$V$2:$V$1048576),0)</f>
        <v>1.594549864719981E-2</v>
      </c>
      <c r="X37" s="9">
        <f>V37/MAX($V$2:$V$28)</f>
        <v>0.34400790292399319</v>
      </c>
    </row>
    <row r="38" spans="1:24" hidden="1" x14ac:dyDescent="0.25">
      <c r="A38" t="s">
        <v>36</v>
      </c>
      <c r="B38" s="3" t="s">
        <v>83</v>
      </c>
      <c r="C38" t="s">
        <v>84</v>
      </c>
      <c r="D38" s="8">
        <v>45481</v>
      </c>
      <c r="E38" s="2">
        <v>9.9999999999999998E-20</v>
      </c>
      <c r="F38" s="1">
        <v>64.349999999999994</v>
      </c>
      <c r="G38" s="1">
        <f>E38*F38</f>
        <v>6.4349999999999993E-18</v>
      </c>
      <c r="H38" s="13">
        <v>0.15</v>
      </c>
      <c r="I38" s="11">
        <v>0.67300000000000004</v>
      </c>
      <c r="J38" s="9">
        <f>IFERROR(H38/I38,"")</f>
        <v>0.22288261515601782</v>
      </c>
      <c r="K38" s="9">
        <f>IFERROR(J38/SUBTOTAL(9,$J$2:$J$1048576),"")</f>
        <v>0.1318038632986627</v>
      </c>
      <c r="L38" s="9">
        <f>I38*G38</f>
        <v>4.3307549999999997E-18</v>
      </c>
      <c r="M38" s="12">
        <f>F38/(1-(F38*(1+H38)-F38)/(F38*(1+H38)))</f>
        <v>74.002499999999984</v>
      </c>
      <c r="N38" s="12">
        <f>M38*E38</f>
        <v>7.4002499999999988E-18</v>
      </c>
      <c r="O38" s="46">
        <f>F38</f>
        <v>64.349999999999994</v>
      </c>
      <c r="P38" s="12">
        <f>IFERROR(O38*E38,G38)</f>
        <v>6.4349999999999993E-18</v>
      </c>
      <c r="Q38" s="12">
        <f>P38-G38</f>
        <v>0</v>
      </c>
      <c r="R38" s="12">
        <f>F38/(1+I38-H38)</f>
        <v>42.252133946158892</v>
      </c>
      <c r="S38" s="12">
        <f>M38-F38</f>
        <v>9.6524999999999892</v>
      </c>
      <c r="T38" s="12">
        <f>0.5*(R38-F38)</f>
        <v>-11.048933026920551</v>
      </c>
      <c r="U38" s="15">
        <f>S38+T38</f>
        <v>-1.3964330269205618</v>
      </c>
      <c r="V38" s="12">
        <f>MAX($U$2:$U$277)-U38</f>
        <v>66.146433026920562</v>
      </c>
      <c r="W38" s="9">
        <f>IFERROR((SUBTOTAL(109,$V$2:$V$1048576)/V38)/SUBTOTAL(109,$V$2:$V$1048576),0)</f>
        <v>1.5117973173141711E-2</v>
      </c>
      <c r="X38" s="9">
        <f>V38/MAX($V$2:$V$28)</f>
        <v>0.36283815878478926</v>
      </c>
    </row>
    <row r="39" spans="1:24" hidden="1" x14ac:dyDescent="0.25">
      <c r="A39" t="s">
        <v>71</v>
      </c>
      <c r="B39" s="5" t="s">
        <v>72</v>
      </c>
      <c r="C39" t="s">
        <v>73</v>
      </c>
      <c r="D39" s="8">
        <v>45562</v>
      </c>
      <c r="E39" s="2">
        <v>9.9999999999999998E-20</v>
      </c>
      <c r="F39" s="1">
        <v>56</v>
      </c>
      <c r="G39" s="1">
        <f>E39*F39</f>
        <v>5.5999999999999995E-18</v>
      </c>
      <c r="H39" s="13">
        <v>7.0000000000000007E-2</v>
      </c>
      <c r="I39" s="11">
        <v>0.19</v>
      </c>
      <c r="J39" s="9">
        <f>IFERROR(H39/I39,"")</f>
        <v>0.36842105263157898</v>
      </c>
      <c r="K39" s="9">
        <f>IFERROR(J39/SUBTOTAL(9,$J$2:$J$1048576),"")</f>
        <v>0.21786947368421053</v>
      </c>
      <c r="L39" s="9">
        <f>I39*G39</f>
        <v>1.0639999999999999E-18</v>
      </c>
      <c r="M39" s="12">
        <f>F39/(1-(F39*(1+H39)-F39)/(F39*(1+H39)))</f>
        <v>59.92</v>
      </c>
      <c r="N39" s="12">
        <f>M39*E39</f>
        <v>5.9920000000000002E-18</v>
      </c>
      <c r="O39" s="46">
        <f>F39</f>
        <v>56</v>
      </c>
      <c r="P39" s="12">
        <f>IFERROR(O39*E39,G39)</f>
        <v>5.5999999999999995E-18</v>
      </c>
      <c r="Q39" s="12">
        <f>P39-G39</f>
        <v>0</v>
      </c>
      <c r="R39" s="12">
        <f>F39/(1+I39-H39)</f>
        <v>50.000000000000007</v>
      </c>
      <c r="S39" s="12">
        <f>M39-F39</f>
        <v>3.9200000000000017</v>
      </c>
      <c r="T39" s="12">
        <f>0.5*(R39-F39)</f>
        <v>-2.9999999999999964</v>
      </c>
      <c r="U39" s="15">
        <f>S39+T39</f>
        <v>0.92000000000000526</v>
      </c>
      <c r="V39" s="12">
        <f>MAX($U$2:$U$277)-U39</f>
        <v>63.83</v>
      </c>
      <c r="W39" s="9">
        <f>IFERROR((SUBTOTAL(109,$V$2:$V$1048576)/V39)/SUBTOTAL(109,$V$2:$V$1048576),0)</f>
        <v>1.5666614444618518E-2</v>
      </c>
      <c r="X39" s="9">
        <f>V39/MAX($V$2:$V$28)</f>
        <v>0.3501316490612178</v>
      </c>
    </row>
    <row r="40" spans="1:24" hidden="1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>E40*F40</f>
        <v>4.7419999999999999E-18</v>
      </c>
      <c r="H40" s="13">
        <v>7.0000000000000007E-2</v>
      </c>
      <c r="I40" s="11">
        <v>0.4</v>
      </c>
      <c r="J40" s="9">
        <f>IFERROR(H40/I40,"")</f>
        <v>0.17500000000000002</v>
      </c>
      <c r="K40" s="9">
        <f>IFERROR(J40/SUBTOTAL(9,$J$2:$J$1048576),"")</f>
        <v>0.10348800000000001</v>
      </c>
      <c r="L40" s="9">
        <f>I40*G40</f>
        <v>1.8968000000000002E-18</v>
      </c>
      <c r="M40" s="12">
        <f>F40/(1-(F40*(1+H40)-F40)/(F40*(1+H40)))</f>
        <v>50.739400000000003</v>
      </c>
      <c r="N40" s="12">
        <f>M40*E40</f>
        <v>5.0739400000000001E-18</v>
      </c>
      <c r="O40" s="46">
        <f>F40</f>
        <v>47.42</v>
      </c>
      <c r="P40" s="12">
        <f>IFERROR(O40*E40,G40)</f>
        <v>4.7419999999999999E-18</v>
      </c>
      <c r="Q40" s="12">
        <f>P40-G40</f>
        <v>0</v>
      </c>
      <c r="R40" s="12">
        <f>F40/(1+I40-H40)</f>
        <v>35.654135338345867</v>
      </c>
      <c r="S40" s="12">
        <f>M40-F40</f>
        <v>3.3194000000000017</v>
      </c>
      <c r="T40" s="12">
        <f>0.5*(R40-F40)</f>
        <v>-5.8829323308270673</v>
      </c>
      <c r="U40" s="15">
        <f>S40+T40</f>
        <v>-2.5635323308270657</v>
      </c>
      <c r="V40" s="12">
        <f>MAX($U$2:$U$277)-U40</f>
        <v>67.313532330827059</v>
      </c>
      <c r="W40" s="9">
        <f>IFERROR((SUBTOTAL(109,$V$2:$V$1048576)/V40)/SUBTOTAL(109,$V$2:$V$1048576),0)</f>
        <v>1.4855853873264021E-2</v>
      </c>
      <c r="X40" s="9">
        <f>V40/MAX($V$2:$V$28)</f>
        <v>0.36924013910587622</v>
      </c>
    </row>
    <row r="41" spans="1:24" hidden="1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>E41*F41</f>
        <v>2.663E-18</v>
      </c>
      <c r="H41" s="13">
        <v>0.1</v>
      </c>
      <c r="I41" s="11">
        <v>0.2</v>
      </c>
      <c r="J41" s="9">
        <f>IFERROR(H41/I41,"")</f>
        <v>0.5</v>
      </c>
      <c r="K41" s="9">
        <f>IFERROR(J41/SUBTOTAL(9,$J$2:$J$1048576),"")</f>
        <v>0.29568</v>
      </c>
      <c r="L41" s="9">
        <f>I41*G41</f>
        <v>5.3260000000000006E-19</v>
      </c>
      <c r="M41" s="12">
        <f>F41/(1-(F41*(1+H41)-F41)/(F41*(1+H41)))</f>
        <v>29.293000000000003</v>
      </c>
      <c r="N41" s="12">
        <f>M41*E41</f>
        <v>2.9293000000000003E-18</v>
      </c>
      <c r="O41" s="46">
        <f>F41</f>
        <v>26.63</v>
      </c>
      <c r="P41" s="12">
        <f>IFERROR(O41*E41,G41)</f>
        <v>2.663E-18</v>
      </c>
      <c r="Q41" s="12">
        <f>P41-G41</f>
        <v>0</v>
      </c>
      <c r="R41" s="12">
        <f>F41/(1+I41-H41)</f>
        <v>24.209090909090911</v>
      </c>
      <c r="S41" s="12">
        <f>M41-F41</f>
        <v>2.6630000000000038</v>
      </c>
      <c r="T41" s="12">
        <f>0.5*(R41-F41)</f>
        <v>-1.2104545454545441</v>
      </c>
      <c r="U41" s="15">
        <f>S41+T41</f>
        <v>1.4525454545454597</v>
      </c>
      <c r="V41" s="12">
        <f>MAX($U$2:$U$277)-U41</f>
        <v>63.297454545454542</v>
      </c>
      <c r="W41" s="9">
        <f>IFERROR((SUBTOTAL(109,$V$2:$V$1048576)/V41)/SUBTOTAL(109,$V$2:$V$1048576),0)</f>
        <v>1.5798423604568332E-2</v>
      </c>
      <c r="X41" s="9">
        <f>V41/MAX($V$2:$V$28)</f>
        <v>0.34721043618012654</v>
      </c>
    </row>
    <row r="42" spans="1:24" hidden="1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>E42*F42</f>
        <v>2.0820000000000002E-18</v>
      </c>
      <c r="H42" s="13">
        <v>0.05</v>
      </c>
      <c r="I42" s="11">
        <v>0.7389</v>
      </c>
      <c r="J42" s="9">
        <f>IFERROR(H42/I42,"")</f>
        <v>6.7668155366084726E-2</v>
      </c>
      <c r="K42" s="9">
        <f>IFERROR(J42/SUBTOTAL(9,$J$2:$J$1048576),"")</f>
        <v>4.0016240357287861E-2</v>
      </c>
      <c r="L42" s="9">
        <f>I42*G42</f>
        <v>1.5383898E-18</v>
      </c>
      <c r="M42" s="12">
        <f>F42/(1-(F42*(1+H42)-F42)/(F42*(1+H42)))</f>
        <v>21.861000000000001</v>
      </c>
      <c r="N42" s="12">
        <f>M42*E42</f>
        <v>2.1860999999999999E-18</v>
      </c>
      <c r="O42" s="46">
        <f>F42</f>
        <v>20.82</v>
      </c>
      <c r="P42" s="12">
        <f>IFERROR(O42*E42,G42)</f>
        <v>2.0820000000000002E-18</v>
      </c>
      <c r="Q42" s="12">
        <f>P42-G42</f>
        <v>0</v>
      </c>
      <c r="R42" s="12">
        <f>F42/(1+I42-H42)</f>
        <v>12.327550476641601</v>
      </c>
      <c r="S42" s="12">
        <f>M42-F42</f>
        <v>1.0410000000000004</v>
      </c>
      <c r="T42" s="12">
        <f>0.5*(R42-F42)</f>
        <v>-4.2462247616791995</v>
      </c>
      <c r="U42" s="15">
        <f>S42+T42</f>
        <v>-3.2052247616791991</v>
      </c>
      <c r="V42" s="12">
        <f>MAX($U$2:$U$277)-U42</f>
        <v>67.955224761679204</v>
      </c>
      <c r="W42" s="9">
        <f>IFERROR((SUBTOTAL(109,$V$2:$V$1048576)/V42)/SUBTOTAL(109,$V$2:$V$1048576),0)</f>
        <v>1.4715571959433977E-2</v>
      </c>
      <c r="X42" s="9">
        <f>V42/MAX($V$2:$V$28)</f>
        <v>0.37276006436052705</v>
      </c>
    </row>
    <row r="43" spans="1:24" hidden="1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>E43*F43</f>
        <v>1.7E-18</v>
      </c>
      <c r="H43" s="13">
        <v>0.1</v>
      </c>
      <c r="I43" s="11">
        <v>0.15</v>
      </c>
      <c r="J43" s="9">
        <f>IFERROR(H43/I43,"")</f>
        <v>0.66666666666666674</v>
      </c>
      <c r="K43" s="9">
        <f>IFERROR(J43/SUBTOTAL(9,$J$2:$J$1048576),"")</f>
        <v>0.39424000000000003</v>
      </c>
      <c r="L43" s="9">
        <f>I43*G43</f>
        <v>2.5499999999999999E-19</v>
      </c>
      <c r="M43" s="12">
        <v>21.2</v>
      </c>
      <c r="N43" s="12">
        <f>M43*E43</f>
        <v>2.1199999999999999E-18</v>
      </c>
      <c r="O43" s="46">
        <f>F43</f>
        <v>17</v>
      </c>
      <c r="P43" s="12">
        <f>IFERROR(O43*E43,G43)</f>
        <v>1.7E-18</v>
      </c>
      <c r="Q43" s="12">
        <f>P43-G43</f>
        <v>0</v>
      </c>
      <c r="R43" s="12">
        <f>F43/(1+I43-H43)</f>
        <v>16.190476190476193</v>
      </c>
      <c r="S43" s="12">
        <f>M43-F43</f>
        <v>4.1999999999999993</v>
      </c>
      <c r="T43" s="12">
        <f>0.5*(R43-F43)</f>
        <v>-0.40476190476190332</v>
      </c>
      <c r="U43" s="15">
        <f>S43+T43</f>
        <v>3.795238095238096</v>
      </c>
      <c r="V43" s="12">
        <f>MAX($U$2:$U$277)-U43</f>
        <v>60.954761904761902</v>
      </c>
      <c r="W43" s="9">
        <f>IFERROR((SUBTOTAL(109,$V$2:$V$1048576)/V43)/SUBTOTAL(109,$V$2:$V$1048576),0)</f>
        <v>1.6405609155892349E-2</v>
      </c>
      <c r="X43" s="9">
        <f>V43/MAX($V$2:$V$28)</f>
        <v>0.33435988256067967</v>
      </c>
    </row>
    <row r="44" spans="1:24" hidden="1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>E44*F44</f>
        <v>1.304E-18</v>
      </c>
      <c r="H44" s="13">
        <f>13.72/F44-1</f>
        <v>5.2147239263803824E-2</v>
      </c>
      <c r="I44" s="11">
        <v>0.30159999999999998</v>
      </c>
      <c r="J44" s="9">
        <f>IFERROR(H44/I44,"")</f>
        <v>0.17290198694895167</v>
      </c>
      <c r="K44" s="9">
        <f>IFERROR(J44/SUBTOTAL(9,$J$2:$J$1048576),"")</f>
        <v>0.10224731900213206</v>
      </c>
      <c r="L44" s="9">
        <f>I44*G44</f>
        <v>3.9328639999999997E-19</v>
      </c>
      <c r="M44" s="12">
        <f>F44/(1-(F44*(1+H44)-F44)/(F44*(1+H44)))</f>
        <v>13.72</v>
      </c>
      <c r="N44" s="12">
        <f>M44*E44</f>
        <v>1.3720000000000001E-18</v>
      </c>
      <c r="O44" s="46">
        <f>F44</f>
        <v>13.04</v>
      </c>
      <c r="P44" s="12">
        <f>IFERROR(O44*E44,G44)</f>
        <v>1.304E-18</v>
      </c>
      <c r="Q44" s="12">
        <f>P44-G44</f>
        <v>0</v>
      </c>
      <c r="R44" s="12">
        <f>F44/(1+I44-H44)</f>
        <v>10.436569040286594</v>
      </c>
      <c r="S44" s="12">
        <f>M44-F44</f>
        <v>0.68000000000000149</v>
      </c>
      <c r="T44" s="12">
        <f>0.5*(R44-F44)</f>
        <v>-1.3017154798567026</v>
      </c>
      <c r="U44" s="15">
        <f>S44+T44</f>
        <v>-0.62171547985670106</v>
      </c>
      <c r="V44" s="12">
        <f>MAX($U$2:$U$277)-U44</f>
        <v>65.371715479856704</v>
      </c>
      <c r="W44" s="9">
        <f>IFERROR((SUBTOTAL(109,$V$2:$V$1048576)/V44)/SUBTOTAL(109,$V$2:$V$1048576),0)</f>
        <v>1.5297135659659027E-2</v>
      </c>
      <c r="X44" s="9">
        <f>V44/MAX($V$2:$V$28)</f>
        <v>0.35858854054399136</v>
      </c>
    </row>
    <row r="45" spans="1:24" hidden="1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>E45*F45</f>
        <v>1.1050000000000001E-18</v>
      </c>
      <c r="H45" s="13">
        <v>0.05</v>
      </c>
      <c r="I45" s="11">
        <v>0.72170000000000001</v>
      </c>
      <c r="J45" s="9">
        <f>IFERROR(H45/I45,"")</f>
        <v>6.9280864625190522E-2</v>
      </c>
      <c r="K45" s="9">
        <f>IFERROR(J45/SUBTOTAL(9,$J$2:$J$1048576),"")</f>
        <v>4.0969932104752665E-2</v>
      </c>
      <c r="L45" s="9">
        <f>I45*G45</f>
        <v>7.9747850000000009E-19</v>
      </c>
      <c r="M45" s="12">
        <f>F45/(1-(F45*(1+H45)-F45)/(F45*(1+H45)))</f>
        <v>11.602500000000001</v>
      </c>
      <c r="N45" s="12">
        <f>M45*E45</f>
        <v>1.16025E-18</v>
      </c>
      <c r="O45" s="46">
        <f>F45</f>
        <v>11.05</v>
      </c>
      <c r="P45" s="12">
        <f>IFERROR(O45*E45,G45)</f>
        <v>1.1050000000000001E-18</v>
      </c>
      <c r="Q45" s="12">
        <f>P45-G45</f>
        <v>0</v>
      </c>
      <c r="R45" s="12">
        <f>F45/(1+I45-H45)</f>
        <v>6.6100376861877139</v>
      </c>
      <c r="S45" s="12">
        <f>M45-F45</f>
        <v>0.55250000000000021</v>
      </c>
      <c r="T45" s="12">
        <f>0.5*(R45-F45)</f>
        <v>-2.2199811569061434</v>
      </c>
      <c r="U45" s="15">
        <f>S45+T45</f>
        <v>-1.6674811569061432</v>
      </c>
      <c r="V45" s="12">
        <f>MAX($U$2:$U$277)-U45</f>
        <v>66.417481156906149</v>
      </c>
      <c r="W45" s="9">
        <f>IFERROR((SUBTOTAL(109,$V$2:$V$1048576)/V45)/SUBTOTAL(109,$V$2:$V$1048576),0)</f>
        <v>1.5056277091231111E-2</v>
      </c>
      <c r="X45" s="9">
        <f>V45/MAX($V$2:$V$28)</f>
        <v>0.36432496011217158</v>
      </c>
    </row>
    <row r="46" spans="1:24" hidden="1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>E46*F46</f>
        <v>1.092E-18</v>
      </c>
      <c r="H46" s="13">
        <v>1</v>
      </c>
      <c r="I46" s="13">
        <v>1.8652</v>
      </c>
      <c r="J46" s="9">
        <f>IFERROR(H46/I46,"")</f>
        <v>0.53613553506326406</v>
      </c>
      <c r="K46" s="9">
        <f>IFERROR(J46/SUBTOTAL(9,$J$2:$J$1048576),"")</f>
        <v>0.31704911001501179</v>
      </c>
      <c r="L46" s="9">
        <f>I46*G46</f>
        <v>2.0367984000000001E-18</v>
      </c>
      <c r="M46" s="12">
        <f>F46/(1-(F46*(1+H46)-F46)/(F46*(1+H46)))</f>
        <v>21.84</v>
      </c>
      <c r="N46" s="12">
        <f>M46*E46</f>
        <v>2.1840000000000001E-18</v>
      </c>
      <c r="O46" s="46">
        <f>F46</f>
        <v>10.92</v>
      </c>
      <c r="P46" s="12">
        <f>IFERROR(O46*E46,G46)</f>
        <v>1.092E-18</v>
      </c>
      <c r="Q46" s="12">
        <f>P46-G46</f>
        <v>0</v>
      </c>
      <c r="R46" s="12">
        <f>F46/(1+I46-H46)</f>
        <v>5.8546000428908433</v>
      </c>
      <c r="S46" s="12">
        <f>M46-F46</f>
        <v>10.92</v>
      </c>
      <c r="T46" s="12">
        <f>0.5*(R46-F46)</f>
        <v>-2.5326999785545783</v>
      </c>
      <c r="U46" s="15">
        <f>S46+T46</f>
        <v>8.3873000214454212</v>
      </c>
      <c r="V46" s="12">
        <f>MAX($U$2:$U$277)-U46</f>
        <v>56.362699978554581</v>
      </c>
      <c r="W46" s="9">
        <f>IFERROR((SUBTOTAL(109,$V$2:$V$1048576)/V46)/SUBTOTAL(109,$V$2:$V$1048576),0)</f>
        <v>1.7742230240575585E-2</v>
      </c>
      <c r="X46" s="9">
        <f>V46/MAX($V$2:$V$28)</f>
        <v>0.30917068915923518</v>
      </c>
    </row>
    <row r="49" spans="4:4" x14ac:dyDescent="0.25">
      <c r="D49" s="44"/>
    </row>
  </sheetData>
  <autoFilter ref="A1:X46" xr:uid="{00000000-0001-0000-0000-000000000000}">
    <filterColumn colId="0">
      <filters>
        <filter val="ETF"/>
      </filters>
    </filterColumn>
    <sortState xmlns:xlrd2="http://schemas.microsoft.com/office/spreadsheetml/2017/richdata2" ref="A2:X46">
      <sortCondition descending="1" ref="G1:G45"/>
    </sortState>
  </autoFilter>
  <conditionalFormatting sqref="W2:W44">
    <cfRule type="iconSet" priority="19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1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2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J31"/>
  <sheetViews>
    <sheetView tabSelected="1" topLeftCell="CN1" zoomScale="115" zoomScaleNormal="115" workbookViewId="0">
      <selection activeCell="DC20" sqref="DC20"/>
    </sheetView>
  </sheetViews>
  <sheetFormatPr defaultRowHeight="15" outlineLevelCol="2" x14ac:dyDescent="0.25"/>
  <cols>
    <col min="1" max="1" width="16.42578125" bestFit="1" customWidth="1"/>
    <col min="2" max="2" width="15.140625" bestFit="1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5.140625" customWidth="1"/>
    <col min="107" max="107" width="6" bestFit="1" customWidth="1"/>
    <col min="110" max="110" width="9.7109375" hidden="1" customWidth="1"/>
  </cols>
  <sheetData>
    <row r="1" spans="1:114" x14ac:dyDescent="0.25">
      <c r="A1" s="20" t="s">
        <v>157</v>
      </c>
      <c r="B1" t="s">
        <v>158</v>
      </c>
      <c r="L1" s="58" t="s">
        <v>114</v>
      </c>
      <c r="M1" s="58"/>
      <c r="N1" s="58"/>
      <c r="O1" s="58"/>
      <c r="P1" s="58"/>
      <c r="Q1" s="26"/>
      <c r="R1" s="58" t="s">
        <v>109</v>
      </c>
      <c r="S1" s="58"/>
      <c r="V1" s="58" t="s">
        <v>108</v>
      </c>
      <c r="W1" s="58"/>
      <c r="X1" s="58"/>
      <c r="Y1" s="58"/>
      <c r="Z1" s="58"/>
      <c r="AC1" s="58" t="s">
        <v>108</v>
      </c>
      <c r="AD1" s="58"/>
      <c r="AE1" s="58"/>
      <c r="AF1" s="58"/>
      <c r="AG1" s="58"/>
      <c r="AJ1" s="58" t="s">
        <v>131</v>
      </c>
      <c r="AK1" s="58"/>
      <c r="AL1" s="58"/>
      <c r="AM1" s="58"/>
      <c r="AN1" s="58"/>
      <c r="AQ1" s="58" t="s">
        <v>139</v>
      </c>
      <c r="AR1" s="58"/>
      <c r="AS1" s="58"/>
      <c r="AT1" s="58"/>
      <c r="AU1" s="58"/>
      <c r="AV1" s="58"/>
      <c r="AY1" s="58" t="s">
        <v>142</v>
      </c>
      <c r="AZ1" s="58"/>
      <c r="BA1" s="58"/>
      <c r="BB1" s="58"/>
      <c r="BC1" s="58"/>
      <c r="BD1" s="58"/>
      <c r="BE1" s="58"/>
      <c r="BF1" s="58"/>
      <c r="BG1" t="s">
        <v>159</v>
      </c>
      <c r="BH1" t="s">
        <v>160</v>
      </c>
      <c r="BJ1" s="58" t="s">
        <v>144</v>
      </c>
      <c r="BK1" s="58"/>
      <c r="BL1" s="58"/>
      <c r="BM1" s="58"/>
      <c r="BN1" s="58"/>
      <c r="BO1" s="58"/>
      <c r="BP1" s="58"/>
      <c r="BQ1" s="58"/>
      <c r="BR1" s="10" t="s">
        <v>161</v>
      </c>
      <c r="BS1" s="10" t="s">
        <v>162</v>
      </c>
      <c r="BU1" s="58" t="s">
        <v>144</v>
      </c>
      <c r="BV1" s="58"/>
      <c r="BW1" s="58"/>
      <c r="BX1" s="58"/>
      <c r="BY1" s="58"/>
      <c r="BZ1" s="58"/>
      <c r="CA1" s="58"/>
      <c r="CB1" s="58"/>
      <c r="CC1" s="10" t="s">
        <v>161</v>
      </c>
      <c r="CD1" s="10" t="s">
        <v>162</v>
      </c>
      <c r="CF1" s="58" t="s">
        <v>164</v>
      </c>
      <c r="CG1" s="58"/>
      <c r="CH1" s="58"/>
      <c r="CI1" s="58"/>
      <c r="CJ1" s="58"/>
      <c r="CK1" s="58"/>
      <c r="CL1" s="58"/>
      <c r="CM1" s="58"/>
      <c r="CN1" s="10" t="s">
        <v>161</v>
      </c>
      <c r="CO1" s="10" t="s">
        <v>162</v>
      </c>
      <c r="CQ1" s="58" t="s">
        <v>163</v>
      </c>
      <c r="CR1" s="58"/>
      <c r="CS1" s="58"/>
      <c r="CT1" s="58"/>
      <c r="CU1" s="58"/>
      <c r="CV1" s="58"/>
      <c r="CW1" s="58"/>
      <c r="CX1" s="58"/>
      <c r="CY1" s="10" t="s">
        <v>161</v>
      </c>
      <c r="CZ1" s="10" t="s">
        <v>162</v>
      </c>
      <c r="DB1" s="58" t="s">
        <v>168</v>
      </c>
      <c r="DC1" s="58"/>
      <c r="DD1" s="58"/>
      <c r="DE1" s="58"/>
      <c r="DF1" s="58"/>
      <c r="DG1" s="58"/>
      <c r="DH1" s="58"/>
      <c r="DI1" s="58"/>
    </row>
    <row r="2" spans="1:114" x14ac:dyDescent="0.25">
      <c r="L2" s="59">
        <v>46000</v>
      </c>
      <c r="M2" s="59"/>
      <c r="N2" s="59"/>
      <c r="O2" s="59"/>
      <c r="P2" s="59"/>
      <c r="Q2" s="27"/>
      <c r="R2" s="59">
        <v>45684</v>
      </c>
      <c r="S2" s="58"/>
      <c r="V2" s="59">
        <v>45685</v>
      </c>
      <c r="W2" s="59"/>
      <c r="X2" s="59"/>
      <c r="Y2" s="59"/>
      <c r="Z2" s="59"/>
      <c r="AC2" s="59">
        <v>45688</v>
      </c>
      <c r="AD2" s="59"/>
      <c r="AE2" s="59"/>
      <c r="AF2" s="59"/>
      <c r="AG2" s="59"/>
      <c r="AJ2" s="59">
        <v>45695</v>
      </c>
      <c r="AK2" s="59"/>
      <c r="AL2" s="59"/>
      <c r="AM2" s="59"/>
      <c r="AN2" s="59"/>
      <c r="AQ2" s="59">
        <v>45702</v>
      </c>
      <c r="AR2" s="59"/>
      <c r="AS2" s="59"/>
      <c r="AT2" s="59"/>
      <c r="AU2" s="59"/>
      <c r="AV2" s="59"/>
      <c r="AY2" s="59">
        <v>45711</v>
      </c>
      <c r="AZ2" s="59"/>
      <c r="BA2" s="59"/>
      <c r="BB2" s="59"/>
      <c r="BC2" s="59"/>
      <c r="BD2" s="59"/>
      <c r="BE2" s="59"/>
      <c r="BF2" s="59"/>
      <c r="BG2" s="56">
        <f>((AY14+BF14)/AY14)^(1/((AY2-AQ2)/7))-1</f>
        <v>7.8250579652632268E-3</v>
      </c>
      <c r="BH2" s="9">
        <f>(1+BG2)^(36)-1</f>
        <v>0.32393138919216002</v>
      </c>
      <c r="BJ2" s="59">
        <v>45716</v>
      </c>
      <c r="BK2" s="59"/>
      <c r="BL2" s="59"/>
      <c r="BM2" s="59"/>
      <c r="BN2" s="59"/>
      <c r="BO2" s="59"/>
      <c r="BP2" s="59"/>
      <c r="BQ2" s="59"/>
      <c r="BR2" s="56">
        <f>((BJ14+BQ14)/BJ14)^(1/((BJ2-AY2)/7))-1</f>
        <v>-3.6296067687099143E-2</v>
      </c>
      <c r="BS2" s="9">
        <f>(1+BR2)^(36)-1</f>
        <v>-0.73577693917594722</v>
      </c>
      <c r="BU2" s="59">
        <v>45723</v>
      </c>
      <c r="BV2" s="59"/>
      <c r="BW2" s="59"/>
      <c r="BX2" s="59"/>
      <c r="BY2" s="59"/>
      <c r="BZ2" s="59"/>
      <c r="CA2" s="59"/>
      <c r="CB2" s="59"/>
      <c r="CC2" s="56">
        <f>((BU14+CB14)/BU14)^(1/((BU2-BJ2)/7))-1</f>
        <v>1.7693849525515226E-3</v>
      </c>
      <c r="CD2" s="9">
        <f>(1+CC2)^(36)-1</f>
        <v>6.5710349506775456E-2</v>
      </c>
      <c r="CF2" s="59">
        <v>45730</v>
      </c>
      <c r="CG2" s="59"/>
      <c r="CH2" s="59"/>
      <c r="CI2" s="59"/>
      <c r="CJ2" s="59"/>
      <c r="CK2" s="59"/>
      <c r="CL2" s="59"/>
      <c r="CM2" s="59"/>
      <c r="CN2" s="56">
        <f>((CF14+CM14)/CF14)^(1/((CF2-BU2)/7))-1</f>
        <v>-2.4417601324878913E-2</v>
      </c>
      <c r="CO2" s="9">
        <f>(1+CN2)^(36)-1</f>
        <v>-0.58932106766148507</v>
      </c>
      <c r="CQ2" s="59">
        <v>45736</v>
      </c>
      <c r="CR2" s="59"/>
      <c r="CS2" s="59"/>
      <c r="CT2" s="59"/>
      <c r="CU2" s="59"/>
      <c r="CV2" s="59"/>
      <c r="CW2" s="59"/>
      <c r="CX2" s="59"/>
      <c r="CY2" s="57">
        <f>((CQ14+CX14)/CQ14)^(1/((CQ2-CF2)/7))-1</f>
        <v>1.6751468666117653E-2</v>
      </c>
      <c r="CZ2" s="57">
        <f>(1+CY2)^(36)-1</f>
        <v>0.81858289724574784</v>
      </c>
      <c r="DB2" s="59">
        <v>45751</v>
      </c>
      <c r="DC2" s="59"/>
      <c r="DD2" s="59"/>
      <c r="DE2" s="59"/>
      <c r="DF2" s="59"/>
      <c r="DG2" s="59"/>
      <c r="DH2" s="59"/>
      <c r="DI2" s="59"/>
    </row>
    <row r="3" spans="1:114" ht="32.25" customHeight="1" x14ac:dyDescent="0.25">
      <c r="A3" s="20" t="s">
        <v>104</v>
      </c>
      <c r="B3" s="10" t="s">
        <v>106</v>
      </c>
      <c r="C3" s="10" t="s">
        <v>107</v>
      </c>
      <c r="D3" s="16" t="s">
        <v>141</v>
      </c>
      <c r="E3" s="16" t="s">
        <v>111</v>
      </c>
      <c r="F3" s="16" t="s">
        <v>112</v>
      </c>
      <c r="G3" s="16" t="s">
        <v>137</v>
      </c>
      <c r="H3" s="16" t="s">
        <v>138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137</v>
      </c>
      <c r="AV3" s="45" t="s">
        <v>138</v>
      </c>
      <c r="AX3" s="28" t="s">
        <v>104</v>
      </c>
      <c r="AY3" s="23" t="s">
        <v>106</v>
      </c>
      <c r="AZ3" s="23" t="s">
        <v>107</v>
      </c>
      <c r="BA3" s="45" t="s">
        <v>141</v>
      </c>
      <c r="BB3" s="45" t="s">
        <v>111</v>
      </c>
      <c r="BC3" s="45" t="s">
        <v>112</v>
      </c>
      <c r="BD3" s="45" t="s">
        <v>137</v>
      </c>
      <c r="BE3" s="45" t="s">
        <v>138</v>
      </c>
      <c r="BF3" s="47" t="s">
        <v>143</v>
      </c>
      <c r="BG3" s="47" t="s">
        <v>153</v>
      </c>
      <c r="BI3" s="28" t="s">
        <v>104</v>
      </c>
      <c r="BJ3" s="23" t="s">
        <v>106</v>
      </c>
      <c r="BK3" s="23" t="s">
        <v>107</v>
      </c>
      <c r="BL3" s="45" t="s">
        <v>141</v>
      </c>
      <c r="BM3" s="45" t="s">
        <v>111</v>
      </c>
      <c r="BN3" s="45" t="s">
        <v>112</v>
      </c>
      <c r="BO3" s="45" t="s">
        <v>137</v>
      </c>
      <c r="BP3" s="45" t="s">
        <v>138</v>
      </c>
      <c r="BQ3" s="47" t="s">
        <v>143</v>
      </c>
      <c r="BR3" s="47" t="s">
        <v>154</v>
      </c>
      <c r="BT3" s="28" t="s">
        <v>104</v>
      </c>
      <c r="BU3" s="23" t="s">
        <v>106</v>
      </c>
      <c r="BV3" s="23" t="s">
        <v>107</v>
      </c>
      <c r="BW3" s="45" t="s">
        <v>141</v>
      </c>
      <c r="BX3" s="45" t="s">
        <v>111</v>
      </c>
      <c r="BY3" s="45" t="s">
        <v>112</v>
      </c>
      <c r="BZ3" s="45" t="s">
        <v>137</v>
      </c>
      <c r="CA3" s="45" t="s">
        <v>138</v>
      </c>
      <c r="CB3" s="47" t="s">
        <v>143</v>
      </c>
      <c r="CC3" s="47" t="s">
        <v>154</v>
      </c>
      <c r="CE3" s="28" t="s">
        <v>104</v>
      </c>
      <c r="CF3" s="23" t="s">
        <v>106</v>
      </c>
      <c r="CG3" s="23" t="s">
        <v>107</v>
      </c>
      <c r="CH3" s="45" t="s">
        <v>141</v>
      </c>
      <c r="CI3" s="45" t="s">
        <v>111</v>
      </c>
      <c r="CJ3" s="45" t="s">
        <v>112</v>
      </c>
      <c r="CK3" s="45" t="s">
        <v>137</v>
      </c>
      <c r="CL3" s="45" t="s">
        <v>138</v>
      </c>
      <c r="CM3" s="47" t="s">
        <v>143</v>
      </c>
      <c r="CN3" s="47" t="s">
        <v>154</v>
      </c>
      <c r="CP3" s="28" t="s">
        <v>104</v>
      </c>
      <c r="CQ3" s="23" t="s">
        <v>106</v>
      </c>
      <c r="CR3" s="23" t="s">
        <v>107</v>
      </c>
      <c r="CS3" s="45" t="s">
        <v>141</v>
      </c>
      <c r="CT3" s="45" t="s">
        <v>111</v>
      </c>
      <c r="CU3" s="45" t="s">
        <v>112</v>
      </c>
      <c r="CV3" s="45" t="s">
        <v>137</v>
      </c>
      <c r="CW3" s="45" t="s">
        <v>138</v>
      </c>
      <c r="CX3" s="47" t="s">
        <v>143</v>
      </c>
      <c r="CY3" s="47" t="s">
        <v>165</v>
      </c>
      <c r="DA3" s="60" t="s">
        <v>104</v>
      </c>
      <c r="DB3" s="61" t="s">
        <v>106</v>
      </c>
      <c r="DC3" s="61" t="s">
        <v>107</v>
      </c>
      <c r="DD3" s="62" t="s">
        <v>141</v>
      </c>
      <c r="DE3" s="62" t="s">
        <v>111</v>
      </c>
      <c r="DF3" s="62" t="s">
        <v>112</v>
      </c>
      <c r="DG3" s="62" t="s">
        <v>137</v>
      </c>
      <c r="DH3" s="62" t="s">
        <v>138</v>
      </c>
      <c r="DI3" s="47" t="s">
        <v>143</v>
      </c>
      <c r="DJ3" s="47" t="s">
        <v>165</v>
      </c>
    </row>
    <row r="4" spans="1:114" x14ac:dyDescent="0.25">
      <c r="A4" s="21" t="s">
        <v>115</v>
      </c>
      <c r="B4" s="12">
        <v>405.18200000000002</v>
      </c>
      <c r="C4" s="22">
        <v>0.26577877359715768</v>
      </c>
      <c r="D4" s="29">
        <v>0.17020346412229564</v>
      </c>
      <c r="E4" s="29">
        <v>6.2412372711522224E-2</v>
      </c>
      <c r="F4" s="12">
        <v>25.288369999999986</v>
      </c>
      <c r="G4" s="29">
        <v>-7.4144458539619304E-2</v>
      </c>
      <c r="H4" s="12">
        <v>-30.04200000000003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4">
        <f>CV4-VLOOKUP(CP4,CE:CM,7,0)</f>
        <v>1.1545475105230019E-2</v>
      </c>
      <c r="DA4" s="63" t="s">
        <v>115</v>
      </c>
      <c r="DB4" s="64">
        <v>405.18200000000002</v>
      </c>
      <c r="DC4" s="65">
        <v>0.26577877359715768</v>
      </c>
      <c r="DD4" s="66">
        <v>0.17020346412229564</v>
      </c>
      <c r="DE4" s="66">
        <v>6.2412372711522224E-2</v>
      </c>
      <c r="DF4" s="64">
        <v>25.288369999999986</v>
      </c>
      <c r="DG4" s="66">
        <v>-7.4144458539619304E-2</v>
      </c>
      <c r="DH4" s="64">
        <v>-30.04200000000003</v>
      </c>
      <c r="DI4" s="41">
        <f>DH4-VLOOKUP(DA4,CP:CX,8,0)</f>
        <v>-23.934800000000024</v>
      </c>
      <c r="DJ4" s="54">
        <f>DG4-VLOOKUP(DA4,CP:CX,7,0)</f>
        <v>-4.5346691743436848E-2</v>
      </c>
    </row>
    <row r="5" spans="1:114" x14ac:dyDescent="0.25">
      <c r="A5" s="21" t="s">
        <v>40</v>
      </c>
      <c r="B5" s="12">
        <v>326.87035700000001</v>
      </c>
      <c r="C5" s="22">
        <v>0.21441032081564609</v>
      </c>
      <c r="D5" s="29">
        <v>0.37316652662664057</v>
      </c>
      <c r="E5" s="29">
        <v>0.19741585927903493</v>
      </c>
      <c r="F5" s="12">
        <v>64.529392399999949</v>
      </c>
      <c r="G5" s="29">
        <v>-0.13036696227550557</v>
      </c>
      <c r="H5" s="12">
        <v>-42.613095500000043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4">
        <f t="shared" ref="CY5:CY14" si="9">CV5-VLOOKUP(CP5,CE:CM,7,0)</f>
        <v>-4.037526769658701E-3</v>
      </c>
      <c r="DA5" s="63" t="s">
        <v>40</v>
      </c>
      <c r="DB5" s="64">
        <v>326.87035700000001</v>
      </c>
      <c r="DC5" s="65">
        <v>0.21441032081564609</v>
      </c>
      <c r="DD5" s="66">
        <v>0.37316652662664057</v>
      </c>
      <c r="DE5" s="66">
        <v>0.19741585927903493</v>
      </c>
      <c r="DF5" s="64">
        <v>64.529392399999949</v>
      </c>
      <c r="DG5" s="66">
        <v>-0.13036696227550557</v>
      </c>
      <c r="DH5" s="64">
        <v>-42.613095500000043</v>
      </c>
      <c r="DI5" s="41">
        <f t="shared" ref="DI5:DI14" si="10">DH5-VLOOKUP(DA5,CP:CX,8,0)</f>
        <v>-13.880736500000012</v>
      </c>
      <c r="DJ5" s="54">
        <f t="shared" ref="DJ5:DJ14" si="11">DG5-VLOOKUP(DA5,CP:CX,7,0)</f>
        <v>-3.9690809013084388E-2</v>
      </c>
    </row>
    <row r="6" spans="1:114" x14ac:dyDescent="0.25">
      <c r="A6" s="21" t="s">
        <v>38</v>
      </c>
      <c r="B6" s="12">
        <v>289.90281599999997</v>
      </c>
      <c r="C6" s="22">
        <v>0.19016149507836591</v>
      </c>
      <c r="D6" s="29">
        <v>0.18629770618302655</v>
      </c>
      <c r="E6" s="29">
        <v>0.12853694904709045</v>
      </c>
      <c r="F6" s="12">
        <v>37.263223488800008</v>
      </c>
      <c r="G6" s="29">
        <v>2.5912994235971806E-2</v>
      </c>
      <c r="H6" s="12">
        <v>7.5122499999999945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4">
        <f t="shared" si="9"/>
        <v>3.3036023220376895E-2</v>
      </c>
      <c r="DA6" s="63" t="s">
        <v>38</v>
      </c>
      <c r="DB6" s="64">
        <v>289.90281599999997</v>
      </c>
      <c r="DC6" s="65">
        <v>0.19016149507836591</v>
      </c>
      <c r="DD6" s="66">
        <v>0.18629770618302655</v>
      </c>
      <c r="DE6" s="66">
        <v>0.12853694904709045</v>
      </c>
      <c r="DF6" s="64">
        <v>37.263223488800008</v>
      </c>
      <c r="DG6" s="66">
        <v>2.5912994235971806E-2</v>
      </c>
      <c r="DH6" s="64">
        <v>7.5122499999999945</v>
      </c>
      <c r="DI6" s="41">
        <f t="shared" si="10"/>
        <v>-4.9715999999989435E-2</v>
      </c>
      <c r="DJ6" s="54">
        <f t="shared" si="11"/>
        <v>-7.9623474268431318E-4</v>
      </c>
    </row>
    <row r="7" spans="1:114" x14ac:dyDescent="0.25">
      <c r="A7" s="21" t="s">
        <v>36</v>
      </c>
      <c r="B7" s="12">
        <v>280.56123500000001</v>
      </c>
      <c r="C7" s="22">
        <v>0.1840338933052405</v>
      </c>
      <c r="D7" s="29">
        <v>0.3172002082803777</v>
      </c>
      <c r="E7" s="29">
        <v>0.25314434440666789</v>
      </c>
      <c r="F7" s="12">
        <v>71.022489900000096</v>
      </c>
      <c r="G7" s="29">
        <v>-0.103198437232428</v>
      </c>
      <c r="H7" s="12">
        <v>-28.953480999999982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4">
        <f t="shared" si="9"/>
        <v>2.9144818740805031E-2</v>
      </c>
      <c r="DA7" s="63" t="s">
        <v>36</v>
      </c>
      <c r="DB7" s="64">
        <v>280.56123500000001</v>
      </c>
      <c r="DC7" s="65">
        <v>0.1840338933052405</v>
      </c>
      <c r="DD7" s="66">
        <v>0.3172002082803777</v>
      </c>
      <c r="DE7" s="66">
        <v>0.25314434440666789</v>
      </c>
      <c r="DF7" s="64">
        <v>71.022489900000096</v>
      </c>
      <c r="DG7" s="66">
        <v>-0.103198437232428</v>
      </c>
      <c r="DH7" s="64">
        <v>-28.953480999999982</v>
      </c>
      <c r="DI7" s="41">
        <f t="shared" si="10"/>
        <v>-17.823400999999961</v>
      </c>
      <c r="DJ7" s="54">
        <f t="shared" si="11"/>
        <v>-5.385685622125834E-2</v>
      </c>
    </row>
    <row r="8" spans="1:114" x14ac:dyDescent="0.25">
      <c r="A8" s="21" t="s">
        <v>37</v>
      </c>
      <c r="B8" s="12">
        <v>145.98324300000002</v>
      </c>
      <c r="C8" s="22">
        <v>9.575757879243367E-2</v>
      </c>
      <c r="D8" s="29">
        <v>0.34942833661463457</v>
      </c>
      <c r="E8" s="29">
        <v>0.10057388070355455</v>
      </c>
      <c r="F8" s="12">
        <v>14.682101266200021</v>
      </c>
      <c r="G8" s="29">
        <v>4.138954496304758E-2</v>
      </c>
      <c r="H8" s="12">
        <v>6.0421800000000019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4">
        <f t="shared" si="9"/>
        <v>2.4520796858871138E-2</v>
      </c>
      <c r="DA8" s="63" t="s">
        <v>37</v>
      </c>
      <c r="DB8" s="64">
        <v>145.98324300000002</v>
      </c>
      <c r="DC8" s="65">
        <v>9.575757879243367E-2</v>
      </c>
      <c r="DD8" s="66">
        <v>0.34942833661463457</v>
      </c>
      <c r="DE8" s="66">
        <v>0.10057388070355455</v>
      </c>
      <c r="DF8" s="64">
        <v>14.682101266200021</v>
      </c>
      <c r="DG8" s="66">
        <v>4.138954496304758E-2</v>
      </c>
      <c r="DH8" s="64">
        <v>6.0421800000000019</v>
      </c>
      <c r="DI8" s="41">
        <f t="shared" si="10"/>
        <v>-10.85793000000001</v>
      </c>
      <c r="DJ8" s="54">
        <f t="shared" si="11"/>
        <v>-0.10572212679753806</v>
      </c>
    </row>
    <row r="9" spans="1:114" x14ac:dyDescent="0.25">
      <c r="A9" s="21" t="s">
        <v>39</v>
      </c>
      <c r="B9" s="12">
        <v>66.009600999999989</v>
      </c>
      <c r="C9" s="22">
        <v>4.3298939240681254E-2</v>
      </c>
      <c r="D9" s="29">
        <v>0.35602771752551582</v>
      </c>
      <c r="E9" s="29">
        <v>0.10497048959893007</v>
      </c>
      <c r="F9" s="12">
        <v>6.9290601352000181</v>
      </c>
      <c r="G9" s="29">
        <v>-5.5669568431416197E-2</v>
      </c>
      <c r="H9" s="12">
        <v>-3.6747259999999784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4">
        <f t="shared" si="9"/>
        <v>2.3832078609292026E-2</v>
      </c>
      <c r="DA9" s="63" t="s">
        <v>39</v>
      </c>
      <c r="DB9" s="64">
        <v>66.009600999999989</v>
      </c>
      <c r="DC9" s="65">
        <v>4.3298939240681254E-2</v>
      </c>
      <c r="DD9" s="66">
        <v>0.35602771752551582</v>
      </c>
      <c r="DE9" s="66">
        <v>0.10497048959893007</v>
      </c>
      <c r="DF9" s="64">
        <v>6.9290601352000181</v>
      </c>
      <c r="DG9" s="66">
        <v>-5.5669568431416197E-2</v>
      </c>
      <c r="DH9" s="64">
        <v>-3.6747259999999784</v>
      </c>
      <c r="DI9" s="41">
        <f t="shared" si="10"/>
        <v>0.32827500000000498</v>
      </c>
      <c r="DJ9" s="54">
        <f t="shared" si="11"/>
        <v>4.9731401951665366E-3</v>
      </c>
    </row>
    <row r="10" spans="1:114" x14ac:dyDescent="0.25">
      <c r="A10" s="21" t="s">
        <v>96</v>
      </c>
      <c r="B10" s="12">
        <v>9.99925</v>
      </c>
      <c r="C10" s="22">
        <v>6.5589991704749443E-3</v>
      </c>
      <c r="D10" s="29">
        <v>0.2</v>
      </c>
      <c r="E10" s="29">
        <v>0.19999999999999996</v>
      </c>
      <c r="F10" s="12">
        <v>1.9998499999999986</v>
      </c>
      <c r="G10" s="29">
        <v>-0.23361127084531341</v>
      </c>
      <c r="H10" s="12">
        <v>-2.3359375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4">
        <f t="shared" si="9"/>
        <v>-1.4951121334100204E-2</v>
      </c>
      <c r="DA10" s="63" t="s">
        <v>96</v>
      </c>
      <c r="DB10" s="64">
        <v>9.99925</v>
      </c>
      <c r="DC10" s="65">
        <v>6.5589991704749443E-3</v>
      </c>
      <c r="DD10" s="66">
        <v>0.2</v>
      </c>
      <c r="DE10" s="66">
        <v>0.19999999999999996</v>
      </c>
      <c r="DF10" s="64">
        <v>1.9998499999999986</v>
      </c>
      <c r="DG10" s="66">
        <v>-0.23361127084531341</v>
      </c>
      <c r="DH10" s="64">
        <v>-2.3359375</v>
      </c>
      <c r="DI10" s="41">
        <f t="shared" si="10"/>
        <v>-1.4446874999999988</v>
      </c>
      <c r="DJ10" s="54">
        <f t="shared" si="11"/>
        <v>-0.14447958596894755</v>
      </c>
    </row>
    <row r="11" spans="1:114" x14ac:dyDescent="0.25">
      <c r="A11" s="21" t="s">
        <v>74</v>
      </c>
      <c r="B11" s="12">
        <v>2.9136552000000001E-16</v>
      </c>
      <c r="C11" s="22">
        <v>1.9112095447008535E-19</v>
      </c>
      <c r="D11" s="29">
        <v>0.48159901967810059</v>
      </c>
      <c r="E11" s="29">
        <v>9.9274912144717842E-2</v>
      </c>
      <c r="F11" s="12">
        <v>2.8925286400000047E-17</v>
      </c>
      <c r="G11" s="29">
        <v>0</v>
      </c>
      <c r="H11" s="12">
        <v>0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4">
        <f t="shared" si="9"/>
        <v>0</v>
      </c>
      <c r="DA11" s="63" t="s">
        <v>74</v>
      </c>
      <c r="DB11" s="64">
        <v>2.9136552000000001E-16</v>
      </c>
      <c r="DC11" s="65">
        <v>1.9112095447008535E-19</v>
      </c>
      <c r="DD11" s="66">
        <v>0.48159901967810059</v>
      </c>
      <c r="DE11" s="66">
        <v>9.9274912144717842E-2</v>
      </c>
      <c r="DF11" s="64">
        <v>2.8925286400000047E-17</v>
      </c>
      <c r="DG11" s="66">
        <v>0</v>
      </c>
      <c r="DH11" s="64">
        <v>0</v>
      </c>
      <c r="DI11" s="41">
        <f t="shared" si="10"/>
        <v>0</v>
      </c>
      <c r="DJ11" s="54">
        <f t="shared" si="11"/>
        <v>0</v>
      </c>
    </row>
    <row r="12" spans="1:114" x14ac:dyDescent="0.25">
      <c r="A12" s="21" t="s">
        <v>87</v>
      </c>
      <c r="B12" s="12">
        <v>1.3353E-17</v>
      </c>
      <c r="C12" s="22">
        <v>8.7588885089733664E-21</v>
      </c>
      <c r="D12" s="29">
        <v>0.2</v>
      </c>
      <c r="E12" s="29">
        <v>7.0000000000000062E-2</v>
      </c>
      <c r="F12" s="12">
        <v>9.3470999999999986E-19</v>
      </c>
      <c r="G12" s="29">
        <v>0</v>
      </c>
      <c r="H12" s="12">
        <v>0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4">
        <f t="shared" si="9"/>
        <v>0</v>
      </c>
      <c r="DA12" s="63" t="s">
        <v>87</v>
      </c>
      <c r="DB12" s="64">
        <v>1.3353E-17</v>
      </c>
      <c r="DC12" s="65">
        <v>8.7588885089733664E-21</v>
      </c>
      <c r="DD12" s="66">
        <v>0.2</v>
      </c>
      <c r="DE12" s="66">
        <v>7.0000000000000062E-2</v>
      </c>
      <c r="DF12" s="64">
        <v>9.3470999999999986E-19</v>
      </c>
      <c r="DG12" s="66">
        <v>0</v>
      </c>
      <c r="DH12" s="64">
        <v>0</v>
      </c>
      <c r="DI12" s="41">
        <f t="shared" si="10"/>
        <v>0</v>
      </c>
      <c r="DJ12" s="54">
        <f t="shared" si="11"/>
        <v>0</v>
      </c>
    </row>
    <row r="13" spans="1:114" x14ac:dyDescent="0.25">
      <c r="A13" s="21" t="s">
        <v>71</v>
      </c>
      <c r="B13" s="12">
        <v>5.5999999999999995E-18</v>
      </c>
      <c r="C13" s="22">
        <v>3.6733150340935256E-21</v>
      </c>
      <c r="D13" s="29">
        <v>0.19</v>
      </c>
      <c r="E13" s="29">
        <v>7.0000000000000062E-2</v>
      </c>
      <c r="F13" s="12">
        <v>3.9200000000000069E-19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4">
        <f t="shared" si="9"/>
        <v>0</v>
      </c>
      <c r="DA13" s="63" t="s">
        <v>71</v>
      </c>
      <c r="DB13" s="64">
        <v>5.5999999999999995E-18</v>
      </c>
      <c r="DC13" s="65">
        <v>3.6733150340935256E-21</v>
      </c>
      <c r="DD13" s="66">
        <v>0.19</v>
      </c>
      <c r="DE13" s="66">
        <v>7.0000000000000062E-2</v>
      </c>
      <c r="DF13" s="64">
        <v>3.9200000000000069E-19</v>
      </c>
      <c r="DG13" s="66">
        <v>0</v>
      </c>
      <c r="DH13" s="64">
        <v>0</v>
      </c>
      <c r="DI13" s="41">
        <f t="shared" si="10"/>
        <v>0</v>
      </c>
      <c r="DJ13" s="54">
        <f t="shared" si="11"/>
        <v>0</v>
      </c>
    </row>
    <row r="14" spans="1:114" x14ac:dyDescent="0.25">
      <c r="A14" s="21" t="s">
        <v>105</v>
      </c>
      <c r="B14" s="12">
        <v>1524.5085019999999</v>
      </c>
      <c r="C14" s="22">
        <v>1</v>
      </c>
      <c r="D14" s="29">
        <v>0.26923729609151098</v>
      </c>
      <c r="E14" s="29">
        <v>0.14543342126287451</v>
      </c>
      <c r="F14" s="12">
        <v>221.71448719019986</v>
      </c>
      <c r="G14" s="29">
        <v>-6.1701728705741442E-2</v>
      </c>
      <c r="H14" s="12">
        <v>-94.064810000000307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5">
        <f t="shared" si="9"/>
        <v>1.5268215964015487E-2</v>
      </c>
      <c r="DA14" s="67" t="s">
        <v>105</v>
      </c>
      <c r="DB14" s="68">
        <v>1524.5085019999999</v>
      </c>
      <c r="DC14" s="69">
        <v>1</v>
      </c>
      <c r="DD14" s="70">
        <v>0.26923729609151098</v>
      </c>
      <c r="DE14" s="70">
        <v>0.14543342126287451</v>
      </c>
      <c r="DF14" s="68">
        <v>221.71448719019986</v>
      </c>
      <c r="DG14" s="70">
        <v>-6.1701728705741442E-2</v>
      </c>
      <c r="DH14" s="68">
        <v>-94.064810000000307</v>
      </c>
      <c r="DI14" s="24">
        <f t="shared" si="10"/>
        <v>-67.662996000000248</v>
      </c>
      <c r="DJ14" s="55">
        <f t="shared" si="11"/>
        <v>-4.0211016086980758E-2</v>
      </c>
    </row>
    <row r="19" spans="61:69" x14ac:dyDescent="0.25">
      <c r="BJ19" s="59">
        <v>45715</v>
      </c>
      <c r="BK19" s="59"/>
      <c r="BL19" s="59"/>
      <c r="BM19" s="59"/>
      <c r="BN19" s="59"/>
      <c r="BO19" s="59"/>
      <c r="BP19" s="59"/>
      <c r="BQ19" s="59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141</v>
      </c>
      <c r="BM20" s="45" t="s">
        <v>111</v>
      </c>
      <c r="BN20" s="45" t="s">
        <v>112</v>
      </c>
      <c r="BO20" s="45" t="s">
        <v>137</v>
      </c>
      <c r="BP20" s="45" t="s">
        <v>138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5">
    <mergeCell ref="DB1:DI1"/>
    <mergeCell ref="DB2:DI2"/>
    <mergeCell ref="L1:P1"/>
    <mergeCell ref="L2:P2"/>
    <mergeCell ref="R2:S2"/>
    <mergeCell ref="R1:S1"/>
    <mergeCell ref="V2:Z2"/>
    <mergeCell ref="V1:Z1"/>
    <mergeCell ref="AC1:AG1"/>
    <mergeCell ref="AC2:AG2"/>
    <mergeCell ref="AY2:BF2"/>
    <mergeCell ref="AY1:BF1"/>
    <mergeCell ref="AQ2:AV2"/>
    <mergeCell ref="AQ1:AV1"/>
    <mergeCell ref="AJ1:AN1"/>
    <mergeCell ref="AJ2:AN2"/>
    <mergeCell ref="CQ1:CX1"/>
    <mergeCell ref="CQ2:CX2"/>
    <mergeCell ref="CF1:CM1"/>
    <mergeCell ref="CF2:CM2"/>
    <mergeCell ref="BJ19:BQ19"/>
    <mergeCell ref="BJ1:BQ1"/>
    <mergeCell ref="BJ2:BQ2"/>
    <mergeCell ref="BU1:CB1"/>
    <mergeCell ref="BU2:CB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Q1" sqref="AQ1:BA1048576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122</v>
      </c>
      <c r="C2" t="s">
        <v>123</v>
      </c>
      <c r="D2" t="s">
        <v>120</v>
      </c>
      <c r="E2" s="29">
        <v>8.8700000000000001E-2</v>
      </c>
      <c r="G2" t="s">
        <v>122</v>
      </c>
      <c r="H2" t="s">
        <v>123</v>
      </c>
      <c r="I2" t="s">
        <v>120</v>
      </c>
      <c r="J2" s="29">
        <v>0.24129999999999999</v>
      </c>
      <c r="M2" t="s">
        <v>122</v>
      </c>
      <c r="N2" t="s">
        <v>123</v>
      </c>
      <c r="O2" t="s">
        <v>120</v>
      </c>
      <c r="P2" s="29">
        <v>0.44950000000000001</v>
      </c>
      <c r="R2" t="s">
        <v>122</v>
      </c>
      <c r="S2" t="s">
        <v>123</v>
      </c>
      <c r="T2" t="s">
        <v>120</v>
      </c>
      <c r="U2" s="29">
        <v>0.54500000000000004</v>
      </c>
      <c r="X2" t="s">
        <v>122</v>
      </c>
      <c r="Y2" t="s">
        <v>123</v>
      </c>
      <c r="Z2" t="s">
        <v>120</v>
      </c>
      <c r="AA2" s="29">
        <v>8.6900000000000005E-2</v>
      </c>
      <c r="AD2" t="s">
        <v>122</v>
      </c>
      <c r="AE2" t="s">
        <v>123</v>
      </c>
      <c r="AF2" t="s">
        <v>120</v>
      </c>
      <c r="AG2" s="29">
        <v>0.1434</v>
      </c>
      <c r="AL2" t="s">
        <v>122</v>
      </c>
      <c r="AM2" t="s">
        <v>123</v>
      </c>
      <c r="AN2" t="s">
        <v>120</v>
      </c>
      <c r="AO2" s="29">
        <v>0.23449999999999999</v>
      </c>
    </row>
    <row r="3" spans="2:41" x14ac:dyDescent="0.25">
      <c r="B3" t="s">
        <v>122</v>
      </c>
      <c r="C3" t="s">
        <v>123</v>
      </c>
      <c r="D3" t="s">
        <v>124</v>
      </c>
      <c r="E3" s="29">
        <v>0.1077</v>
      </c>
      <c r="G3" t="s">
        <v>122</v>
      </c>
      <c r="H3" t="s">
        <v>123</v>
      </c>
      <c r="I3" t="s">
        <v>124</v>
      </c>
      <c r="J3" s="29">
        <v>0.30709999999999998</v>
      </c>
      <c r="M3" t="s">
        <v>122</v>
      </c>
      <c r="N3" t="s">
        <v>123</v>
      </c>
      <c r="O3" t="s">
        <v>124</v>
      </c>
      <c r="P3" s="29">
        <v>0.46850000000000003</v>
      </c>
      <c r="R3" t="s">
        <v>122</v>
      </c>
      <c r="S3" t="s">
        <v>123</v>
      </c>
      <c r="T3" t="s">
        <v>124</v>
      </c>
      <c r="U3" s="29">
        <v>0.3967</v>
      </c>
      <c r="X3" t="s">
        <v>122</v>
      </c>
      <c r="Y3" t="s">
        <v>123</v>
      </c>
      <c r="Z3" t="s">
        <v>124</v>
      </c>
      <c r="AA3" s="29">
        <v>0.1148</v>
      </c>
      <c r="AD3" t="s">
        <v>122</v>
      </c>
      <c r="AE3" t="s">
        <v>123</v>
      </c>
      <c r="AF3" t="s">
        <v>124</v>
      </c>
      <c r="AG3" s="29">
        <v>0.15690000000000001</v>
      </c>
      <c r="AL3" t="s">
        <v>122</v>
      </c>
      <c r="AM3" t="s">
        <v>123</v>
      </c>
      <c r="AN3" t="s">
        <v>124</v>
      </c>
      <c r="AO3" s="29">
        <v>0.21890000000000001</v>
      </c>
    </row>
    <row r="4" spans="2:41" x14ac:dyDescent="0.25">
      <c r="X4" t="s">
        <v>146</v>
      </c>
      <c r="AA4" s="22">
        <v>1</v>
      </c>
      <c r="AD4" t="s">
        <v>146</v>
      </c>
      <c r="AG4" s="22">
        <v>0.65</v>
      </c>
      <c r="AL4" t="s">
        <v>146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121</v>
      </c>
      <c r="E5" s="39" t="s">
        <v>125</v>
      </c>
      <c r="G5" s="39" t="s">
        <v>82</v>
      </c>
      <c r="H5" s="39" t="s">
        <v>2</v>
      </c>
      <c r="I5" s="39" t="s">
        <v>121</v>
      </c>
      <c r="J5" s="39" t="s">
        <v>125</v>
      </c>
      <c r="M5" s="39" t="s">
        <v>82</v>
      </c>
      <c r="N5" s="39" t="s">
        <v>2</v>
      </c>
      <c r="O5" s="39" t="s">
        <v>121</v>
      </c>
      <c r="P5" s="39" t="s">
        <v>125</v>
      </c>
      <c r="R5" s="39" t="s">
        <v>82</v>
      </c>
      <c r="S5" s="39" t="s">
        <v>2</v>
      </c>
      <c r="T5" s="39" t="s">
        <v>121</v>
      </c>
      <c r="U5" s="39" t="s">
        <v>125</v>
      </c>
      <c r="X5" t="s">
        <v>133</v>
      </c>
      <c r="AC5" t="s">
        <v>145</v>
      </c>
      <c r="AD5" t="s">
        <v>133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121</v>
      </c>
      <c r="AA6" s="39" t="s">
        <v>125</v>
      </c>
      <c r="AD6" s="39" t="s">
        <v>82</v>
      </c>
      <c r="AE6" s="39" t="s">
        <v>2</v>
      </c>
      <c r="AF6" s="39" t="s">
        <v>132</v>
      </c>
      <c r="AG6" s="39" t="s">
        <v>125</v>
      </c>
      <c r="AI6" s="48" t="s">
        <v>147</v>
      </c>
      <c r="AJ6" s="39" t="s">
        <v>125</v>
      </c>
      <c r="AL6" s="39" t="s">
        <v>82</v>
      </c>
      <c r="AM6" s="39" t="s">
        <v>2</v>
      </c>
      <c r="AN6" s="39" t="s">
        <v>132</v>
      </c>
      <c r="AO6" s="39" t="s">
        <v>125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148</v>
      </c>
      <c r="AD18" t="s">
        <v>122</v>
      </c>
      <c r="AE18" t="s">
        <v>123</v>
      </c>
      <c r="AF18" t="s">
        <v>120</v>
      </c>
      <c r="AG18" s="29">
        <v>0.13339999999999999</v>
      </c>
      <c r="AL18" t="s">
        <v>152</v>
      </c>
    </row>
    <row r="19" spans="2:38" x14ac:dyDescent="0.25">
      <c r="B19" t="s">
        <v>122</v>
      </c>
      <c r="C19" t="s">
        <v>123</v>
      </c>
      <c r="D19" t="s">
        <v>120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149</v>
      </c>
      <c r="AD19" t="s">
        <v>122</v>
      </c>
      <c r="AE19" t="s">
        <v>123</v>
      </c>
      <c r="AF19" t="s">
        <v>124</v>
      </c>
      <c r="AG19" s="29">
        <v>0.13569999999999999</v>
      </c>
    </row>
    <row r="20" spans="2:38" x14ac:dyDescent="0.25">
      <c r="B20" t="s">
        <v>122</v>
      </c>
      <c r="C20" t="s">
        <v>123</v>
      </c>
      <c r="D20" t="s">
        <v>124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146</v>
      </c>
      <c r="AG20" s="22">
        <v>0.81</v>
      </c>
    </row>
    <row r="21" spans="2:38" x14ac:dyDescent="0.25">
      <c r="B21" t="s">
        <v>146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133</v>
      </c>
    </row>
    <row r="22" spans="2:38" x14ac:dyDescent="0.25">
      <c r="B22" t="s">
        <v>155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132</v>
      </c>
      <c r="AG22" s="39" t="s">
        <v>125</v>
      </c>
    </row>
    <row r="23" spans="2:38" x14ac:dyDescent="0.25">
      <c r="B23" s="39" t="s">
        <v>82</v>
      </c>
      <c r="C23" s="39" t="s">
        <v>2</v>
      </c>
      <c r="D23" s="39" t="s">
        <v>121</v>
      </c>
      <c r="E23" s="39" t="s">
        <v>125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156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150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151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2025-04-04T17:34:29Z</dcterms:modified>
</cp:coreProperties>
</file>