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D:\Professional_WorkTools\Github\StockSillines\"/>
    </mc:Choice>
  </mc:AlternateContent>
  <xr:revisionPtr revIDLastSave="0" documentId="13_ncr:1_{37790151-5766-42F4-A60F-489C3A3854C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ositions" sheetId="1" r:id="rId1"/>
    <sheet name="Sheet2" sheetId="3" r:id="rId2"/>
    <sheet name="Sheet3" sheetId="5" r:id="rId3"/>
    <sheet name="Sheet1" sheetId="4" r:id="rId4"/>
  </sheets>
  <definedNames>
    <definedName name="_xlnm._FilterDatabase" localSheetId="0" hidden="1">Positions!$A$1:$X$46</definedName>
    <definedName name="_xlnm._FilterDatabase" localSheetId="3" hidden="1">Sheet1!$R$5:$U$42</definedName>
  </definedNames>
  <calcPr calcId="191029"/>
  <pivotCaches>
    <pivotCache cacheId="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6" i="1" l="1"/>
  <c r="DJ14" i="3"/>
  <c r="DI14" i="3"/>
  <c r="DJ13" i="3"/>
  <c r="DI13" i="3"/>
  <c r="DJ12" i="3"/>
  <c r="DI12" i="3"/>
  <c r="DJ11" i="3"/>
  <c r="DI11" i="3"/>
  <c r="DJ10" i="3"/>
  <c r="DI10" i="3"/>
  <c r="DJ9" i="3"/>
  <c r="DI9" i="3"/>
  <c r="DJ8" i="3"/>
  <c r="DI8" i="3"/>
  <c r="DJ7" i="3"/>
  <c r="DI7" i="3"/>
  <c r="DJ6" i="3"/>
  <c r="DI6" i="3"/>
  <c r="DJ5" i="3"/>
  <c r="DI5" i="3"/>
  <c r="DJ4" i="3"/>
  <c r="DI4" i="3"/>
  <c r="R3" i="1"/>
  <c r="T3" i="1" s="1"/>
  <c r="M3" i="1"/>
  <c r="S3" i="1" s="1"/>
  <c r="J3" i="1"/>
  <c r="G3" i="1"/>
  <c r="L3" i="1" s="1"/>
  <c r="O21" i="1" a="1"/>
  <c r="O22" i="1" a="1"/>
  <c r="O13" i="1" a="1"/>
  <c r="O24" i="1" a="1"/>
  <c r="O17" i="1" a="1"/>
  <c r="O8" i="1" a="1"/>
  <c r="O7" i="1" a="1"/>
  <c r="O25" i="1" a="1"/>
  <c r="O10" i="1" a="1"/>
  <c r="O23" i="1" a="1"/>
  <c r="O9" i="1" a="1"/>
  <c r="U3" i="1" l="1"/>
  <c r="O22" i="1"/>
  <c r="O24" i="1"/>
  <c r="O21" i="1"/>
  <c r="O9" i="1"/>
  <c r="O23" i="1"/>
  <c r="O10" i="1"/>
  <c r="O25" i="1"/>
  <c r="O7" i="1"/>
  <c r="O8" i="1"/>
  <c r="O17" i="1"/>
  <c r="O13" i="1"/>
  <c r="P3" i="1"/>
  <c r="Q3" i="1" s="1"/>
  <c r="N3" i="1"/>
  <c r="BF4" i="3"/>
  <c r="BG4" i="3"/>
  <c r="BQ4" i="3"/>
  <c r="BR4" i="3"/>
  <c r="CB4" i="3"/>
  <c r="CC4" i="3"/>
  <c r="CM4" i="3"/>
  <c r="CN4" i="3"/>
  <c r="BF5" i="3"/>
  <c r="BG5" i="3"/>
  <c r="BQ5" i="3"/>
  <c r="BR5" i="3"/>
  <c r="CB5" i="3"/>
  <c r="CC5" i="3"/>
  <c r="CM5" i="3"/>
  <c r="CN5" i="3"/>
  <c r="BF6" i="3"/>
  <c r="BG6" i="3"/>
  <c r="BQ6" i="3"/>
  <c r="BR6" i="3"/>
  <c r="CB6" i="3"/>
  <c r="CC6" i="3"/>
  <c r="CM6" i="3"/>
  <c r="CN6" i="3"/>
  <c r="BF7" i="3"/>
  <c r="BG7" i="3"/>
  <c r="BQ7" i="3"/>
  <c r="BR7" i="3"/>
  <c r="CB7" i="3"/>
  <c r="CC7" i="3"/>
  <c r="CM7" i="3"/>
  <c r="CN7" i="3"/>
  <c r="BF8" i="3"/>
  <c r="BG8" i="3"/>
  <c r="BQ8" i="3"/>
  <c r="BR8" i="3"/>
  <c r="CB8" i="3"/>
  <c r="CC8" i="3"/>
  <c r="CM8" i="3"/>
  <c r="CN8" i="3"/>
  <c r="BF9" i="3"/>
  <c r="BG9" i="3"/>
  <c r="BQ9" i="3"/>
  <c r="BR9" i="3"/>
  <c r="CB9" i="3"/>
  <c r="CC9" i="3"/>
  <c r="CM9" i="3"/>
  <c r="CN9" i="3"/>
  <c r="BF10" i="3"/>
  <c r="BG10" i="3"/>
  <c r="BQ10" i="3"/>
  <c r="BR10" i="3"/>
  <c r="CB10" i="3"/>
  <c r="CC10" i="3"/>
  <c r="CM10" i="3"/>
  <c r="CN10" i="3"/>
  <c r="BF11" i="3"/>
  <c r="BG11" i="3"/>
  <c r="BQ11" i="3"/>
  <c r="BR11" i="3"/>
  <c r="CB11" i="3"/>
  <c r="CC11" i="3"/>
  <c r="CM11" i="3"/>
  <c r="CN11" i="3"/>
  <c r="BF12" i="3"/>
  <c r="BG12" i="3"/>
  <c r="BQ12" i="3"/>
  <c r="BR12" i="3"/>
  <c r="CB12" i="3"/>
  <c r="CC12" i="3"/>
  <c r="CM12" i="3"/>
  <c r="CN12" i="3"/>
  <c r="P13" i="3"/>
  <c r="Z13" i="3"/>
  <c r="BF13" i="3"/>
  <c r="BG13" i="3"/>
  <c r="BQ13" i="3"/>
  <c r="BR13" i="3"/>
  <c r="CB13" i="3"/>
  <c r="CC13" i="3"/>
  <c r="CM13" i="3"/>
  <c r="CN13" i="3"/>
  <c r="AG14" i="3"/>
  <c r="AN14" i="3"/>
  <c r="BF14" i="3"/>
  <c r="BG14" i="3"/>
  <c r="BQ14" i="3"/>
  <c r="BR14" i="3"/>
  <c r="CB14" i="3"/>
  <c r="CC14" i="3"/>
  <c r="CM14" i="3"/>
  <c r="CN14" i="3"/>
  <c r="O2" i="1" a="1"/>
  <c r="O2" i="1" l="1"/>
  <c r="CY14" i="3"/>
  <c r="CX14" i="3"/>
  <c r="CY13" i="3"/>
  <c r="CX13" i="3"/>
  <c r="CY12" i="3"/>
  <c r="CX12" i="3"/>
  <c r="CY11" i="3"/>
  <c r="CX11" i="3"/>
  <c r="CY10" i="3"/>
  <c r="CX10" i="3"/>
  <c r="CY9" i="3"/>
  <c r="CX9" i="3"/>
  <c r="CY8" i="3"/>
  <c r="CX8" i="3"/>
  <c r="CY7" i="3"/>
  <c r="CX7" i="3"/>
  <c r="CY6" i="3"/>
  <c r="CX6" i="3"/>
  <c r="CY5" i="3"/>
  <c r="CX5" i="3"/>
  <c r="CY4" i="3"/>
  <c r="CX4" i="3"/>
  <c r="CN2" i="3"/>
  <c r="CO2" i="3" s="1"/>
  <c r="O46" i="1"/>
  <c r="P46" i="1" s="1"/>
  <c r="O45" i="1"/>
  <c r="P45" i="1" s="1"/>
  <c r="O44" i="1"/>
  <c r="P44" i="1" s="1"/>
  <c r="O43" i="1"/>
  <c r="P43" i="1" s="1"/>
  <c r="O42" i="1"/>
  <c r="P42" i="1" s="1"/>
  <c r="O41" i="1"/>
  <c r="P41" i="1" s="1"/>
  <c r="O40" i="1"/>
  <c r="P40" i="1" s="1"/>
  <c r="O39" i="1"/>
  <c r="P39" i="1" s="1"/>
  <c r="O38" i="1"/>
  <c r="P38" i="1" s="1"/>
  <c r="O37" i="1"/>
  <c r="P37" i="1" s="1"/>
  <c r="O35" i="1"/>
  <c r="P35" i="1" s="1"/>
  <c r="O34" i="1"/>
  <c r="P34" i="1" s="1"/>
  <c r="O33" i="1"/>
  <c r="P33" i="1" s="1"/>
  <c r="O32" i="1"/>
  <c r="P32" i="1" s="1"/>
  <c r="O31" i="1"/>
  <c r="P31" i="1" s="1"/>
  <c r="O30" i="1"/>
  <c r="P30" i="1" s="1"/>
  <c r="O29" i="1"/>
  <c r="P29" i="1" s="1"/>
  <c r="O28" i="1"/>
  <c r="P28" i="1" s="1"/>
  <c r="O27" i="1"/>
  <c r="P27" i="1" s="1"/>
  <c r="O26" i="1"/>
  <c r="P26" i="1" s="1"/>
  <c r="CC2" i="3"/>
  <c r="CD2" i="3" s="1"/>
  <c r="AG32" i="4"/>
  <c r="AG31" i="4"/>
  <c r="AG30" i="4"/>
  <c r="AG29" i="4"/>
  <c r="AG28" i="4"/>
  <c r="AG27" i="4"/>
  <c r="AG26" i="4"/>
  <c r="AG25" i="4"/>
  <c r="AG24" i="4"/>
  <c r="AG23" i="4"/>
  <c r="E34" i="4"/>
  <c r="E33" i="4"/>
  <c r="E32" i="4"/>
  <c r="E31" i="4"/>
  <c r="E30" i="4"/>
  <c r="E29" i="4"/>
  <c r="E28" i="4"/>
  <c r="E27" i="4"/>
  <c r="E26" i="4"/>
  <c r="E25" i="4"/>
  <c r="E24" i="4"/>
  <c r="AO15" i="4"/>
  <c r="AO14" i="4"/>
  <c r="AO13" i="4"/>
  <c r="AO12" i="4"/>
  <c r="AO11" i="4"/>
  <c r="AO10" i="4"/>
  <c r="AO9" i="4"/>
  <c r="AO8" i="4"/>
  <c r="AO7" i="4"/>
  <c r="AA7" i="4"/>
  <c r="CY2" i="3" l="1"/>
  <c r="CZ2" i="3" s="1"/>
  <c r="P24" i="1"/>
  <c r="P9" i="1"/>
  <c r="P16" i="1"/>
  <c r="P6" i="1"/>
  <c r="P22" i="1"/>
  <c r="P15" i="1"/>
  <c r="P8" i="1"/>
  <c r="P21" i="1"/>
  <c r="P14" i="1"/>
  <c r="P4" i="1"/>
  <c r="P7" i="1"/>
  <c r="P25" i="1"/>
  <c r="P19" i="1"/>
  <c r="P10" i="1"/>
  <c r="P5" i="1"/>
  <c r="P17" i="1"/>
  <c r="P12" i="1"/>
  <c r="P13" i="1"/>
  <c r="P23" i="1"/>
  <c r="P18" i="1"/>
  <c r="P11" i="1"/>
  <c r="P2" i="1"/>
  <c r="AI8" i="4"/>
  <c r="AJ8" i="4" s="1"/>
  <c r="AI9" i="4"/>
  <c r="AJ9" i="4" s="1"/>
  <c r="AI10" i="4"/>
  <c r="AJ10" i="4" s="1"/>
  <c r="AI11" i="4"/>
  <c r="AJ11" i="4" s="1"/>
  <c r="AI12" i="4"/>
  <c r="AJ12" i="4" s="1"/>
  <c r="AI13" i="4"/>
  <c r="AJ13" i="4" s="1"/>
  <c r="AI14" i="4"/>
  <c r="AJ14" i="4" s="1"/>
  <c r="AI15" i="4"/>
  <c r="AJ15" i="4" s="1"/>
  <c r="AI16" i="4"/>
  <c r="AJ16" i="4" s="1"/>
  <c r="AI7" i="4"/>
  <c r="AJ7" i="4" s="1"/>
  <c r="AG16" i="4"/>
  <c r="AG15" i="4"/>
  <c r="AG14" i="4"/>
  <c r="AG13" i="4"/>
  <c r="AG12" i="4"/>
  <c r="AG11" i="4"/>
  <c r="AG10" i="4"/>
  <c r="AG9" i="4"/>
  <c r="AG8" i="4"/>
  <c r="AG7" i="4"/>
  <c r="AA16" i="4"/>
  <c r="AA15" i="4"/>
  <c r="AA14" i="4"/>
  <c r="AA13" i="4"/>
  <c r="AA12" i="4"/>
  <c r="AA11" i="4"/>
  <c r="AA10" i="4"/>
  <c r="AA9" i="4"/>
  <c r="AA8" i="4"/>
  <c r="BR2" i="3" l="1"/>
  <c r="BS2" i="3" s="1"/>
  <c r="BG2" i="3" l="1"/>
  <c r="BH2" i="3" s="1"/>
  <c r="U7" i="4" l="1"/>
  <c r="U8" i="4"/>
  <c r="U9" i="4"/>
  <c r="U10" i="4"/>
  <c r="U11" i="4"/>
  <c r="U12" i="4"/>
  <c r="U13" i="4"/>
  <c r="U14" i="4"/>
  <c r="U15" i="4"/>
  <c r="U16" i="4"/>
  <c r="U17" i="4"/>
  <c r="U18" i="4"/>
  <c r="U19" i="4"/>
  <c r="U20" i="4"/>
  <c r="U21" i="4"/>
  <c r="U22" i="4"/>
  <c r="U23" i="4"/>
  <c r="U24" i="4"/>
  <c r="U25" i="4"/>
  <c r="U26" i="4"/>
  <c r="U27" i="4"/>
  <c r="U28" i="4"/>
  <c r="U29" i="4"/>
  <c r="U30" i="4"/>
  <c r="U31" i="4"/>
  <c r="U32" i="4"/>
  <c r="U33" i="4"/>
  <c r="U34" i="4"/>
  <c r="U35" i="4"/>
  <c r="U36" i="4"/>
  <c r="U37" i="4"/>
  <c r="U38" i="4"/>
  <c r="U39" i="4"/>
  <c r="U40" i="4"/>
  <c r="U41" i="4"/>
  <c r="U42" i="4"/>
  <c r="U6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7" i="4"/>
  <c r="P6" i="4"/>
  <c r="R4" i="1"/>
  <c r="T4" i="1" s="1"/>
  <c r="M4" i="1"/>
  <c r="N4" i="1" s="1"/>
  <c r="J4" i="1"/>
  <c r="G4" i="1"/>
  <c r="L4" i="1" s="1"/>
  <c r="J7" i="4"/>
  <c r="J8" i="4"/>
  <c r="J9" i="4"/>
  <c r="J10" i="4"/>
  <c r="J11" i="4"/>
  <c r="J12" i="4"/>
  <c r="J13" i="4"/>
  <c r="J14" i="4"/>
  <c r="J15" i="4"/>
  <c r="J16" i="4"/>
  <c r="J6" i="4"/>
  <c r="E7" i="4"/>
  <c r="E8" i="4"/>
  <c r="E9" i="4"/>
  <c r="E10" i="4"/>
  <c r="E11" i="4"/>
  <c r="E12" i="4"/>
  <c r="E13" i="4"/>
  <c r="E14" i="4"/>
  <c r="E15" i="4"/>
  <c r="E16" i="4"/>
  <c r="E6" i="4"/>
  <c r="Q4" i="1" l="1"/>
  <c r="S4" i="1"/>
  <c r="U4" i="1" s="1"/>
  <c r="R16" i="1" l="1"/>
  <c r="T16" i="1" s="1"/>
  <c r="M16" i="1"/>
  <c r="S16" i="1" s="1"/>
  <c r="J16" i="1"/>
  <c r="G16" i="1"/>
  <c r="R19" i="1"/>
  <c r="T19" i="1" s="1"/>
  <c r="M19" i="1"/>
  <c r="S19" i="1" s="1"/>
  <c r="J19" i="1"/>
  <c r="G19" i="1"/>
  <c r="R18" i="1"/>
  <c r="T18" i="1" s="1"/>
  <c r="M18" i="1"/>
  <c r="S18" i="1" s="1"/>
  <c r="J18" i="1"/>
  <c r="G18" i="1"/>
  <c r="L18" i="1" s="1"/>
  <c r="U16" i="1" l="1"/>
  <c r="L19" i="1"/>
  <c r="Q19" i="1"/>
  <c r="L16" i="1"/>
  <c r="Q16" i="1"/>
  <c r="Q18" i="1"/>
  <c r="U18" i="1"/>
  <c r="U19" i="1"/>
  <c r="N16" i="1"/>
  <c r="N19" i="1"/>
  <c r="N18" i="1"/>
  <c r="N6" i="1" l="1"/>
  <c r="N43" i="1"/>
  <c r="G14" i="1"/>
  <c r="H6" i="1"/>
  <c r="R6" i="1" s="1"/>
  <c r="T6" i="1" s="1"/>
  <c r="R30" i="1"/>
  <c r="T30" i="1" s="1"/>
  <c r="M30" i="1"/>
  <c r="S30" i="1" s="1"/>
  <c r="J30" i="1"/>
  <c r="G30" i="1"/>
  <c r="R12" i="1"/>
  <c r="T12" i="1" s="1"/>
  <c r="M12" i="1"/>
  <c r="S12" i="1" s="1"/>
  <c r="J12" i="1"/>
  <c r="G12" i="1"/>
  <c r="R23" i="1"/>
  <c r="T23" i="1" s="1"/>
  <c r="M23" i="1"/>
  <c r="S23" i="1" s="1"/>
  <c r="J23" i="1"/>
  <c r="G23" i="1"/>
  <c r="S6" i="1"/>
  <c r="G6" i="1"/>
  <c r="R41" i="1"/>
  <c r="T41" i="1" s="1"/>
  <c r="M41" i="1"/>
  <c r="S41" i="1" s="1"/>
  <c r="J41" i="1"/>
  <c r="G41" i="1"/>
  <c r="R20" i="1"/>
  <c r="T20" i="1" s="1"/>
  <c r="M20" i="1"/>
  <c r="S20" i="1" s="1"/>
  <c r="J20" i="1"/>
  <c r="G20" i="1"/>
  <c r="R35" i="1"/>
  <c r="T35" i="1" s="1"/>
  <c r="M35" i="1"/>
  <c r="S35" i="1" s="1"/>
  <c r="J35" i="1"/>
  <c r="G35" i="1"/>
  <c r="M29" i="1"/>
  <c r="S29" i="1" s="1"/>
  <c r="M11" i="1"/>
  <c r="S11" i="1" s="1"/>
  <c r="J11" i="1"/>
  <c r="G11" i="1"/>
  <c r="R38" i="1"/>
  <c r="T38" i="1" s="1"/>
  <c r="G38" i="1"/>
  <c r="M44" i="1"/>
  <c r="S44" i="1" s="1"/>
  <c r="M15" i="1"/>
  <c r="S15" i="1" s="1"/>
  <c r="R42" i="1"/>
  <c r="T42" i="1" s="1"/>
  <c r="H5" i="1"/>
  <c r="M5" i="1" s="1"/>
  <c r="S5" i="1" s="1"/>
  <c r="H36" i="1"/>
  <c r="J36" i="1" s="1"/>
  <c r="R45" i="1"/>
  <c r="T45" i="1" s="1"/>
  <c r="H2" i="1"/>
  <c r="J2" i="1" s="1"/>
  <c r="H7" i="1"/>
  <c r="M7" i="1" s="1"/>
  <c r="S7" i="1" s="1"/>
  <c r="R37" i="1"/>
  <c r="T37" i="1" s="1"/>
  <c r="J34" i="1"/>
  <c r="H21" i="1"/>
  <c r="R21" i="1" s="1"/>
  <c r="T21" i="1" s="1"/>
  <c r="M32" i="1"/>
  <c r="S32" i="1" s="1"/>
  <c r="M28" i="1"/>
  <c r="S28" i="1" s="1"/>
  <c r="R40" i="1"/>
  <c r="T40" i="1" s="1"/>
  <c r="R26" i="1"/>
  <c r="T26" i="1" s="1"/>
  <c r="M26" i="1"/>
  <c r="S26" i="1" s="1"/>
  <c r="J26" i="1"/>
  <c r="G26" i="1"/>
  <c r="D26" i="1"/>
  <c r="R33" i="1"/>
  <c r="T33" i="1" s="1"/>
  <c r="M33" i="1"/>
  <c r="S33" i="1" s="1"/>
  <c r="J33" i="1"/>
  <c r="G33" i="1"/>
  <c r="J43" i="1"/>
  <c r="R43" i="1"/>
  <c r="T43" i="1" s="1"/>
  <c r="S43" i="1"/>
  <c r="G43" i="1"/>
  <c r="R39" i="1"/>
  <c r="T39" i="1" s="1"/>
  <c r="M39" i="1"/>
  <c r="S39" i="1" s="1"/>
  <c r="J39" i="1"/>
  <c r="G39" i="1"/>
  <c r="M22" i="1"/>
  <c r="S22" i="1" s="1"/>
  <c r="R22" i="1"/>
  <c r="T22" i="1" s="1"/>
  <c r="M17" i="1"/>
  <c r="S17" i="1" s="1"/>
  <c r="R17" i="1"/>
  <c r="T17" i="1" s="1"/>
  <c r="M24" i="1"/>
  <c r="S24" i="1" s="1"/>
  <c r="R24" i="1"/>
  <c r="T24" i="1" s="1"/>
  <c r="M13" i="1"/>
  <c r="S13" i="1" s="1"/>
  <c r="R13" i="1"/>
  <c r="T13" i="1" s="1"/>
  <c r="M10" i="1"/>
  <c r="S10" i="1" s="1"/>
  <c r="R10" i="1"/>
  <c r="T10" i="1" s="1"/>
  <c r="M25" i="1"/>
  <c r="S25" i="1" s="1"/>
  <c r="R25" i="1"/>
  <c r="T25" i="1" s="1"/>
  <c r="M31" i="1"/>
  <c r="S31" i="1" s="1"/>
  <c r="R31" i="1"/>
  <c r="T31" i="1" s="1"/>
  <c r="M27" i="1"/>
  <c r="S27" i="1" s="1"/>
  <c r="R27" i="1"/>
  <c r="T27" i="1" s="1"/>
  <c r="M9" i="1"/>
  <c r="S9" i="1" s="1"/>
  <c r="R9" i="1"/>
  <c r="T9" i="1" s="1"/>
  <c r="M8" i="1"/>
  <c r="S8" i="1" s="1"/>
  <c r="R8" i="1"/>
  <c r="T8" i="1" s="1"/>
  <c r="J22" i="1"/>
  <c r="J17" i="1"/>
  <c r="J24" i="1"/>
  <c r="J13" i="1"/>
  <c r="J10" i="1"/>
  <c r="J25" i="1"/>
  <c r="J31" i="1"/>
  <c r="J27" i="1"/>
  <c r="J9" i="1"/>
  <c r="J8" i="1"/>
  <c r="G27" i="1"/>
  <c r="G24" i="1"/>
  <c r="G40" i="1"/>
  <c r="G37" i="1"/>
  <c r="G44" i="1"/>
  <c r="G46" i="1"/>
  <c r="G42" i="1"/>
  <c r="G5" i="1"/>
  <c r="G45" i="1"/>
  <c r="G17" i="1"/>
  <c r="G22" i="1"/>
  <c r="G28" i="1"/>
  <c r="G36" i="1"/>
  <c r="G32" i="1"/>
  <c r="G13" i="1"/>
  <c r="G15" i="1"/>
  <c r="G29" i="1"/>
  <c r="G34" i="1"/>
  <c r="G2" i="1"/>
  <c r="G9" i="1"/>
  <c r="G21" i="1"/>
  <c r="G8" i="1"/>
  <c r="G25" i="1"/>
  <c r="G10" i="1"/>
  <c r="G31" i="1"/>
  <c r="G7" i="1"/>
  <c r="L2" i="1" l="1"/>
  <c r="Q2" i="1"/>
  <c r="L15" i="1"/>
  <c r="Q15" i="1"/>
  <c r="L7" i="1"/>
  <c r="Q7" i="1"/>
  <c r="L34" i="1"/>
  <c r="Q34" i="1"/>
  <c r="L26" i="1"/>
  <c r="Q26" i="1"/>
  <c r="L6" i="1"/>
  <c r="Q6" i="1"/>
  <c r="L37" i="1"/>
  <c r="Q37" i="1"/>
  <c r="L31" i="1"/>
  <c r="Q31" i="1"/>
  <c r="L27" i="1"/>
  <c r="Q27" i="1"/>
  <c r="L46" i="1"/>
  <c r="Q46" i="1"/>
  <c r="L39" i="1"/>
  <c r="Q39" i="1"/>
  <c r="L44" i="1"/>
  <c r="Q44" i="1"/>
  <c r="L20" i="1"/>
  <c r="P20" i="1"/>
  <c r="Q20" i="1" s="1"/>
  <c r="Q28" i="1"/>
  <c r="L28" i="1"/>
  <c r="L22" i="1"/>
  <c r="Q22" i="1"/>
  <c r="L38" i="1"/>
  <c r="Q38" i="1"/>
  <c r="Q12" i="1"/>
  <c r="L12" i="1"/>
  <c r="L30" i="1"/>
  <c r="Q30" i="1"/>
  <c r="L29" i="1"/>
  <c r="Q29" i="1"/>
  <c r="L35" i="1"/>
  <c r="Q35" i="1"/>
  <c r="L23" i="1"/>
  <c r="Q23" i="1"/>
  <c r="L32" i="1"/>
  <c r="Q32" i="1"/>
  <c r="L10" i="1"/>
  <c r="Q10" i="1"/>
  <c r="L25" i="1"/>
  <c r="Q25" i="1"/>
  <c r="L8" i="1"/>
  <c r="Q8" i="1"/>
  <c r="L17" i="1"/>
  <c r="Q17" i="1"/>
  <c r="L33" i="1"/>
  <c r="Q33" i="1"/>
  <c r="L13" i="1"/>
  <c r="Q13" i="1"/>
  <c r="L24" i="1"/>
  <c r="Q24" i="1"/>
  <c r="L43" i="1"/>
  <c r="Q43" i="1"/>
  <c r="L21" i="1"/>
  <c r="Q21" i="1"/>
  <c r="L45" i="1"/>
  <c r="Q45" i="1"/>
  <c r="L11" i="1"/>
  <c r="Q11" i="1"/>
  <c r="L41" i="1"/>
  <c r="Q41" i="1"/>
  <c r="L42" i="1"/>
  <c r="Q42" i="1"/>
  <c r="L40" i="1"/>
  <c r="Q40" i="1"/>
  <c r="L14" i="1"/>
  <c r="Q14" i="1"/>
  <c r="L36" i="1"/>
  <c r="Q36" i="1"/>
  <c r="L9" i="1"/>
  <c r="Q9" i="1"/>
  <c r="L5" i="1"/>
  <c r="Q5" i="1"/>
  <c r="N9" i="1"/>
  <c r="N7" i="1"/>
  <c r="N35" i="1"/>
  <c r="N30" i="1"/>
  <c r="N20" i="1"/>
  <c r="N26" i="1"/>
  <c r="N44" i="1"/>
  <c r="N23" i="1"/>
  <c r="N32" i="1"/>
  <c r="N13" i="1"/>
  <c r="N10" i="1"/>
  <c r="N25" i="1"/>
  <c r="N24" i="1"/>
  <c r="N12" i="1"/>
  <c r="N41" i="1"/>
  <c r="N17" i="1"/>
  <c r="N31" i="1"/>
  <c r="N29" i="1"/>
  <c r="N33" i="1"/>
  <c r="N22" i="1"/>
  <c r="N27" i="1"/>
  <c r="N28" i="1"/>
  <c r="N8" i="1"/>
  <c r="N39" i="1"/>
  <c r="N5" i="1"/>
  <c r="N11" i="1"/>
  <c r="N15" i="1"/>
  <c r="J7" i="1"/>
  <c r="R7" i="1"/>
  <c r="T7" i="1" s="1"/>
  <c r="U7" i="1" s="1"/>
  <c r="U23" i="1"/>
  <c r="U12" i="1"/>
  <c r="U30" i="1"/>
  <c r="J6" i="1"/>
  <c r="U6" i="1"/>
  <c r="R44" i="1"/>
  <c r="T44" i="1" s="1"/>
  <c r="U44" i="1" s="1"/>
  <c r="R15" i="1"/>
  <c r="T15" i="1" s="1"/>
  <c r="U15" i="1" s="1"/>
  <c r="U35" i="1"/>
  <c r="U41" i="1"/>
  <c r="U20" i="1"/>
  <c r="R11" i="1"/>
  <c r="T11" i="1" s="1"/>
  <c r="U11" i="1" s="1"/>
  <c r="M36" i="1"/>
  <c r="J15" i="1"/>
  <c r="J42" i="1"/>
  <c r="R36" i="1"/>
  <c r="T36" i="1" s="1"/>
  <c r="M45" i="1"/>
  <c r="J38" i="1"/>
  <c r="M38" i="1"/>
  <c r="R29" i="1"/>
  <c r="T29" i="1" s="1"/>
  <c r="U29" i="1" s="1"/>
  <c r="J29" i="1"/>
  <c r="M37" i="1"/>
  <c r="R2" i="1"/>
  <c r="T2" i="1" s="1"/>
  <c r="J44" i="1"/>
  <c r="J45" i="1"/>
  <c r="M34" i="1"/>
  <c r="J37" i="1"/>
  <c r="M42" i="1"/>
  <c r="R34" i="1"/>
  <c r="T34" i="1" s="1"/>
  <c r="J5" i="1"/>
  <c r="M2" i="1"/>
  <c r="R5" i="1"/>
  <c r="T5" i="1" s="1"/>
  <c r="U5" i="1" s="1"/>
  <c r="M21" i="1"/>
  <c r="J46" i="1"/>
  <c r="R46" i="1"/>
  <c r="T46" i="1" s="1"/>
  <c r="M46" i="1"/>
  <c r="J21" i="1"/>
  <c r="R28" i="1"/>
  <c r="T28" i="1" s="1"/>
  <c r="U28" i="1" s="1"/>
  <c r="J28" i="1"/>
  <c r="J32" i="1"/>
  <c r="R32" i="1"/>
  <c r="T32" i="1" s="1"/>
  <c r="U32" i="1" s="1"/>
  <c r="M40" i="1"/>
  <c r="J40" i="1"/>
  <c r="U43" i="1"/>
  <c r="U26" i="1"/>
  <c r="U33" i="1"/>
  <c r="U39" i="1"/>
  <c r="U31" i="1"/>
  <c r="U17" i="1"/>
  <c r="U25" i="1"/>
  <c r="U24" i="1"/>
  <c r="U8" i="1"/>
  <c r="U13" i="1"/>
  <c r="U27" i="1"/>
  <c r="U10" i="1"/>
  <c r="U9" i="1"/>
  <c r="U22" i="1"/>
  <c r="S34" i="1" l="1"/>
  <c r="U34" i="1" s="1"/>
  <c r="N34" i="1"/>
  <c r="S36" i="1"/>
  <c r="U36" i="1" s="1"/>
  <c r="N36" i="1"/>
  <c r="S46" i="1"/>
  <c r="U46" i="1" s="1"/>
  <c r="N46" i="1"/>
  <c r="S37" i="1"/>
  <c r="U37" i="1" s="1"/>
  <c r="N37" i="1"/>
  <c r="S21" i="1"/>
  <c r="U21" i="1" s="1"/>
  <c r="N21" i="1"/>
  <c r="S2" i="1"/>
  <c r="U2" i="1" s="1"/>
  <c r="N2" i="1"/>
  <c r="S40" i="1"/>
  <c r="U40" i="1" s="1"/>
  <c r="N40" i="1"/>
  <c r="S45" i="1"/>
  <c r="U45" i="1" s="1"/>
  <c r="N45" i="1"/>
  <c r="S38" i="1"/>
  <c r="U38" i="1" s="1"/>
  <c r="N38" i="1"/>
  <c r="S42" i="1"/>
  <c r="U42" i="1" s="1"/>
  <c r="N42" i="1"/>
  <c r="S14" i="1"/>
  <c r="K6" i="1"/>
  <c r="K43" i="1"/>
  <c r="K24" i="1"/>
  <c r="K13" i="1"/>
  <c r="K2" i="1"/>
  <c r="K23" i="1"/>
  <c r="K19" i="1"/>
  <c r="K35" i="1"/>
  <c r="K10" i="1"/>
  <c r="J14" i="1"/>
  <c r="K40" i="1" s="1"/>
  <c r="K3" i="1"/>
  <c r="H14" i="1"/>
  <c r="R14" i="1" s="1"/>
  <c r="T14" i="1" s="1"/>
  <c r="U14" i="1" s="1"/>
  <c r="N14" i="1"/>
  <c r="V3" i="1" l="1"/>
  <c r="V5" i="1"/>
  <c r="V28" i="1"/>
  <c r="V15" i="1"/>
  <c r="V7" i="1"/>
  <c r="V44" i="1"/>
  <c r="V12" i="1"/>
  <c r="V32" i="1"/>
  <c r="V23" i="1"/>
  <c r="V8" i="1"/>
  <c r="V4" i="1"/>
  <c r="V21" i="1"/>
  <c r="V2" i="1"/>
  <c r="V37" i="1"/>
  <c r="V42" i="1"/>
  <c r="V41" i="1"/>
  <c r="V25" i="1"/>
  <c r="V39" i="1"/>
  <c r="V46" i="1"/>
  <c r="V43" i="1"/>
  <c r="V20" i="1"/>
  <c r="V30" i="1"/>
  <c r="V24" i="1"/>
  <c r="V14" i="1"/>
  <c r="X14" i="1" s="1"/>
  <c r="V22" i="1"/>
  <c r="V18" i="1"/>
  <c r="V16" i="1"/>
  <c r="V11" i="1"/>
  <c r="V33" i="1"/>
  <c r="V10" i="1"/>
  <c r="V19" i="1"/>
  <c r="V34" i="1"/>
  <c r="V26" i="1"/>
  <c r="V17" i="1"/>
  <c r="V38" i="1"/>
  <c r="V45" i="1"/>
  <c r="X45" i="1" s="1"/>
  <c r="V36" i="1"/>
  <c r="V40" i="1"/>
  <c r="V35" i="1"/>
  <c r="V6" i="1"/>
  <c r="V27" i="1"/>
  <c r="V29" i="1"/>
  <c r="V9" i="1"/>
  <c r="V13" i="1"/>
  <c r="V31" i="1"/>
  <c r="K29" i="1"/>
  <c r="K21" i="1"/>
  <c r="K46" i="1"/>
  <c r="K38" i="1"/>
  <c r="K41" i="1"/>
  <c r="K39" i="1"/>
  <c r="K4" i="1"/>
  <c r="K16" i="1"/>
  <c r="K34" i="1"/>
  <c r="K5" i="1"/>
  <c r="K42" i="1"/>
  <c r="K14" i="1"/>
  <c r="K25" i="1"/>
  <c r="K32" i="1"/>
  <c r="K8" i="1"/>
  <c r="K9" i="1"/>
  <c r="K31" i="1"/>
  <c r="K45" i="1"/>
  <c r="K18" i="1"/>
  <c r="K36" i="1"/>
  <c r="K44" i="1"/>
  <c r="K20" i="1"/>
  <c r="K12" i="1"/>
  <c r="K30" i="1"/>
  <c r="K22" i="1"/>
  <c r="K15" i="1"/>
  <c r="K11" i="1"/>
  <c r="K17" i="1"/>
  <c r="K26" i="1"/>
  <c r="K28" i="1"/>
  <c r="K27" i="1"/>
  <c r="K7" i="1"/>
  <c r="K37" i="1"/>
  <c r="K33" i="1"/>
  <c r="X21" i="1" l="1"/>
  <c r="X4" i="1"/>
  <c r="X30" i="1"/>
  <c r="X20" i="1"/>
  <c r="X13" i="1"/>
  <c r="X34" i="1"/>
  <c r="X43" i="1"/>
  <c r="X32" i="1"/>
  <c r="X23" i="1"/>
  <c r="X19" i="1"/>
  <c r="X44" i="1"/>
  <c r="X27" i="1"/>
  <c r="X6" i="1"/>
  <c r="X11" i="1"/>
  <c r="X41" i="1"/>
  <c r="X15" i="1"/>
  <c r="X24" i="1"/>
  <c r="X31" i="1"/>
  <c r="X9" i="1"/>
  <c r="X10" i="1"/>
  <c r="X25" i="1"/>
  <c r="X35" i="1"/>
  <c r="X16" i="1"/>
  <c r="X42" i="1"/>
  <c r="X28" i="1"/>
  <c r="X8" i="1"/>
  <c r="X26" i="1"/>
  <c r="X12" i="1"/>
  <c r="X29" i="1"/>
  <c r="X33" i="1"/>
  <c r="X40" i="1"/>
  <c r="X18" i="1"/>
  <c r="X37" i="1"/>
  <c r="W20" i="1"/>
  <c r="W29" i="1"/>
  <c r="W16" i="1"/>
  <c r="W46" i="1"/>
  <c r="W23" i="1"/>
  <c r="W11" i="1"/>
  <c r="W37" i="1"/>
  <c r="W36" i="1"/>
  <c r="W32" i="1"/>
  <c r="W9" i="1"/>
  <c r="W41" i="1"/>
  <c r="W33" i="1"/>
  <c r="W26" i="1"/>
  <c r="W22" i="1"/>
  <c r="W35" i="1"/>
  <c r="W30" i="1"/>
  <c r="W43" i="1"/>
  <c r="X5" i="1"/>
  <c r="W13" i="1"/>
  <c r="W6" i="1"/>
  <c r="W40" i="1"/>
  <c r="W42" i="1"/>
  <c r="W27" i="1"/>
  <c r="W10" i="1"/>
  <c r="W44" i="1"/>
  <c r="W24" i="1"/>
  <c r="W39" i="1"/>
  <c r="W38" i="1"/>
  <c r="W14" i="1"/>
  <c r="W2" i="1"/>
  <c r="W19" i="1"/>
  <c r="W45" i="1"/>
  <c r="W34" i="1"/>
  <c r="W21" i="1"/>
  <c r="W3" i="1"/>
  <c r="W12" i="1"/>
  <c r="W4" i="1"/>
  <c r="W8" i="1"/>
  <c r="W28" i="1"/>
  <c r="W31" i="1"/>
  <c r="W25" i="1"/>
  <c r="W7" i="1"/>
  <c r="W17" i="1"/>
  <c r="W18" i="1"/>
  <c r="W5" i="1"/>
  <c r="W15" i="1"/>
  <c r="X38" i="1"/>
  <c r="X17" i="1"/>
  <c r="X46" i="1"/>
  <c r="X39" i="1"/>
  <c r="X7" i="1"/>
  <c r="X36" i="1"/>
  <c r="X22" i="1"/>
  <c r="X2" i="1"/>
  <c r="X3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</futureMetadata>
  <cellMetadata count="1">
    <bk>
      <rc t="1" v="0"/>
    </bk>
  </cellMetadata>
  <valueMetadata count="12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  <bk>
      <rc t="2" v="10"/>
    </bk>
    <bk>
      <rc t="2" v="11"/>
    </bk>
  </valueMetadata>
</metadata>
</file>

<file path=xl/sharedStrings.xml><?xml version="1.0" encoding="utf-8"?>
<sst xmlns="http://schemas.openxmlformats.org/spreadsheetml/2006/main" count="705" uniqueCount="169">
  <si>
    <t>Name</t>
  </si>
  <si>
    <t>Date</t>
  </si>
  <si>
    <t>Volume</t>
  </si>
  <si>
    <t>Price</t>
  </si>
  <si>
    <t>Value</t>
  </si>
  <si>
    <t>MO</t>
  </si>
  <si>
    <t>Altaria</t>
  </si>
  <si>
    <t>Visa</t>
  </si>
  <si>
    <t>Master Card</t>
  </si>
  <si>
    <t>QCOM</t>
  </si>
  <si>
    <t>QualComm2</t>
  </si>
  <si>
    <t>Microsoft</t>
  </si>
  <si>
    <t>MSFT</t>
  </si>
  <si>
    <t>AAPL</t>
  </si>
  <si>
    <t>Apple2</t>
  </si>
  <si>
    <t>Pepsi</t>
  </si>
  <si>
    <t>PEP</t>
  </si>
  <si>
    <t>GOOGL</t>
  </si>
  <si>
    <t>Google</t>
  </si>
  <si>
    <t>Kimberly Clark</t>
  </si>
  <si>
    <t>KMB</t>
  </si>
  <si>
    <t>TSMC</t>
  </si>
  <si>
    <t>TSM</t>
  </si>
  <si>
    <t>Nvidia</t>
  </si>
  <si>
    <t>NVDA</t>
  </si>
  <si>
    <t>V</t>
  </si>
  <si>
    <t>NextEra Energy</t>
  </si>
  <si>
    <t>NEE</t>
  </si>
  <si>
    <t>MA</t>
  </si>
  <si>
    <t>Applied Material</t>
  </si>
  <si>
    <t>AMAT</t>
  </si>
  <si>
    <t>Duke Energy</t>
  </si>
  <si>
    <t>DUK</t>
  </si>
  <si>
    <t>LVMH</t>
  </si>
  <si>
    <t>MC.PA</t>
  </si>
  <si>
    <t>Chapter</t>
  </si>
  <si>
    <t>Tech</t>
  </si>
  <si>
    <t>Banking</t>
  </si>
  <si>
    <t>US Consumer</t>
  </si>
  <si>
    <t>Asia Consumer</t>
  </si>
  <si>
    <t>Energy</t>
  </si>
  <si>
    <t>DAR</t>
  </si>
  <si>
    <t>MSG</t>
  </si>
  <si>
    <t>INGR</t>
  </si>
  <si>
    <t>CSIQ</t>
  </si>
  <si>
    <t>Canadian Solar</t>
  </si>
  <si>
    <t>FSLR</t>
  </si>
  <si>
    <t>First Solar</t>
  </si>
  <si>
    <t>JKS</t>
  </si>
  <si>
    <t>Jinko Solar</t>
  </si>
  <si>
    <t>MAXN</t>
  </si>
  <si>
    <t>Maxeon Solar</t>
  </si>
  <si>
    <t>SolarWinds</t>
  </si>
  <si>
    <t>SWI</t>
  </si>
  <si>
    <t>Walmart</t>
  </si>
  <si>
    <t>WMT</t>
  </si>
  <si>
    <t>YUMC</t>
  </si>
  <si>
    <t>Yum China Holding</t>
  </si>
  <si>
    <t>Yum! Brands</t>
  </si>
  <si>
    <t>YUM</t>
  </si>
  <si>
    <t>ASML</t>
  </si>
  <si>
    <t>Volatility</t>
  </si>
  <si>
    <t>Ranking</t>
  </si>
  <si>
    <t>Mix %</t>
  </si>
  <si>
    <t>Target Price</t>
  </si>
  <si>
    <t>Tolerance</t>
  </si>
  <si>
    <t>Unit Profit</t>
  </si>
  <si>
    <t>Unit Half Loss</t>
  </si>
  <si>
    <t>Balance Risk</t>
  </si>
  <si>
    <t>Normalized Risk</t>
  </si>
  <si>
    <t>Normalized Risk %</t>
  </si>
  <si>
    <t>Automotive</t>
  </si>
  <si>
    <t>Aptive Autoparts</t>
  </si>
  <si>
    <t>APTV</t>
  </si>
  <si>
    <t>Forex</t>
  </si>
  <si>
    <t>Mexican Peso</t>
  </si>
  <si>
    <t>USDMXN=X</t>
  </si>
  <si>
    <t>Japan Yen</t>
  </si>
  <si>
    <t>USDJPY=X</t>
  </si>
  <si>
    <t>Gold</t>
  </si>
  <si>
    <t>GC=F</t>
  </si>
  <si>
    <t>Risk Mix</t>
  </si>
  <si>
    <t>Ticker</t>
  </si>
  <si>
    <t>Palantir</t>
  </si>
  <si>
    <t>PLTR</t>
  </si>
  <si>
    <t>ING Group NV</t>
  </si>
  <si>
    <t>ING</t>
  </si>
  <si>
    <t>Industrials</t>
  </si>
  <si>
    <t>3M</t>
  </si>
  <si>
    <t>MMM</t>
  </si>
  <si>
    <t>Excelon</t>
  </si>
  <si>
    <t>EXC</t>
  </si>
  <si>
    <t>PCG</t>
  </si>
  <si>
    <t>PG&amp;E</t>
  </si>
  <si>
    <t>APA</t>
  </si>
  <si>
    <t>Expected Return QoQ%</t>
  </si>
  <si>
    <t>Health</t>
  </si>
  <si>
    <t>Agios</t>
  </si>
  <si>
    <t>ACI</t>
  </si>
  <si>
    <t>HCA</t>
  </si>
  <si>
    <t>AGIO</t>
  </si>
  <si>
    <t>Albertson Companies</t>
  </si>
  <si>
    <t>HCA Healthcare</t>
  </si>
  <si>
    <t>YPF</t>
  </si>
  <si>
    <t>Row Labels</t>
  </si>
  <si>
    <t>Grand Total</t>
  </si>
  <si>
    <t>Initial Volume $</t>
  </si>
  <si>
    <t>$%</t>
  </si>
  <si>
    <t>WK05</t>
  </si>
  <si>
    <t>WK05 Start</t>
  </si>
  <si>
    <t>Target Value</t>
  </si>
  <si>
    <t>Target Return %</t>
  </si>
  <si>
    <t>Target P&amp;L</t>
  </si>
  <si>
    <t>Actual P&amp;L vs LV</t>
  </si>
  <si>
    <t>WK50</t>
  </si>
  <si>
    <t>ETF</t>
  </si>
  <si>
    <t>BOTZ.UK</t>
  </si>
  <si>
    <t>BATT.NL</t>
  </si>
  <si>
    <t>VBTC.DE</t>
  </si>
  <si>
    <t>VWO.US</t>
  </si>
  <si>
    <t>Return:</t>
  </si>
  <si>
    <t>Optimal</t>
  </si>
  <si>
    <t>Expected</t>
  </si>
  <si>
    <t>Portfolio</t>
  </si>
  <si>
    <t>Volatility:</t>
  </si>
  <si>
    <t>Delta</t>
  </si>
  <si>
    <t>Robotics &amp; AI</t>
  </si>
  <si>
    <t>Batterey Value-Chain</t>
  </si>
  <si>
    <t>Emergin Markets</t>
  </si>
  <si>
    <t>Bitcoin ETF</t>
  </si>
  <si>
    <t>Ingredion</t>
  </si>
  <si>
    <t>WK06</t>
  </si>
  <si>
    <t>%</t>
  </si>
  <si>
    <t>Consumer</t>
  </si>
  <si>
    <t>Close Price</t>
  </si>
  <si>
    <t>Actual Value</t>
  </si>
  <si>
    <t>Actual P&amp;L</t>
  </si>
  <si>
    <t>Actual Return %</t>
  </si>
  <si>
    <t xml:space="preserve">Actual P&amp;L </t>
  </si>
  <si>
    <t>WK07</t>
  </si>
  <si>
    <t>W/Avg Volatility</t>
  </si>
  <si>
    <t xml:space="preserve">Volatility </t>
  </si>
  <si>
    <t>WK08</t>
  </si>
  <si>
    <t>P&amp;L vs LV</t>
  </si>
  <si>
    <t>WK09</t>
  </si>
  <si>
    <t>Merged</t>
  </si>
  <si>
    <t>Risk Aversion:</t>
  </si>
  <si>
    <t>Avg</t>
  </si>
  <si>
    <t>Consider Dividend Kings</t>
  </si>
  <si>
    <t>Dividend</t>
  </si>
  <si>
    <t>*It dosent matter the individual returns when distributing a portafolio at max aversion.</t>
  </si>
  <si>
    <t>*Plan exit stragety for KMB, 7% profit</t>
  </si>
  <si>
    <t>*Good moment to buy as prices just droped</t>
  </si>
  <si>
    <t>P&amp;L% Delta</t>
  </si>
  <si>
    <t>P&amp;L vs Last Week</t>
  </si>
  <si>
    <t>DataFrame:</t>
  </si>
  <si>
    <t>Evaluate an exit stragety</t>
  </si>
  <si>
    <t>Ticker2</t>
  </si>
  <si>
    <t>(All)</t>
  </si>
  <si>
    <t>Weekly Return %</t>
  </si>
  <si>
    <t>Annual %</t>
  </si>
  <si>
    <t>Wkly</t>
  </si>
  <si>
    <t>Annual</t>
  </si>
  <si>
    <t>WK12</t>
  </si>
  <si>
    <t>WK11</t>
  </si>
  <si>
    <t>P&amp;L vs LW</t>
  </si>
  <si>
    <t>BND.US</t>
  </si>
  <si>
    <t>Vanguard Bonds</t>
  </si>
  <si>
    <t>WK14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</si>
</sst>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0.0000"/>
    <numFmt numFmtId="165" formatCode="[$-F800]dddd\,\ mmmm\ dd\,\ yyyy"/>
    <numFmt numFmtId="166" formatCode="0.000%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-0.499984740745262"/>
        <bgColor theme="8" tint="-0.499984740745262"/>
      </patternFill>
    </fill>
    <fill>
      <patternFill patternType="solid">
        <fgColor theme="8" tint="0.79998168889431442"/>
        <bgColor theme="8" tint="0.79998168889431442"/>
      </patternFill>
    </fill>
  </fills>
  <borders count="9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8"/>
      </bottom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/>
      <top style="thin">
        <color theme="8" tint="0.79998168889431442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72">
    <xf numFmtId="0" fontId="0" fillId="0" borderId="0" xfId="0"/>
    <xf numFmtId="44" fontId="0" fillId="0" borderId="0" xfId="1" applyFont="1"/>
    <xf numFmtId="164" fontId="0" fillId="0" borderId="0" xfId="1" applyNumberFormat="1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165" fontId="0" fillId="0" borderId="0" xfId="0" applyNumberFormat="1" applyAlignment="1">
      <alignment horizontal="left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44" fontId="0" fillId="0" borderId="0" xfId="0" applyNumberFormat="1"/>
    <xf numFmtId="10" fontId="0" fillId="0" borderId="0" xfId="0" applyNumberFormat="1" applyAlignment="1">
      <alignment horizontal="center" vertical="center"/>
    </xf>
    <xf numFmtId="0" fontId="0" fillId="7" borderId="0" xfId="0" applyFill="1"/>
    <xf numFmtId="44" fontId="0" fillId="0" borderId="0" xfId="2" applyNumberFormat="1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4" fontId="0" fillId="0" borderId="0" xfId="1" applyNumberFormat="1" applyFont="1" applyAlignment="1">
      <alignment horizontal="center" vertical="center" wrapText="1"/>
    </xf>
    <xf numFmtId="44" fontId="0" fillId="0" borderId="0" xfId="1" applyFont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9" fontId="0" fillId="0" borderId="0" xfId="0" applyNumberFormat="1"/>
    <xf numFmtId="0" fontId="2" fillId="8" borderId="1" xfId="0" applyFont="1" applyFill="1" applyBorder="1" applyAlignment="1">
      <alignment horizontal="center" vertical="center"/>
    </xf>
    <xf numFmtId="44" fontId="2" fillId="8" borderId="2" xfId="0" applyNumberFormat="1" applyFont="1" applyFill="1" applyBorder="1"/>
    <xf numFmtId="9" fontId="2" fillId="8" borderId="2" xfId="0" applyNumberFormat="1" applyFont="1" applyFill="1" applyBorder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2" fillId="8" borderId="1" xfId="0" applyFont="1" applyFill="1" applyBorder="1"/>
    <xf numFmtId="10" fontId="0" fillId="0" borderId="0" xfId="0" applyNumberFormat="1"/>
    <xf numFmtId="10" fontId="2" fillId="8" borderId="2" xfId="0" applyNumberFormat="1" applyFont="1" applyFill="1" applyBorder="1"/>
    <xf numFmtId="0" fontId="2" fillId="8" borderId="2" xfId="0" applyFont="1" applyFill="1" applyBorder="1" applyAlignment="1">
      <alignment horizontal="left"/>
    </xf>
    <xf numFmtId="0" fontId="0" fillId="9" borderId="0" xfId="0" applyFill="1"/>
    <xf numFmtId="0" fontId="0" fillId="0" borderId="3" xfId="0" applyBorder="1"/>
    <xf numFmtId="10" fontId="0" fillId="0" borderId="3" xfId="0" applyNumberFormat="1" applyBorder="1"/>
    <xf numFmtId="0" fontId="0" fillId="10" borderId="3" xfId="0" applyFill="1" applyBorder="1"/>
    <xf numFmtId="10" fontId="0" fillId="10" borderId="3" xfId="0" applyNumberFormat="1" applyFill="1" applyBorder="1"/>
    <xf numFmtId="0" fontId="0" fillId="7" borderId="3" xfId="0" applyFill="1" applyBorder="1"/>
    <xf numFmtId="10" fontId="0" fillId="7" borderId="3" xfId="0" applyNumberFormat="1" applyFill="1" applyBorder="1"/>
    <xf numFmtId="0" fontId="2" fillId="11" borderId="3" xfId="0" applyFont="1" applyFill="1" applyBorder="1"/>
    <xf numFmtId="0" fontId="2" fillId="0" borderId="1" xfId="0" applyFont="1" applyBorder="1" applyAlignment="1">
      <alignment horizontal="left"/>
    </xf>
    <xf numFmtId="44" fontId="2" fillId="0" borderId="1" xfId="0" applyNumberFormat="1" applyFont="1" applyBorder="1"/>
    <xf numFmtId="9" fontId="2" fillId="0" borderId="1" xfId="0" applyNumberFormat="1" applyFont="1" applyBorder="1"/>
    <xf numFmtId="10" fontId="2" fillId="0" borderId="1" xfId="0" applyNumberFormat="1" applyFont="1" applyBorder="1"/>
    <xf numFmtId="2" fontId="0" fillId="0" borderId="0" xfId="0" applyNumberFormat="1" applyAlignment="1">
      <alignment horizontal="left"/>
    </xf>
    <xf numFmtId="0" fontId="2" fillId="8" borderId="1" xfId="0" applyFont="1" applyFill="1" applyBorder="1" applyAlignment="1">
      <alignment horizontal="center" vertical="center" wrapText="1"/>
    </xf>
    <xf numFmtId="44" fontId="0" fillId="12" borderId="0" xfId="0" applyNumberFormat="1" applyFill="1"/>
    <xf numFmtId="0" fontId="2" fillId="8" borderId="0" xfId="0" applyFont="1" applyFill="1" applyAlignment="1">
      <alignment horizontal="center" vertical="center" wrapText="1"/>
    </xf>
    <xf numFmtId="0" fontId="2" fillId="11" borderId="4" xfId="0" applyFont="1" applyFill="1" applyBorder="1"/>
    <xf numFmtId="0" fontId="0" fillId="4" borderId="3" xfId="0" applyFill="1" applyBorder="1"/>
    <xf numFmtId="10" fontId="0" fillId="4" borderId="3" xfId="0" applyNumberFormat="1" applyFill="1" applyBorder="1"/>
    <xf numFmtId="0" fontId="0" fillId="0" borderId="5" xfId="0" applyBorder="1"/>
    <xf numFmtId="0" fontId="0" fillId="9" borderId="3" xfId="0" applyFill="1" applyBorder="1"/>
    <xf numFmtId="10" fontId="0" fillId="9" borderId="3" xfId="0" applyNumberFormat="1" applyFill="1" applyBorder="1"/>
    <xf numFmtId="10" fontId="2" fillId="0" borderId="1" xfId="2" applyNumberFormat="1" applyFont="1" applyBorder="1" applyAlignment="1">
      <alignment horizontal="center" vertical="center"/>
    </xf>
    <xf numFmtId="10" fontId="2" fillId="8" borderId="2" xfId="2" applyNumberFormat="1" applyFont="1" applyFill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0" fontId="3" fillId="13" borderId="6" xfId="0" applyFont="1" applyFill="1" applyBorder="1"/>
    <xf numFmtId="0" fontId="3" fillId="13" borderId="6" xfId="0" applyFont="1" applyFill="1" applyBorder="1" applyAlignment="1">
      <alignment horizontal="center" vertical="center"/>
    </xf>
    <xf numFmtId="0" fontId="3" fillId="13" borderId="6" xfId="0" applyFont="1" applyFill="1" applyBorder="1" applyAlignment="1">
      <alignment horizontal="center" vertical="center" wrapText="1"/>
    </xf>
    <xf numFmtId="0" fontId="2" fillId="14" borderId="7" xfId="0" applyFont="1" applyFill="1" applyBorder="1" applyAlignment="1">
      <alignment horizontal="left"/>
    </xf>
    <xf numFmtId="44" fontId="2" fillId="14" borderId="7" xfId="0" applyNumberFormat="1" applyFont="1" applyFill="1" applyBorder="1"/>
    <xf numFmtId="9" fontId="2" fillId="14" borderId="7" xfId="0" applyNumberFormat="1" applyFont="1" applyFill="1" applyBorder="1"/>
    <xf numFmtId="10" fontId="2" fillId="14" borderId="7" xfId="0" applyNumberFormat="1" applyFont="1" applyFill="1" applyBorder="1"/>
    <xf numFmtId="0" fontId="3" fillId="13" borderId="8" xfId="0" applyFont="1" applyFill="1" applyBorder="1" applyAlignment="1">
      <alignment horizontal="left"/>
    </xf>
    <xf numFmtId="44" fontId="3" fillId="13" borderId="8" xfId="0" applyNumberFormat="1" applyFont="1" applyFill="1" applyBorder="1"/>
    <xf numFmtId="9" fontId="3" fillId="13" borderId="8" xfId="0" applyNumberFormat="1" applyFont="1" applyFill="1" applyBorder="1"/>
    <xf numFmtId="10" fontId="3" fillId="13" borderId="8" xfId="0" applyNumberFormat="1" applyFont="1" applyFill="1" applyBorder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 indent="1"/>
    </xf>
  </cellXfs>
  <cellStyles count="3">
    <cellStyle name="Currency" xfId="1" builtinId="4"/>
    <cellStyle name="Normal" xfId="0" builtinId="0"/>
    <cellStyle name="Percent" xfId="2" builtinId="5"/>
  </cellStyles>
  <dxfs count="64"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wrapText="1"/>
    </dxf>
    <dxf>
      <alignment horizontal="center"/>
    </dxf>
    <dxf>
      <alignment vertical="center"/>
    </dxf>
    <dxf>
      <numFmt numFmtId="14" formatCode="0.00%"/>
    </dxf>
    <dxf>
      <numFmt numFmtId="14" formatCode="0.00%"/>
    </dxf>
    <dxf>
      <numFmt numFmtId="14" formatCode="0.00%"/>
    </dxf>
    <dxf>
      <alignment horizontal="center"/>
    </dxf>
    <dxf>
      <alignment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ichStyles" Target="richData/richStyle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Array" Target="richData/rdarray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Structure" Target="richData/rdrichvaluestructur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samuel walton" refreshedDate="45752.87427685185" createdVersion="8" refreshedVersion="8" minRefreshableVersion="3" recordCount="45" xr:uid="{F7C2E8EE-41B2-4379-9483-1E1726C2B887}">
  <cacheSource type="worksheet">
    <worksheetSource ref="A1:X46" sheet="Positions"/>
  </cacheSource>
  <cacheFields count="30">
    <cacheField name="Chapter" numFmtId="0">
      <sharedItems count="10">
        <s v="Tech"/>
        <s v="ETF"/>
        <s v="Energy"/>
        <s v="US Consumer"/>
        <s v="Banking"/>
        <s v="Asia Consumer"/>
        <s v="Health"/>
        <s v="Forex"/>
        <s v="Industrials"/>
        <s v="Automotive"/>
      </sharedItems>
    </cacheField>
    <cacheField name="Name" numFmtId="0">
      <sharedItems count="45">
        <s v="TSMC"/>
        <s v="Vanguard Bonds"/>
        <s v="Emergin Markets"/>
        <s v="First Solar"/>
        <s v="APA"/>
        <s v="Altaria"/>
        <s v="Pepsi"/>
        <s v="Kimberly Clark"/>
        <s v="Microsoft"/>
        <s v="ING Group NV"/>
        <s v="Albertson Companies"/>
        <s v="Master Card"/>
        <s v="YPF"/>
        <s v="NextEra Energy"/>
        <s v="Bitcoin ETF"/>
        <s v="Ingredion"/>
        <s v="Robotics &amp; AI"/>
        <s v="Batterey Value-Chain"/>
        <s v="Excelon"/>
        <s v="Google"/>
        <s v="MSG"/>
        <s v="Agios"/>
        <s v="Yum! Brands"/>
        <s v="Apple2"/>
        <s v="Gold"/>
        <s v="ASML"/>
        <s v="LVMH"/>
        <s v="Visa"/>
        <s v="HCA Healthcare"/>
        <s v="QualComm2"/>
        <s v="Applied Material"/>
        <s v="Japan Yen"/>
        <s v="Nvidia"/>
        <s v="3M"/>
        <s v="Duke Energy"/>
        <s v="Walmart"/>
        <s v="Palantir"/>
        <s v="Aptive Autoparts"/>
        <s v="Yum China Holding"/>
        <s v="PG&amp;E"/>
        <s v="Jinko Solar"/>
        <s v="Mexican Peso"/>
        <s v="SolarWinds"/>
        <s v="Canadian Solar"/>
        <s v="Maxeon Solar"/>
      </sharedItems>
    </cacheField>
    <cacheField name="Ticker" numFmtId="0">
      <sharedItems containsBlank="1" count="48">
        <s v="TSM"/>
        <s v="BND.US"/>
        <s v="VWO.US"/>
        <s v="FSLR"/>
        <s v="APA"/>
        <s v="MO"/>
        <s v="PEP"/>
        <s v="KMB"/>
        <s v="MSFT"/>
        <s v="ING"/>
        <s v="ACI"/>
        <s v="MA"/>
        <s v="YPF"/>
        <s v="NEE"/>
        <s v="VBTC.DE"/>
        <s v="INGR"/>
        <s v="BOTZ.UK"/>
        <s v="BATT.NL"/>
        <s v="EXC"/>
        <s v="GOOGL"/>
        <s v="DAR"/>
        <s v="AGIO"/>
        <s v="YUM"/>
        <s v="AAPL"/>
        <s v="GC=F"/>
        <s v="ASML"/>
        <s v="MC.PA"/>
        <s v="V"/>
        <s v="HCA"/>
        <s v="QCOM"/>
        <s v="AMAT"/>
        <s v="USDJPY=X"/>
        <s v="NVDA"/>
        <s v="MMM"/>
        <s v="DUK"/>
        <s v="WMT"/>
        <s v="PLTR"/>
        <s v="APTV"/>
        <s v="YUMC"/>
        <s v="PCG"/>
        <s v="JKS"/>
        <s v="USDMXN=X"/>
        <s v="SWI"/>
        <s v="CSIQ"/>
        <s v="MAXN"/>
        <s v="BONDS" u="1"/>
        <m u="1"/>
        <s v="LVMH" u="1"/>
      </sharedItems>
      <fieldGroup par="29"/>
    </cacheField>
    <cacheField name="Date" numFmtId="165">
      <sharedItems containsSemiMixedTypes="0" containsNonDate="0" containsDate="1" containsString="0" minDate="2024-06-17T00:00:00" maxDate="2025-04-05T00:00:00"/>
    </cacheField>
    <cacheField name="Volume" numFmtId="164">
      <sharedItems containsSemiMixedTypes="0" containsString="0" containsNumber="1" minValue="9.9999999999999998E-20" maxValue="4.4473000000000003"/>
    </cacheField>
    <cacheField name="Price" numFmtId="44">
      <sharedItems containsSemiMixedTypes="0" containsString="0" containsNumber="1" minValue="10.92" maxValue="2742.9"/>
    </cacheField>
    <cacheField name="Value" numFmtId="44">
      <sharedItems containsSemiMixedTypes="0" containsString="0" containsNumber="1" minValue="1.092E-18" maxValue="182.91662099999999"/>
    </cacheField>
    <cacheField name="Expected Return QoQ%" numFmtId="10">
      <sharedItems containsSemiMixedTypes="0" containsString="0" containsNumber="1" minValue="3.5000000000000003E-2" maxValue="1"/>
    </cacheField>
    <cacheField name="Volatility" numFmtId="0">
      <sharedItems containsSemiMixedTypes="0" containsString="0" containsNumber="1" minValue="0.15" maxValue="1.8652"/>
    </cacheField>
    <cacheField name="Ranking" numFmtId="9">
      <sharedItems containsSemiMixedTypes="0" containsString="0" containsNumber="1" minValue="6.7668155366084726E-2" maxValue="1"/>
    </cacheField>
    <cacheField name="Mix %" numFmtId="9">
      <sharedItems containsSemiMixedTypes="0" containsString="0" containsNumber="1" minValue="1.593027948724177E-2" maxValue="0.23541767026245886"/>
    </cacheField>
    <cacheField name="W/Avg Volatility" numFmtId="9">
      <sharedItems containsSemiMixedTypes="0" containsString="0" containsNumber="1" minValue="2.5499999999999999E-19" maxValue="67.679149769999995"/>
    </cacheField>
    <cacheField name="Target Price" numFmtId="44">
      <sharedItems containsSemiMixedTypes="0" containsString="0" containsNumber="1" minValue="11.602500000000001" maxValue="3017.1900000000005"/>
    </cacheField>
    <cacheField name="Target Value" numFmtId="44">
      <sharedItems containsSemiMixedTypes="0" containsString="0" containsNumber="1" minValue="1.16025E-18" maxValue="239.83878000000007"/>
    </cacheField>
    <cacheField name="Close Price" numFmtId="44">
      <sharedItems containsSemiMixedTypes="0" containsString="0" containsNumber="1" minValue="10.92" maxValue="2742.9"/>
    </cacheField>
    <cacheField name="Actual Value" numFmtId="44">
      <sharedItems containsSemiMixedTypes="0" containsString="0" containsNumber="1" minValue="1.092E-18" maxValue="152.76274799999999"/>
    </cacheField>
    <cacheField name="Actual P&amp;L" numFmtId="44">
      <sharedItems containsSemiMixedTypes="0" containsString="0" containsNumber="1" minValue="-30.153873000000004" maxValue="5.7547500000000014"/>
    </cacheField>
    <cacheField name="Tolerance" numFmtId="44">
      <sharedItems containsSemiMixedTypes="0" containsString="0" containsNumber="1" minValue="5.8546000428908433" maxValue="1959.214285714286"/>
    </cacheField>
    <cacheField name="Unit Profit" numFmtId="44">
      <sharedItems containsSemiMixedTypes="0" containsString="0" containsNumber="1" minValue="0.55250000000000021" maxValue="274.29000000000042"/>
    </cacheField>
    <cacheField name="Unit Half Loss" numFmtId="44">
      <sharedItems containsSemiMixedTypes="0" containsString="0" containsNumber="1" minValue="-391.84285714285704" maxValue="0"/>
    </cacheField>
    <cacheField name="Balance Risk" numFmtId="44">
      <sharedItems containsSemiMixedTypes="0" containsString="0" containsNumber="1" minValue="-117.55285714285662" maxValue="64.75"/>
    </cacheField>
    <cacheField name="Normalized Risk" numFmtId="44">
      <sharedItems containsSemiMixedTypes="0" containsString="0" containsNumber="1" minValue="0" maxValue="182.30285714285662"/>
    </cacheField>
    <cacheField name="Risk Mix" numFmtId="9">
      <sharedItems containsSemiMixedTypes="0" containsString="0" containsNumber="1" minValue="0" maxValue="9.1811733314880087E-2"/>
    </cacheField>
    <cacheField name="Normalized Risk %" numFmtId="9">
      <sharedItems containsSemiMixedTypes="0" containsString="0" containsNumber="1" minValue="0" maxValue="1"/>
    </cacheField>
    <cacheField name="TargetReturn%_Metric" numFmtId="0" formula="'Target Value'/Value-1" databaseField="0"/>
    <cacheField name="TargetP&amp;L_metric" numFmtId="0" formula="'Target Value'-Value" databaseField="0"/>
    <cacheField name="ActualP&amp;L_Metric" numFmtId="0" formula="'Actual Value'-Value" databaseField="0"/>
    <cacheField name="ActualReturn_Metric" numFmtId="0" formula="'ActualP&amp;L_Metric'/Value" databaseField="0"/>
    <cacheField name="AvgVolatility_Metric" numFmtId="0" formula="'W/Avg Volatility'/Value" databaseField="0"/>
    <cacheField name="Ticker2" numFmtId="0" databaseField="0">
      <fieldGroup base="2">
        <discretePr count="48">
          <x v="2"/>
          <x v="4"/>
          <x v="3"/>
          <x v="2"/>
          <x v="2"/>
          <x v="3"/>
          <x v="3"/>
          <x v="3"/>
          <x v="3"/>
          <x v="2"/>
          <x v="2"/>
          <x v="2"/>
          <x v="2"/>
          <x v="2"/>
          <x v="2"/>
          <x v="2"/>
          <x v="3"/>
          <x v="3"/>
          <x v="2"/>
          <x v="2"/>
          <x v="2"/>
          <x v="2"/>
          <x v="3"/>
          <x v="2"/>
          <x v="2"/>
          <x v="2"/>
          <x v="2"/>
          <x v="2"/>
          <x v="2"/>
          <x v="2"/>
          <x v="2"/>
          <x v="3"/>
          <x v="2"/>
          <x v="2"/>
          <x v="3"/>
          <x v="3"/>
          <x v="2"/>
          <x v="3"/>
          <x v="2"/>
          <x v="2"/>
          <x v="2"/>
          <x v="3"/>
          <x v="2"/>
          <x v="2"/>
          <x v="2"/>
          <x v="3"/>
          <x v="1"/>
          <x v="0"/>
        </discretePr>
        <groupItems count="5">
          <s v="LVMH"/>
          <m/>
          <s v="Group1"/>
          <s v="Group2"/>
          <s v="BND.US"/>
        </groupItems>
      </fieldGroup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F7C2E8EE-41B2-4379-9483-1E1726C2B887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">
  <r>
    <x v="0"/>
    <x v="0"/>
    <x v="0"/>
    <d v="2024-07-11T00:00:00"/>
    <n v="1.0547"/>
    <n v="173.43"/>
    <n v="182.91662099999999"/>
    <n v="0.31119183532260863"/>
    <n v="0.37"/>
    <n v="0.84105901438542874"/>
    <n v="0.19800015371985752"/>
    <n v="67.679149769999995"/>
    <n v="227.40000000000006"/>
    <n v="239.83878000000007"/>
    <n v="144.84"/>
    <n v="152.76274799999999"/>
    <n v="-30.153873000000004"/>
    <n v="163.79737688634319"/>
    <n v="53.970000000000056"/>
    <n v="-4.8163115568284098"/>
    <n v="49.153688443171646"/>
    <n v="15.596311556828354"/>
    <n v="6.4117724011622579E-2"/>
    <n v="8.5551657287558217E-2"/>
  </r>
  <r>
    <x v="1"/>
    <x v="1"/>
    <x v="1"/>
    <d v="2025-03-27T00:00:00"/>
    <n v="2"/>
    <n v="73.5"/>
    <n v="147"/>
    <n v="4.4999999999999998E-2"/>
    <n v="0.16500000000000001"/>
    <n v="0.27272727272727271"/>
    <n v="6.4204819162488783E-2"/>
    <n v="24.255000000000003"/>
    <n v="76.80749999999999"/>
    <n v="153.61499999999998"/>
    <n v="74.14"/>
    <n v="148.28"/>
    <n v="1.2800000000000011"/>
    <n v="65.625"/>
    <n v="3.3074999999999903"/>
    <n v="-3.9375"/>
    <n v="-0.63000000000000966"/>
    <n v="65.38000000000001"/>
    <n v="1.5295197308045272E-2"/>
    <n v="0.35863398426480375"/>
  </r>
  <r>
    <x v="1"/>
    <x v="2"/>
    <x v="2"/>
    <d v="2025-01-31T00:00:00"/>
    <n v="3"/>
    <n v="44.95"/>
    <n v="134.85000000000002"/>
    <n v="8.3000000000000004E-2"/>
    <n v="0.16800000000000001"/>
    <n v="0.49404761904761907"/>
    <n v="0.11630753947490528"/>
    <n v="22.654800000000005"/>
    <n v="48.68085"/>
    <n v="146.04255000000001"/>
    <n v="42.29"/>
    <n v="126.87"/>
    <n v="-7.9800000000000182"/>
    <n v="41.428571428571431"/>
    <n v="3.7308499999999967"/>
    <n v="-1.7607142857142861"/>
    <n v="1.9701357142857105"/>
    <n v="62.779864285714289"/>
    <n v="1.5928674127885178E-2"/>
    <n v="0.34437125818888603"/>
  </r>
  <r>
    <x v="2"/>
    <x v="3"/>
    <x v="3"/>
    <d v="2024-08-07T00:00:00"/>
    <n v="0.57440000000000002"/>
    <n v="158.26"/>
    <n v="90.904544000000001"/>
    <n v="0.23859471755339334"/>
    <n v="0.52980000000000005"/>
    <n v="0.45034865525366802"/>
    <n v="0.10602003122564978"/>
    <n v="48.161227411200002"/>
    <n v="196.02"/>
    <n v="112.59388800000001"/>
    <n v="128.69"/>
    <n v="73.919536000000008"/>
    <n v="-16.985007999999993"/>
    <n v="122.56765221725638"/>
    <n v="37.760000000000019"/>
    <n v="-17.846173891371805"/>
    <n v="19.913826108628214"/>
    <n v="44.836173891371786"/>
    <n v="2.2303419609861909E-2"/>
    <n v="0.24594334172303811"/>
  </r>
  <r>
    <x v="2"/>
    <x v="4"/>
    <x v="4"/>
    <d v="2024-12-01T00:00:00"/>
    <n v="4.4473000000000003"/>
    <n v="20.23"/>
    <n v="89.968879000000001"/>
    <n v="0.31389026198714776"/>
    <n v="0.45929999999999999"/>
    <n v="0.68341010665610225"/>
    <n v="0.16088681514279812"/>
    <n v="41.322706124699998"/>
    <n v="26.58"/>
    <n v="118.209234"/>
    <n v="15.18"/>
    <n v="67.510013999999998"/>
    <n v="-22.458865000000003"/>
    <n v="17.661801998555216"/>
    <n v="6.3499999999999979"/>
    <n v="-1.2840990007223922"/>
    <n v="5.0659009992776056"/>
    <n v="59.684099000722398"/>
    <n v="1.6754881396264295E-2"/>
    <n v="0.32738981679235335"/>
  </r>
  <r>
    <x v="3"/>
    <x v="5"/>
    <x v="5"/>
    <d v="2024-09-18T00:00:00"/>
    <n v="1.5346"/>
    <n v="51.96"/>
    <n v="79.737815999999995"/>
    <n v="0.18430000000000002"/>
    <n v="0.19980000000000001"/>
    <n v="0.92242242242242245"/>
    <n v="0.21715453768454038"/>
    <n v="15.9316156368"/>
    <n v="61.536227999999994"/>
    <n v="94.433495488799991"/>
    <n v="55.71"/>
    <n v="85.492565999999997"/>
    <n v="5.7547500000000014"/>
    <n v="51.166912850812416"/>
    <n v="9.5762279999999933"/>
    <n v="-0.39654357459379241"/>
    <n v="9.1796844254062009"/>
    <n v="55.570315574593799"/>
    <n v="1.7995219024042941E-2"/>
    <n v="0.30482416153822345"/>
  </r>
  <r>
    <x v="3"/>
    <x v="6"/>
    <x v="6"/>
    <d v="2024-06-17T00:00:00"/>
    <n v="0.5"/>
    <n v="157.79"/>
    <n v="78.894999999999996"/>
    <n v="6.7199999999999996E-2"/>
    <n v="0.16439999999999999"/>
    <n v="0.40875912408759124"/>
    <n v="9.6229120691224065E-2"/>
    <n v="12.970337999999998"/>
    <n v="168.39348799999999"/>
    <n v="84.196743999999995"/>
    <n v="146.44"/>
    <n v="73.22"/>
    <n v="-5.6749999999999972"/>
    <n v="143.81152023332115"/>
    <n v="10.603487999999999"/>
    <n v="-6.9892398833394225"/>
    <n v="3.6142481166605762"/>
    <n v="61.135751883339424"/>
    <n v="1.6357040998010816E-2"/>
    <n v="0.33535268092607057"/>
  </r>
  <r>
    <x v="3"/>
    <x v="7"/>
    <x v="7"/>
    <d v="2024-09-09T00:00:00"/>
    <n v="0.5"/>
    <n v="138.28"/>
    <n v="69.14"/>
    <n v="7.0000000000000007E-2"/>
    <n v="0.18340000000000001"/>
    <n v="0.38167938931297712"/>
    <n v="8.9854072619259109E-2"/>
    <n v="12.680276000000001"/>
    <n v="147.95960000000002"/>
    <n v="73.979800000000012"/>
    <n v="137.65"/>
    <n v="68.825000000000003"/>
    <n v="-0.31499999999999773"/>
    <n v="124.19615591880726"/>
    <n v="9.679600000000022"/>
    <n v="-7.0419220405963685"/>
    <n v="2.6376779594036535"/>
    <n v="62.112322040596347"/>
    <n v="1.6099865004988934E-2"/>
    <n v="0.34070953694337186"/>
  </r>
  <r>
    <x v="0"/>
    <x v="8"/>
    <x v="8"/>
    <d v="2024-10-09T00:00:00"/>
    <n v="0.16059999999999999"/>
    <n v="421.18"/>
    <n v="67.641508000000002"/>
    <n v="0.15"/>
    <n v="0.1963"/>
    <n v="0.76413652572592972"/>
    <n v="0.17989124064884784"/>
    <n v="13.278028020400001"/>
    <n v="484.35699999999997"/>
    <n v="77.787734199999989"/>
    <n v="359.48"/>
    <n v="57.732488000000004"/>
    <n v="-9.9090199999999982"/>
    <n v="402.54229188569246"/>
    <n v="63.176999999999964"/>
    <n v="-9.3188540571537715"/>
    <n v="53.858145942846193"/>
    <n v="10.891854057153807"/>
    <n v="9.1811733314880087E-2"/>
    <n v="5.9745931730618491E-2"/>
  </r>
  <r>
    <x v="4"/>
    <x v="9"/>
    <x v="9"/>
    <d v="2025-03-01T00:00:00"/>
    <n v="3.9380999999999999"/>
    <n v="16.670000000000002"/>
    <n v="65.648127000000002"/>
    <n v="9.0200000000000002E-2"/>
    <n v="0.41289999999999999"/>
    <n v="0.21845483167837249"/>
    <n v="5.142812753130005E-2"/>
    <n v="27.1061116383"/>
    <n v="18.173634000000003"/>
    <n v="71.569588055400018"/>
    <n v="17.55"/>
    <n v="69.113655000000008"/>
    <n v="3.4655280000000062"/>
    <n v="12.603008996749075"/>
    <n v="1.5036340000000017"/>
    <n v="-2.0334955016254632"/>
    <n v="-0.52986150162546153"/>
    <n v="65.279861501625462"/>
    <n v="1.5318659951125971E-2"/>
    <n v="0.35808468679385913"/>
  </r>
  <r>
    <x v="3"/>
    <x v="10"/>
    <x v="10"/>
    <d v="2024-12-04T00:00:00"/>
    <n v="3"/>
    <n v="20.71"/>
    <n v="62.13"/>
    <n v="0.2"/>
    <n v="0.2"/>
    <n v="1"/>
    <n v="0.23541767026245886"/>
    <n v="12.426000000000002"/>
    <n v="24.852"/>
    <n v="74.555999999999997"/>
    <n v="22.45"/>
    <n v="67.349999999999994"/>
    <n v="5.2199999999999918"/>
    <n v="20.71"/>
    <n v="4.1419999999999995"/>
    <n v="0"/>
    <n v="4.1419999999999995"/>
    <n v="60.608000000000004"/>
    <n v="1.6499472016895458E-2"/>
    <n v="0.33245776259286058"/>
  </r>
  <r>
    <x v="4"/>
    <x v="11"/>
    <x v="11"/>
    <d v="2025-03-01T00:00:00"/>
    <n v="0.11940000000000001"/>
    <n v="505.42"/>
    <n v="60.347148000000004"/>
    <n v="0.10929999999999999"/>
    <n v="0.30499999999999999"/>
    <n v="0.35836065573770493"/>
    <n v="8.4364430687497549E-2"/>
    <n v="18.405880140000001"/>
    <n v="560.66240600000003"/>
    <n v="66.943091276400011"/>
    <n v="488.29"/>
    <n v="58.301826000000005"/>
    <n v="-2.0453219999999988"/>
    <n v="422.69800117086226"/>
    <n v="55.242406000000017"/>
    <n v="-41.36099941456888"/>
    <n v="13.881406585431137"/>
    <n v="50.868593414568863"/>
    <n v="1.9658495210398291E-2"/>
    <n v="0.27903344035199124"/>
  </r>
  <r>
    <x v="2"/>
    <x v="12"/>
    <x v="12"/>
    <d v="2024-12-01T00:00:00"/>
    <n v="1.5004999999999999"/>
    <n v="40"/>
    <n v="60.019999999999996"/>
    <n v="0.1"/>
    <n v="0.2"/>
    <n v="0.5"/>
    <n v="0.11770883513122943"/>
    <n v="12.004"/>
    <n v="44"/>
    <n v="66.021999999999991"/>
    <n v="30"/>
    <n v="45.015000000000001"/>
    <n v="-15.004999999999995"/>
    <n v="36.363636363636367"/>
    <n v="4"/>
    <n v="-1.8181818181818166"/>
    <n v="2.1818181818181834"/>
    <n v="62.568181818181813"/>
    <n v="1.5982564475118054E-2"/>
    <n v="0.34321009993360652"/>
  </r>
  <r>
    <x v="2"/>
    <x v="13"/>
    <x v="13"/>
    <d v="2024-08-07T00:00:00"/>
    <n v="0.74609999999999999"/>
    <n v="73.7"/>
    <n v="54.987569999999998"/>
    <n v="0.1"/>
    <n v="0.25990000000000002"/>
    <n v="0.38476337052712584"/>
    <n v="9.0580096291827186E-2"/>
    <n v="14.291269443000001"/>
    <n v="81.070000000000007"/>
    <n v="60.486327000000003"/>
    <n v="66.91"/>
    <n v="49.921550999999994"/>
    <n v="-5.0660190000000043"/>
    <n v="63.539960341408751"/>
    <n v="7.3700000000000045"/>
    <n v="-5.080019829295626"/>
    <n v="2.2899801707043785"/>
    <n v="62.460019829295618"/>
    <n v="1.601024147499502E-2"/>
    <n v="0.34261679058793104"/>
  </r>
  <r>
    <x v="1"/>
    <x v="14"/>
    <x v="14"/>
    <d v="2024-07-08T00:00:00"/>
    <n v="1"/>
    <n v="48.68"/>
    <n v="48.68"/>
    <n v="0.1"/>
    <n v="0.2"/>
    <n v="0.5"/>
    <n v="0.11770883513122943"/>
    <n v="9.7360000000000007"/>
    <n v="53.548000000000002"/>
    <n v="53.548000000000002"/>
    <n v="40.35"/>
    <n v="40.35"/>
    <n v="-8.3299999999999983"/>
    <n v="44.254545454545458"/>
    <n v="4.8680000000000021"/>
    <n v="-2.2127272727272711"/>
    <n v="2.655272727272731"/>
    <n v="62.094727272727269"/>
    <n v="1.6104426960567582E-2"/>
    <n v="0.340613022998693"/>
  </r>
  <r>
    <x v="5"/>
    <x v="15"/>
    <x v="15"/>
    <d v="2024-10-15T00:00:00"/>
    <n v="0.34860000000000002"/>
    <n v="131.91"/>
    <n v="45.983826000000001"/>
    <n v="0.1202"/>
    <n v="0.33710000000000001"/>
    <n v="0.35657075051913378"/>
    <n v="8.3943055370950925E-2"/>
    <n v="15.501147744600001"/>
    <n v="147.76558199999999"/>
    <n v="51.511081885199999"/>
    <n v="129.69999999999999"/>
    <n v="45.213419999999999"/>
    <n v="-0.77040600000000126"/>
    <n v="108.39838934998768"/>
    <n v="15.855581999999998"/>
    <n v="-11.755805325006158"/>
    <n v="4.0997766749938407"/>
    <n v="60.650223325006159"/>
    <n v="1.648798545458445E-2"/>
    <n v="0.33268937347196526"/>
  </r>
  <r>
    <x v="1"/>
    <x v="16"/>
    <x v="16"/>
    <d v="2024-07-08T00:00:00"/>
    <n v="2"/>
    <n v="20.927"/>
    <n v="41.853999999999999"/>
    <n v="3.5000000000000003E-2"/>
    <n v="0.16500000000000001"/>
    <n v="0.21212121212121213"/>
    <n v="4.9937081570824611E-2"/>
    <n v="6.9059100000000004"/>
    <n v="21.659444999999998"/>
    <n v="43.318889999999996"/>
    <n v="16.87"/>
    <n v="33.74"/>
    <n v="-8.1139999999999972"/>
    <n v="18.51946902654867"/>
    <n v="0.73244499999999846"/>
    <n v="-1.2037654867256649"/>
    <n v="-0.4713204867256664"/>
    <n v="65.221320486725659"/>
    <n v="1.5332409594551641E-2"/>
    <n v="0.35776356722493252"/>
  </r>
  <r>
    <x v="1"/>
    <x v="17"/>
    <x v="17"/>
    <d v="2024-07-08T00:00:00"/>
    <n v="2"/>
    <n v="16.399000000000001"/>
    <n v="32.798000000000002"/>
    <n v="3.5000000000000003E-2"/>
    <n v="0.16500000000000001"/>
    <n v="0.21212121212121213"/>
    <n v="4.9937081570824611E-2"/>
    <n v="5.4116700000000009"/>
    <n v="16.972964999999999"/>
    <n v="33.945929999999997"/>
    <n v="12.95"/>
    <n v="25.9"/>
    <n v="-6.8980000000000032"/>
    <n v="14.512389380530973"/>
    <n v="0.57396499999999762"/>
    <n v="-0.9433053097345141"/>
    <n v="-0.36934030973451648"/>
    <n v="65.119340309734511"/>
    <n v="1.5356420922625852E-2"/>
    <n v="0.35720416745144884"/>
  </r>
  <r>
    <x v="2"/>
    <x v="18"/>
    <x v="18"/>
    <d v="2024-12-01T00:00:00"/>
    <n v="0.75290000000000001"/>
    <n v="41.16"/>
    <n v="30.989363999999998"/>
    <n v="0.1"/>
    <n v="0.2"/>
    <n v="0.5"/>
    <n v="0.11770883513122943"/>
    <n v="6.1978727999999998"/>
    <n v="45.276000000000003"/>
    <n v="34.088300400000001"/>
    <n v="45.35"/>
    <n v="34.144015000000003"/>
    <n v="3.1546510000000048"/>
    <n v="37.418181818181822"/>
    <n v="4.1160000000000068"/>
    <n v="-1.8709090909090875"/>
    <n v="2.2450909090909192"/>
    <n v="62.504909090909081"/>
    <n v="1.5998743371429737E-2"/>
    <n v="0.34286302513585304"/>
  </r>
  <r>
    <x v="0"/>
    <x v="19"/>
    <x v="19"/>
    <d v="2025-01-21T00:00:00"/>
    <n v="0.1782"/>
    <n v="168.24"/>
    <n v="29.980368000000002"/>
    <n v="0.1317760342368044"/>
    <n v="0.26790000000000003"/>
    <n v="0.49188515952521233"/>
    <n v="0.11579845829210342"/>
    <n v="8.0317405872000016"/>
    <n v="190.40999999999997"/>
    <n v="33.931061999999997"/>
    <n v="145.38"/>
    <n v="25.906715999999999"/>
    <n v="-4.0736520000000027"/>
    <n v="148.08243208476298"/>
    <n v="22.169999999999959"/>
    <n v="-10.078783957618512"/>
    <n v="12.091216042381447"/>
    <n v="52.658783957618553"/>
    <n v="1.8990184065109279E-2"/>
    <n v="0.28885331136831249"/>
  </r>
  <r>
    <x v="5"/>
    <x v="20"/>
    <x v="20"/>
    <d v="2024-08-03T00:00:00"/>
    <n v="0.52270000000000005"/>
    <n v="38.229999999999997"/>
    <n v="19.982821000000001"/>
    <n v="7.0000000000000007E-2"/>
    <n v="0.4"/>
    <n v="0.17500000000000002"/>
    <n v="4.1198092295930307E-2"/>
    <n v="7.9931284000000007"/>
    <n v="40.906100000000002"/>
    <n v="21.381618470000003"/>
    <n v="27.96"/>
    <n v="14.614692000000002"/>
    <n v="-5.3681289999999997"/>
    <n v="28.744360902255639"/>
    <n v="2.6761000000000053"/>
    <n v="-4.7428195488721787"/>
    <n v="-2.0667195488721735"/>
    <n v="66.816719548872172"/>
    <n v="1.4966313921900396E-2"/>
    <n v="0.36651493342483976"/>
  </r>
  <r>
    <x v="6"/>
    <x v="21"/>
    <x v="21"/>
    <d v="2024-12-04T00:00:00"/>
    <n v="0.28749999999999998"/>
    <n v="34.78"/>
    <n v="9.99925"/>
    <n v="0.2"/>
    <n v="0.2"/>
    <n v="1"/>
    <n v="0.23541767026245886"/>
    <n v="1.9998500000000001"/>
    <n v="41.735999999999997"/>
    <n v="11.999099999999999"/>
    <n v="25.26"/>
    <n v="7.2622499999999999"/>
    <n v="-2.7370000000000001"/>
    <n v="34.78"/>
    <n v="6.955999999999996"/>
    <n v="0"/>
    <n v="6.955999999999996"/>
    <n v="57.794000000000004"/>
    <n v="1.7302834204242654E-2"/>
    <n v="0.31702191016518916"/>
  </r>
  <r>
    <x v="5"/>
    <x v="22"/>
    <x v="22"/>
    <d v="2025-02-07T00:00:00"/>
    <n v="2.9999999999999997E-4"/>
    <n v="143.18"/>
    <n v="4.2953999999999999E-2"/>
    <n v="7.0000000000000007E-2"/>
    <n v="0.1623"/>
    <n v="0.43130006161429457"/>
    <n v="0.1015356556892922"/>
    <n v="6.9714341999999995E-3"/>
    <n v="153.20260000000002"/>
    <n v="4.596078E-2"/>
    <n v="147.29"/>
    <n v="4.4186999999999997E-2"/>
    <n v="1.232999999999998E-3"/>
    <n v="131.08120479721688"/>
    <n v="10.022600000000011"/>
    <n v="-6.0493976013915614"/>
    <n v="3.9732023986084499"/>
    <n v="60.77679760139155"/>
    <n v="1.6453647435630995E-2"/>
    <n v="0.33338368116614586"/>
  </r>
  <r>
    <x v="0"/>
    <x v="23"/>
    <x v="23"/>
    <d v="2024-07-09T00:00:00"/>
    <n v="1E-4"/>
    <n v="227.38"/>
    <n v="2.2738000000000001E-2"/>
    <n v="0.15"/>
    <n v="0.2271"/>
    <n v="0.66050198150594452"/>
    <n v="0.15549383768986716"/>
    <n v="5.1637998000000004E-3"/>
    <n v="261.48699999999997"/>
    <n v="2.6148699999999997E-2"/>
    <n v="187.34"/>
    <n v="1.8734000000000001E-2"/>
    <n v="-4.0040000000000006E-3"/>
    <n v="211.10389007520189"/>
    <n v="34.106999999999971"/>
    <n v="-8.1380549623990532"/>
    <n v="25.968945037600918"/>
    <n v="38.781054962399082"/>
    <n v="2.5785786409615964E-2"/>
    <n v="0.21272872828322911"/>
  </r>
  <r>
    <x v="7"/>
    <x v="24"/>
    <x v="24"/>
    <d v="2025-03-16T00:00:00"/>
    <n v="9.9999999999999998E-20"/>
    <n v="2742.9"/>
    <n v="2.7429000000000002E-16"/>
    <n v="0.1"/>
    <n v="0.5"/>
    <n v="0.2"/>
    <n v="4.7083534052491778E-2"/>
    <n v="1.3714500000000001E-16"/>
    <n v="3017.1900000000005"/>
    <n v="3.0171900000000003E-16"/>
    <n v="2742.9"/>
    <n v="2.7429000000000002E-16"/>
    <n v="0"/>
    <n v="1959.214285714286"/>
    <n v="274.29000000000042"/>
    <n v="-391.84285714285704"/>
    <n v="-117.55285714285662"/>
    <n v="182.30285714285662"/>
    <n v="5.4853775507005768E-3"/>
    <n v="1"/>
  </r>
  <r>
    <x v="0"/>
    <x v="25"/>
    <x v="25"/>
    <d v="2024-07-08T00:00:00"/>
    <n v="9.9999999999999998E-20"/>
    <n v="700.32"/>
    <n v="7.0031999999999998E-17"/>
    <n v="0.1"/>
    <n v="0.45340000000000003"/>
    <n v="0.22055580061755625"/>
    <n v="5.1922732744256482E-2"/>
    <n v="3.1752508800000004E-17"/>
    <n v="770.35200000000009"/>
    <n v="7.7035200000000004E-17"/>
    <n v="700.32"/>
    <n v="7.0031999999999998E-17"/>
    <n v="0"/>
    <n v="517.45234224915032"/>
    <n v="70.032000000000039"/>
    <n v="-91.433828875424865"/>
    <n v="-21.401828875424826"/>
    <n v="86.151828875424826"/>
    <n v="1.1607414642885826E-2"/>
    <n v="0.47257530806505305"/>
  </r>
  <r>
    <x v="5"/>
    <x v="26"/>
    <x v="26"/>
    <d v="2024-09-27T00:00:00"/>
    <n v="9.9999999999999998E-20"/>
    <n v="668.82"/>
    <n v="6.6881999999999999E-17"/>
    <n v="0.05"/>
    <n v="0.28000000000000003"/>
    <n v="0.17857142857142858"/>
    <n v="4.2038869689724798E-2"/>
    <n v="1.872696E-17"/>
    <n v="702.26100000000008"/>
    <n v="7.0226100000000009E-17"/>
    <n v="668.82"/>
    <n v="6.6881999999999999E-17"/>
    <n v="0"/>
    <n v="543.7560975609756"/>
    <n v="33.441000000000031"/>
    <n v="-62.531951219512223"/>
    <n v="-29.090951219512192"/>
    <n v="93.840951219512192"/>
    <n v="1.0656328468589433E-2"/>
    <n v="0.51475304715590009"/>
  </r>
  <r>
    <x v="4"/>
    <x v="27"/>
    <x v="27"/>
    <d v="2025-04-04T00:00:00"/>
    <n v="6.1600000000000002E-2"/>
    <n v="324.48"/>
    <n v="19.987968000000002"/>
    <n v="0.10829999999999999"/>
    <n v="0.27510000000000001"/>
    <n v="0.3936750272628135"/>
    <n v="9.2678057758721538E-2"/>
    <n v="5.4986899968000005"/>
    <n v="359.62118400000003"/>
    <n v="22.152664934400004"/>
    <n v="324.48"/>
    <n v="19.987968000000002"/>
    <n v="0"/>
    <n v="278.09393212204321"/>
    <n v="35.14118400000001"/>
    <n v="-23.193033938978402"/>
    <n v="11.948150061021607"/>
    <n v="52.801849938978393"/>
    <n v="1.8938730388341918E-2"/>
    <n v="0.28963808229073268"/>
  </r>
  <r>
    <x v="6"/>
    <x v="28"/>
    <x v="28"/>
    <d v="2024-12-04T00:00:00"/>
    <n v="9.9999999999999998E-20"/>
    <n v="323.75"/>
    <n v="3.2375000000000002E-17"/>
    <n v="0.2"/>
    <n v="0.2"/>
    <n v="1"/>
    <n v="0.23541767026245886"/>
    <n v="6.4750000000000006E-18"/>
    <n v="388.5"/>
    <n v="3.8849999999999999E-17"/>
    <n v="323.75"/>
    <n v="3.2375000000000002E-17"/>
    <n v="0"/>
    <n v="323.75"/>
    <n v="64.75"/>
    <n v="0"/>
    <n v="64.75"/>
    <n v="0"/>
    <n v="0"/>
    <n v="0"/>
  </r>
  <r>
    <x v="0"/>
    <x v="29"/>
    <x v="29"/>
    <d v="2024-09-09T00:00:00"/>
    <n v="9.9999999999999998E-20"/>
    <n v="188.12"/>
    <n v="1.8812000000000001E-17"/>
    <n v="0.15"/>
    <n v="0.37780000000000002"/>
    <n v="0.39703546850185278"/>
    <n v="9.3469165006270047E-2"/>
    <n v="7.1071736000000005E-18"/>
    <n v="216.33799999999999"/>
    <n v="2.16338E-17"/>
    <n v="188.12"/>
    <n v="1.8812000000000001E-17"/>
    <n v="0"/>
    <n v="153.21713634142367"/>
    <n v="28.217999999999989"/>
    <n v="-17.451431829288168"/>
    <n v="10.766568170711821"/>
    <n v="53.983431829288179"/>
    <n v="1.8524202076709392E-2"/>
    <n v="0.29611950506615237"/>
  </r>
  <r>
    <x v="0"/>
    <x v="30"/>
    <x v="30"/>
    <d v="2024-07-08T00:00:00"/>
    <n v="9.9999999999999998E-20"/>
    <n v="169.34"/>
    <n v="1.6933999999999999E-17"/>
    <n v="0.1"/>
    <n v="0.4259"/>
    <n v="0.23479690068091102"/>
    <n v="5.5275339343146011E-2"/>
    <n v="7.2121906000000005E-18"/>
    <n v="186.27400000000003"/>
    <n v="1.8627400000000003E-17"/>
    <n v="169.34"/>
    <n v="1.6933999999999999E-17"/>
    <n v="0"/>
    <n v="127.71702239987934"/>
    <n v="16.934000000000026"/>
    <n v="-20.811488800060332"/>
    <n v="-3.8774888000603056"/>
    <n v="68.627488800060306"/>
    <n v="1.457142054131407E-2"/>
    <n v="0.37644768642480608"/>
  </r>
  <r>
    <x v="7"/>
    <x v="31"/>
    <x v="31"/>
    <d v="2024-10-09T00:00:00"/>
    <n v="9.9999999999999998E-20"/>
    <n v="153.7552"/>
    <n v="1.5375519999999999E-17"/>
    <n v="7.0000000000000007E-2"/>
    <n v="0.19"/>
    <n v="0.36842105263157898"/>
    <n v="8.6732825886169068E-2"/>
    <n v="2.9213487999999999E-18"/>
    <n v="164.51806400000001"/>
    <n v="1.6451806399999999E-17"/>
    <n v="153.7552"/>
    <n v="1.5375519999999999E-17"/>
    <n v="0"/>
    <n v="137.28142857142859"/>
    <n v="10.762864000000008"/>
    <n v="-8.2368857142857053"/>
    <n v="2.5259782857143023"/>
    <n v="62.224021714285698"/>
    <n v="1.6070963792596118E-2"/>
    <n v="0.34132225182584797"/>
  </r>
  <r>
    <x v="0"/>
    <x v="32"/>
    <x v="32"/>
    <d v="2024-07-09T00:00:00"/>
    <n v="9.9999999999999998E-20"/>
    <n v="147.01"/>
    <n v="1.4700999999999999E-17"/>
    <n v="0.15"/>
    <n v="0.52380000000000004"/>
    <n v="0.28636884306987398"/>
    <n v="6.7416285871265427E-2"/>
    <n v="7.7003838000000003E-18"/>
    <n v="169.06149999999997"/>
    <n v="1.6906149999999997E-17"/>
    <n v="147.01"/>
    <n v="1.4700999999999999E-17"/>
    <n v="0"/>
    <n v="107.00975396709855"/>
    <n v="22.051499999999976"/>
    <n v="-20.000123016450722"/>
    <n v="2.0513769835492539"/>
    <n v="62.698623016450746"/>
    <n v="1.5949313587598598E-2"/>
    <n v="0.34392561915427738"/>
  </r>
  <r>
    <x v="8"/>
    <x v="33"/>
    <x v="33"/>
    <d v="2024-12-01T00:00:00"/>
    <n v="9.9999999999999998E-20"/>
    <n v="133.53"/>
    <n v="1.3353E-17"/>
    <n v="7.0000000000000007E-2"/>
    <n v="0.2"/>
    <n v="0.35000000000000003"/>
    <n v="8.2396184591860613E-2"/>
    <n v="2.6706000000000003E-18"/>
    <n v="142.87710000000001"/>
    <n v="1.428771E-17"/>
    <n v="133.53"/>
    <n v="1.3353E-17"/>
    <n v="0"/>
    <n v="118.16814159292036"/>
    <n v="9.3471000000000117"/>
    <n v="-7.6809292035398187"/>
    <n v="1.6661707964601931"/>
    <n v="63.083829203539807"/>
    <n v="1.5851922951181398E-2"/>
    <n v="0.34603862052532669"/>
  </r>
  <r>
    <x v="2"/>
    <x v="34"/>
    <x v="34"/>
    <d v="2024-08-07T00:00:00"/>
    <n v="9.9999999999999998E-20"/>
    <n v="113.58"/>
    <n v="1.1357999999999999E-17"/>
    <n v="6.664905793273479E-2"/>
    <n v="0.1739"/>
    <n v="0.38326082767530067"/>
    <n v="9.0226371154181001E-2"/>
    <n v="1.9751561999999997E-18"/>
    <n v="121.15000000000002"/>
    <n v="1.2115000000000002E-17"/>
    <n v="118.93"/>
    <n v="1.1893E-17"/>
    <n v="5.3500000000000062E-19"/>
    <n v="102.57837287358122"/>
    <n v="7.5700000000000216"/>
    <n v="-5.5008135632093911"/>
    <n v="2.0691864367906305"/>
    <n v="62.680813563209369"/>
    <n v="1.5953845254282915E-2"/>
    <n v="0.34382792757927688"/>
  </r>
  <r>
    <x v="3"/>
    <x v="35"/>
    <x v="35"/>
    <d v="2024-08-01T00:00:00"/>
    <n v="9.9999999999999998E-20"/>
    <n v="86.6"/>
    <n v="8.6599999999999986E-18"/>
    <n v="7.0000000000000007E-2"/>
    <n v="0.17249999999999999"/>
    <n v="0.40579710144927544"/>
    <n v="9.5531808222447098E-2"/>
    <n v="1.4938499999999996E-18"/>
    <n v="92.662000000000006"/>
    <n v="9.2662000000000008E-18"/>
    <n v="86.6"/>
    <n v="8.6599999999999986E-18"/>
    <n v="0"/>
    <n v="78.548752834467123"/>
    <n v="6.0620000000000118"/>
    <n v="-4.0256235827664355"/>
    <n v="2.0363764172335763"/>
    <n v="62.713623582766424"/>
    <n v="1.5945498647199807E-2"/>
    <n v="0.34400790292399319"/>
  </r>
  <r>
    <x v="0"/>
    <x v="36"/>
    <x v="36"/>
    <d v="2024-07-08T00:00:00"/>
    <n v="9.9999999999999998E-20"/>
    <n v="64.349999999999994"/>
    <n v="6.4349999999999993E-18"/>
    <n v="0.15"/>
    <n v="0.67300000000000004"/>
    <n v="0.22288261515601782"/>
    <n v="5.2470506002033922E-2"/>
    <n v="4.3307549999999997E-18"/>
    <n v="74.002499999999984"/>
    <n v="7.4002499999999988E-18"/>
    <n v="64.349999999999994"/>
    <n v="6.4349999999999993E-18"/>
    <n v="0"/>
    <n v="42.252133946158892"/>
    <n v="9.6524999999999892"/>
    <n v="-11.048933026920551"/>
    <n v="-1.3964330269205618"/>
    <n v="66.146433026920562"/>
    <n v="1.5117973173141713E-2"/>
    <n v="0.36283815878478926"/>
  </r>
  <r>
    <x v="9"/>
    <x v="37"/>
    <x v="37"/>
    <d v="2024-09-27T00:00:00"/>
    <n v="9.9999999999999998E-20"/>
    <n v="56"/>
    <n v="5.5999999999999995E-18"/>
    <n v="7.0000000000000007E-2"/>
    <n v="0.19"/>
    <n v="0.36842105263157898"/>
    <n v="8.6732825886169068E-2"/>
    <n v="1.0639999999999999E-18"/>
    <n v="59.92"/>
    <n v="5.9920000000000002E-18"/>
    <n v="56"/>
    <n v="5.5999999999999995E-18"/>
    <n v="0"/>
    <n v="50.000000000000007"/>
    <n v="3.9200000000000017"/>
    <n v="-2.9999999999999964"/>
    <n v="0.92000000000000526"/>
    <n v="63.83"/>
    <n v="1.5666614444618518E-2"/>
    <n v="0.3501316490612178"/>
  </r>
  <r>
    <x v="5"/>
    <x v="38"/>
    <x v="38"/>
    <d v="2024-10-09T00:00:00"/>
    <n v="9.9999999999999998E-20"/>
    <n v="47.42"/>
    <n v="4.7419999999999999E-18"/>
    <n v="7.0000000000000007E-2"/>
    <n v="0.4"/>
    <n v="0.17500000000000002"/>
    <n v="4.1198092295930307E-2"/>
    <n v="1.8968000000000002E-18"/>
    <n v="50.739400000000003"/>
    <n v="5.0739400000000001E-18"/>
    <n v="47.42"/>
    <n v="4.7419999999999999E-18"/>
    <n v="0"/>
    <n v="35.654135338345867"/>
    <n v="3.3194000000000017"/>
    <n v="-5.8829323308270673"/>
    <n v="-2.5635323308270657"/>
    <n v="67.313532330827059"/>
    <n v="1.4855853873264021E-2"/>
    <n v="0.36924013910587622"/>
  </r>
  <r>
    <x v="2"/>
    <x v="39"/>
    <x v="39"/>
    <d v="2024-12-01T00:00:00"/>
    <n v="9.9999999999999998E-20"/>
    <n v="26.63"/>
    <n v="2.663E-18"/>
    <n v="0.1"/>
    <n v="0.2"/>
    <n v="0.5"/>
    <n v="0.11770883513122943"/>
    <n v="5.3260000000000006E-19"/>
    <n v="29.293000000000003"/>
    <n v="2.9293000000000003E-18"/>
    <n v="26.63"/>
    <n v="2.663E-18"/>
    <n v="0"/>
    <n v="24.209090909090911"/>
    <n v="2.6630000000000038"/>
    <n v="-1.2104545454545441"/>
    <n v="1.4525454545454597"/>
    <n v="63.297454545454542"/>
    <n v="1.5798423604568332E-2"/>
    <n v="0.34721043618012654"/>
  </r>
  <r>
    <x v="2"/>
    <x v="40"/>
    <x v="40"/>
    <d v="2024-08-07T00:00:00"/>
    <n v="9.9999999999999998E-20"/>
    <n v="20.82"/>
    <n v="2.0820000000000002E-18"/>
    <n v="0.05"/>
    <n v="0.7389"/>
    <n v="6.7668155366084726E-2"/>
    <n v="1.593027948724177E-2"/>
    <n v="1.5383898E-18"/>
    <n v="21.861000000000001"/>
    <n v="2.1860999999999999E-18"/>
    <n v="20.82"/>
    <n v="2.0820000000000002E-18"/>
    <n v="0"/>
    <n v="12.327550476641601"/>
    <n v="1.0410000000000004"/>
    <n v="-4.2462247616791995"/>
    <n v="-3.2052247616791991"/>
    <n v="67.955224761679204"/>
    <n v="1.4715571959433977E-2"/>
    <n v="0.37276006436052705"/>
  </r>
  <r>
    <x v="7"/>
    <x v="41"/>
    <x v="41"/>
    <d v="2024-10-15T00:00:00"/>
    <n v="9.9999999999999998E-20"/>
    <n v="17"/>
    <n v="1.7E-18"/>
    <n v="0.1"/>
    <n v="0.15"/>
    <n v="0.66666666666666674"/>
    <n v="0.15694511350830592"/>
    <n v="2.5499999999999999E-19"/>
    <n v="21.2"/>
    <n v="2.1199999999999999E-18"/>
    <n v="17"/>
    <n v="1.7E-18"/>
    <n v="0"/>
    <n v="16.190476190476193"/>
    <n v="4.1999999999999993"/>
    <n v="-0.40476190476190332"/>
    <n v="3.795238095238096"/>
    <n v="60.954761904761902"/>
    <n v="1.6405609155892349E-2"/>
    <n v="0.33435988256067967"/>
  </r>
  <r>
    <x v="2"/>
    <x v="42"/>
    <x v="42"/>
    <d v="2024-08-07T00:00:00"/>
    <n v="9.9999999999999998E-20"/>
    <n v="13.04"/>
    <n v="1.304E-18"/>
    <n v="5.2147239263803824E-2"/>
    <n v="0.30159999999999998"/>
    <n v="0.17290198694895167"/>
    <n v="4.0704182951272268E-2"/>
    <n v="3.9328639999999997E-19"/>
    <n v="13.72"/>
    <n v="1.3720000000000001E-18"/>
    <n v="13.04"/>
    <n v="1.304E-18"/>
    <n v="0"/>
    <n v="10.436569040286594"/>
    <n v="0.68000000000000149"/>
    <n v="-1.3017154798567026"/>
    <n v="-0.62171547985670106"/>
    <n v="65.371715479856704"/>
    <n v="1.5297135659659025E-2"/>
    <n v="0.35858854054399136"/>
  </r>
  <r>
    <x v="2"/>
    <x v="43"/>
    <x v="43"/>
    <d v="2024-08-07T00:00:00"/>
    <n v="9.9999999999999998E-20"/>
    <n v="11.05"/>
    <n v="1.1050000000000001E-18"/>
    <n v="0.05"/>
    <n v="0.72170000000000001"/>
    <n v="6.9280864625190522E-2"/>
    <n v="1.6309939743831152E-2"/>
    <n v="7.9747850000000009E-19"/>
    <n v="11.602500000000001"/>
    <n v="1.16025E-18"/>
    <n v="11.05"/>
    <n v="1.1050000000000001E-18"/>
    <n v="0"/>
    <n v="6.6100376861877139"/>
    <n v="0.55250000000000021"/>
    <n v="-2.2199811569061434"/>
    <n v="-1.6674811569061432"/>
    <n v="66.417481156906149"/>
    <n v="1.5056277091231111E-2"/>
    <n v="0.36432496011217158"/>
  </r>
  <r>
    <x v="2"/>
    <x v="44"/>
    <x v="44"/>
    <d v="2024-08-07T00:00:00"/>
    <n v="9.9999999999999998E-20"/>
    <n v="10.92"/>
    <n v="1.092E-18"/>
    <n v="1"/>
    <n v="1.8652"/>
    <n v="0.53613553506326406"/>
    <n v="0.12621577860951044"/>
    <n v="2.0367984000000001E-18"/>
    <n v="21.84"/>
    <n v="2.1840000000000001E-18"/>
    <n v="10.92"/>
    <n v="1.092E-18"/>
    <n v="0"/>
    <n v="5.8546000428908433"/>
    <n v="10.92"/>
    <n v="-2.5326999785545783"/>
    <n v="8.3873000214454212"/>
    <n v="56.362699978554581"/>
    <n v="1.7742230240575585E-2"/>
    <n v="0.3091706891592351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4C37825-BDAE-4FF0-A568-62A14518533D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H25" firstHeaderRow="0" firstDataRow="1" firstDataCol="1" rowPageCount="1" colPageCount="1"/>
  <pivotFields count="30">
    <pivotField axis="axisRow" showAll="0" sortType="descending">
      <items count="11">
        <item sd="0" x="5"/>
        <item sd="0" x="9"/>
        <item sd="0" x="4"/>
        <item x="2"/>
        <item sd="0" x="7"/>
        <item sd="0" x="6"/>
        <item sd="0" x="8"/>
        <item sd="0" x="0"/>
        <item sd="0" x="3"/>
        <item sd="0" x="1"/>
        <item t="default" sd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 sortType="descending">
      <items count="46">
        <item sd="0" x="33"/>
        <item sd="0" x="21"/>
        <item sd="0" x="10"/>
        <item sd="0" x="5"/>
        <item sd="0" x="4"/>
        <item sd="0" x="23"/>
        <item sd="0" x="30"/>
        <item sd="0" x="37"/>
        <item sd="0" x="25"/>
        <item sd="0" x="17"/>
        <item sd="0" x="14"/>
        <item sd="0" x="43"/>
        <item sd="0" x="34"/>
        <item sd="0" x="2"/>
        <item sd="0" x="18"/>
        <item sd="0" x="3"/>
        <item sd="0" x="24"/>
        <item sd="0" x="19"/>
        <item sd="0" x="28"/>
        <item sd="0" x="9"/>
        <item sd="0" x="15"/>
        <item sd="0" x="31"/>
        <item sd="0" x="40"/>
        <item sd="0" x="7"/>
        <item sd="0" x="26"/>
        <item sd="0" x="11"/>
        <item sd="0" x="44"/>
        <item sd="0" x="41"/>
        <item sd="0" x="8"/>
        <item sd="0" x="20"/>
        <item sd="0" x="13"/>
        <item sd="0" x="32"/>
        <item sd="0" x="36"/>
        <item sd="0" x="6"/>
        <item sd="0" x="39"/>
        <item sd="0" x="29"/>
        <item sd="0" x="16"/>
        <item sd="0" x="42"/>
        <item sd="0" x="0"/>
        <item sd="0" x="27"/>
        <item sd="0" x="35"/>
        <item sd="0" x="12"/>
        <item sd="0" x="38"/>
        <item sd="0" x="22"/>
        <item x="1"/>
        <item t="default" sd="0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 sortType="descending">
      <items count="49">
        <item sd="0" x="23"/>
        <item sd="0" x="10"/>
        <item sd="0" x="21"/>
        <item sd="0" x="30"/>
        <item sd="0" x="4"/>
        <item sd="0" x="37"/>
        <item sd="0" x="25"/>
        <item sd="0" x="17"/>
        <item sd="0" m="1" x="45"/>
        <item sd="0" x="16"/>
        <item sd="0" x="43"/>
        <item sd="0" x="20"/>
        <item sd="0" x="34"/>
        <item sd="0" x="18"/>
        <item sd="0" x="3"/>
        <item sd="0" x="24"/>
        <item sd="0" x="19"/>
        <item sd="0" x="28"/>
        <item sd="0" x="9"/>
        <item sd="0" x="15"/>
        <item sd="0" x="40"/>
        <item sd="0" x="7"/>
        <item sd="0" x="11"/>
        <item sd="0" x="44"/>
        <item sd="0" x="26"/>
        <item sd="0" x="33"/>
        <item sd="0" x="5"/>
        <item sd="0" x="8"/>
        <item sd="0" x="13"/>
        <item sd="0" x="32"/>
        <item sd="0" x="39"/>
        <item sd="0" x="6"/>
        <item sd="0" x="36"/>
        <item sd="0" x="29"/>
        <item sd="0" x="42"/>
        <item sd="0" x="0"/>
        <item sd="0" x="31"/>
        <item sd="0" x="41"/>
        <item sd="0" x="27"/>
        <item sd="0" x="14"/>
        <item sd="0" x="35"/>
        <item sd="0" x="12"/>
        <item sd="0" x="22"/>
        <item sd="0" x="38"/>
        <item sd="0" x="2"/>
        <item sd="0" m="1" x="47"/>
        <item m="1" x="46"/>
        <item x="1"/>
        <item t="default" sd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65" showAll="0"/>
    <pivotField numFmtId="164" showAll="0"/>
    <pivotField numFmtId="44" showAll="0"/>
    <pivotField dataField="1" numFmtId="44" showAll="0"/>
    <pivotField showAll="0"/>
    <pivotField showAll="0"/>
    <pivotField numFmtId="9" showAll="0"/>
    <pivotField numFmtId="9" showAll="0"/>
    <pivotField numFmtId="9" showAll="0"/>
    <pivotField numFmtId="44" showAll="0"/>
    <pivotField showAll="0"/>
    <pivotField showAll="0"/>
    <pivotField numFmtId="44" showAll="0"/>
    <pivotField numFmtId="44" showAll="0"/>
    <pivotField numFmtId="44" showAll="0"/>
    <pivotField numFmtId="44" showAll="0"/>
    <pivotField numFmtId="44" showAll="0"/>
    <pivotField numFmtId="44" showAll="0"/>
    <pivotField numFmtId="44" showAll="0"/>
    <pivotField numFmtId="9" showAll="0"/>
    <pivotField numFmtId="9" showAl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axis="axisPage" showAll="0" sortType="descending">
      <items count="6">
        <item sd="0" x="0"/>
        <item sd="0" x="1"/>
        <item n="High Risk &gt;=20%" sd="0" x="2"/>
        <item n="Low Risk &lt;20%" sd="0" x="3"/>
        <item x="4"/>
        <item t="default" sd="0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</pivotFields>
  <rowFields count="2">
    <field x="0"/>
    <field x="1"/>
  </rowFields>
  <rowItems count="22">
    <i>
      <x v="9"/>
    </i>
    <i>
      <x v="3"/>
    </i>
    <i r="1">
      <x v="15"/>
    </i>
    <i r="1">
      <x v="4"/>
    </i>
    <i r="1">
      <x v="41"/>
    </i>
    <i r="1">
      <x v="30"/>
    </i>
    <i r="1">
      <x v="14"/>
    </i>
    <i r="1">
      <x v="12"/>
    </i>
    <i r="1">
      <x v="34"/>
    </i>
    <i r="1">
      <x v="22"/>
    </i>
    <i r="1">
      <x v="37"/>
    </i>
    <i r="1">
      <x v="11"/>
    </i>
    <i r="1">
      <x v="26"/>
    </i>
    <i>
      <x v="8"/>
    </i>
    <i>
      <x v="7"/>
    </i>
    <i>
      <x v="2"/>
    </i>
    <i>
      <x/>
    </i>
    <i>
      <x v="5"/>
    </i>
    <i>
      <x v="4"/>
    </i>
    <i>
      <x v="6"/>
    </i>
    <i>
      <x v="1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1">
    <pageField fld="29" hier="-1"/>
  </pageFields>
  <dataFields count="7">
    <dataField name="Initial Volume $" fld="6" baseField="0" baseItem="0" numFmtId="44"/>
    <dataField name="$%" fld="6" baseField="0" baseItem="7" numFmtId="9">
      <extLst>
        <ext xmlns:x14="http://schemas.microsoft.com/office/spreadsheetml/2009/9/main" uri="{E15A36E0-9728-4e99-A89B-3F7291B0FE68}">
          <x14:dataField pivotShowAs="percentOfParentRow"/>
        </ext>
      </extLst>
    </dataField>
    <dataField name="Volatility " fld="28" baseField="0" baseItem="8" numFmtId="10"/>
    <dataField name="Target Return %" fld="24" baseField="0" baseItem="0" numFmtId="10"/>
    <dataField name="Target P&amp;L" fld="25" baseField="0" baseItem="0" numFmtId="44"/>
    <dataField name="Actual Return %" fld="27" baseField="0" baseItem="8" numFmtId="10"/>
    <dataField name="Actual P&amp;L " fld="26" baseField="0" baseItem="0" numFmtId="44"/>
  </dataFields>
  <formats count="8">
    <format dxfId="6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1">
      <pivotArea outline="0" fieldPosition="0">
        <references count="1">
          <reference field="4294967294" count="1">
            <x v="3"/>
          </reference>
        </references>
      </pivotArea>
    </format>
    <format dxfId="60">
      <pivotArea outline="0" fieldPosition="0">
        <references count="1">
          <reference field="4294967294" count="1">
            <x v="5"/>
          </reference>
        </references>
      </pivotArea>
    </format>
    <format dxfId="59">
      <pivotArea outline="0" fieldPosition="0">
        <references count="1">
          <reference field="4294967294" count="1">
            <x v="2"/>
          </reference>
        </references>
      </pivotArea>
    </format>
    <format dxfId="58">
      <pivotArea dataOnly="0" labelOnly="1" outline="0" fieldPosition="0">
        <references count="1">
          <reference field="4294967294" count="5">
            <x v="2"/>
            <x v="3"/>
            <x v="4"/>
            <x v="5"/>
            <x v="6"/>
          </reference>
        </references>
      </pivotArea>
    </format>
    <format dxfId="57">
      <pivotArea dataOnly="0" labelOnly="1" outline="0" fieldPosition="0">
        <references count="1">
          <reference field="4294967294" count="5">
            <x v="2"/>
            <x v="3"/>
            <x v="4"/>
            <x v="5"/>
            <x v="6"/>
          </reference>
        </references>
      </pivotArea>
    </format>
    <format dxfId="56">
      <pivotArea dataOnly="0" labelOnly="1" outline="0" fieldPosition="0">
        <references count="1">
          <reference field="4294967294" count="5">
            <x v="2"/>
            <x v="3"/>
            <x v="4"/>
            <x v="5"/>
            <x v="6"/>
          </reference>
        </references>
      </pivotArea>
    </format>
  </formats>
  <pivotTableStyleInfo name="PivotStyleDark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4">
  <a r="1">
    <v t="i">1</v>
  </a>
  <a r="1">
    <v>147.29</v>
  </a>
  <a r="1">
    <v>144.84</v>
  </a>
  <a r="1">
    <v>488.29</v>
  </a>
  <a r="1">
    <v>146.44</v>
  </a>
  <a r="1">
    <v>187.34</v>
  </a>
  <a r="1">
    <v>145.38</v>
  </a>
  <a r="1">
    <v>55.71</v>
  </a>
  <a r="1">
    <v>129.69999999999999</v>
  </a>
  <a r="1">
    <v>359.48</v>
  </a>
  <a r="1">
    <v>27.96</v>
  </a>
  <a r="1">
    <v>137.65</v>
  </a>
  <a r="1">
    <v>25.26</v>
  </a>
  <a r="46">
    <v t="r">0</v>
    <v t="e">#NULL!</v>
    <v t="e">#NULL!</v>
    <v t="e">#NULL!</v>
    <v t="e">#NULL!</v>
    <v t="r">1</v>
    <v t="r">2</v>
    <v t="r">3</v>
    <v t="r">4</v>
    <v t="e">#NULL!</v>
    <v t="e">#NULL!</v>
    <v t="r">5</v>
    <v t="e">#NULL!</v>
    <v t="e">#NULL!</v>
    <v t="e">#NULL!</v>
    <v t="r">6</v>
    <v t="e">#NULL!</v>
    <v t="e">#NULL!</v>
    <v t="e">#NULL!</v>
    <v t="r">7</v>
    <v t="r">8</v>
    <v t="r">9</v>
    <v t="r">10</v>
    <v t="r">11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26">
  <rv s="0">
    <fb>144.84</fb>
    <v>0</v>
  </rv>
  <rv s="0">
    <fb>55.71</fb>
    <v>0</v>
  </rv>
  <rv s="0">
    <fb>146.44</fb>
    <v>0</v>
  </rv>
  <rv s="0">
    <fb>137.65</fb>
    <v>0</v>
  </rv>
  <rv s="0">
    <fb>359.48</fb>
    <v>0</v>
  </rv>
  <rv s="0">
    <fb>488.29</fb>
    <v>0</v>
  </rv>
  <rv s="0">
    <fb>129.69999999999999</fb>
    <v>0</v>
  </rv>
  <rv s="0">
    <fb>145.38</fb>
    <v>0</v>
  </rv>
  <rv s="0">
    <fb>27.96</fb>
    <v>0</v>
  </rv>
  <rv s="0">
    <fb>25.26</fb>
    <v>0</v>
  </rv>
  <rv s="0">
    <fb>147.29</fb>
    <v>0</v>
  </rv>
  <rv s="0">
    <fb>187.34</fb>
    <v>0</v>
  </rv>
  <rv s="1">
    <v>1</v>
    <v>YUM</v>
    <v>Weekly</v>
    <v>45746</v>
    <v>45752</v>
    <v>0</v>
    <v>1</v>
    <v>638793216000000000,638795034708381949,0</v>
    <v>0</v>
    <v>a26em7</v>
    <v>XNYS:YUM</v>
    <v>1</v>
  </rv>
  <rv s="1">
    <v>1</v>
    <v>TSM</v>
    <v>Weekly</v>
    <v>45746</v>
    <v>45752</v>
    <v>0</v>
    <v>1</v>
    <v>638793216000000000,638795034708162439,0</v>
    <v>0</v>
    <v>a24kjc</v>
    <v>XNYS:TSM</v>
    <v>2</v>
  </rv>
  <rv s="1">
    <v>1</v>
    <v>MA</v>
    <v>Weekly</v>
    <v>45746</v>
    <v>45752</v>
    <v>0</v>
    <v>1</v>
    <v>638793216000000000,638795034708357036,0</v>
    <v>0</v>
    <v>a1x8w7</v>
    <v>XNYS:MA</v>
    <v>3</v>
  </rv>
  <rv s="1">
    <v>1</v>
    <v>PEP</v>
    <v>Weekly</v>
    <v>45746</v>
    <v>45752</v>
    <v>0</v>
    <v>1</v>
    <v>638793216000000000,638795034708451159,0</v>
    <v>0</v>
    <v>axyhnm</v>
    <v>XNAS:PEP</v>
    <v>4</v>
  </rv>
  <rv s="1">
    <v>1</v>
    <v>AAPL</v>
    <v>Weekly</v>
    <v>45746</v>
    <v>45752</v>
    <v>0</v>
    <v>1</v>
    <v>638793216000000000,638795034708014416,0</v>
    <v>0</v>
    <v>a1mou2</v>
    <v>XNAS:AAPL</v>
    <v>5</v>
  </rv>
  <rv s="1">
    <v>1</v>
    <v>GOOGL</v>
    <v>Weekly</v>
    <v>45746</v>
    <v>45752</v>
    <v>0</v>
    <v>1</v>
    <v>638793216000000000,638795034708263149,0</v>
    <v>0</v>
    <v>a1u3rw</v>
    <v>XNAS:GOOGL</v>
    <v>6</v>
  </rv>
  <rv s="1">
    <v>1</v>
    <v>MO</v>
    <v>Weekly</v>
    <v>45746</v>
    <v>45752</v>
    <v>0</v>
    <v>1</v>
    <v>638793216000000000,638795034708459782,0</v>
    <v>0</v>
    <v>a1xtpr</v>
    <v>XNYS:MO</v>
    <v>7</v>
  </rv>
  <rv s="1">
    <v>1</v>
    <v>INGR</v>
    <v>Weekly</v>
    <v>45746</v>
    <v>45752</v>
    <v>0</v>
    <v>1</v>
    <v>638793216000000000,638795034708432602,0</v>
    <v>0</v>
    <v>a1vkp2</v>
    <v>XNYS:INGR</v>
    <v>8</v>
  </rv>
  <rv s="1">
    <v>1</v>
    <v>MSFT</v>
    <v>Weekly</v>
    <v>45746</v>
    <v>45752</v>
    <v>0</v>
    <v>1</v>
    <v>638793216000000000,638795034708025303,0</v>
    <v>0</v>
    <v>a1xzim</v>
    <v>XNAS:MSFT</v>
    <v>9</v>
  </rv>
  <rv s="1">
    <v>1</v>
    <v>DAR</v>
    <v>Weekly</v>
    <v>45746</v>
    <v>45752</v>
    <v>0</v>
    <v>1</v>
    <v>638793216000000000,638795034708293893,0</v>
    <v>0</v>
    <v>a1qqk2</v>
    <v>XNYS:DAR</v>
    <v>10</v>
  </rv>
  <rv s="1">
    <v>1</v>
    <v>KMB</v>
    <v>Weekly</v>
    <v>45746</v>
    <v>45752</v>
    <v>0</v>
    <v>1</v>
    <v>638793216000000000,638795034708106590,0</v>
    <v>0</v>
    <v>a1wjz2</v>
    <v>XNYS:KMB</v>
    <v>11</v>
  </rv>
  <rv s="1">
    <v>1</v>
    <v>AGIO</v>
    <v>Weekly</v>
    <v>45746</v>
    <v>45752</v>
    <v>0</v>
    <v>1</v>
    <v>638793216000000000,638795034708068701,0</v>
    <v>0</v>
    <v>a1n2qh</v>
    <v>XNAS:AGIO</v>
    <v>12</v>
  </rv>
  <rv s="2">
    <v>13</v>
  </rv>
  <rv s="3">
    <v>{F7C2E8EE-41B2-4379-9483-1E1726C2B887}</v>
    <v>0</v>
    <v>2</v>
    <v>24</v>
  </rv>
</rvData>
</file>

<file path=xl/richData/rdrichvaluestructure.xml><?xml version="1.0" encoding="utf-8"?>
<rvStructures xmlns="http://schemas.microsoft.com/office/spreadsheetml/2017/richdata" count="4">
  <s t="_formattednumber">
    <k n="_Format" t="spb"/>
  </s>
  <s t="_stockhistorycache">
    <k n="_Format" t="spb"/>
    <k n="Symbol" t="s"/>
    <k n="Interval" t="s"/>
    <k n="StartDate" t="i"/>
    <k n="EndDate" t="i"/>
    <k n="f1904" t="b"/>
    <k n="fdcompat" t="b"/>
    <k n="etag" t="s"/>
    <k n="Date" t="a"/>
    <k n="EntityId" t="s"/>
    <k n="Instrument" t="s"/>
    <k n="Low" t="a"/>
  </s>
  <s t="_array">
    <k n="array" t="a"/>
  </s>
  <s t="_datasourcecontainer">
    <k n="%XLUID" t="s"/>
    <k n="_CRID" t="i"/>
    <k n="_Display" t="spb"/>
    <k n="Close Pric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Close Price</v>
      <v t="s">_CRID</v>
      <v t="s">%XLUID</v>
      <v t="s">_Display</v>
    </a>
  </spbArrays>
  <spbData count="3">
    <spb s="0">
      <v>1</v>
    </spb>
    <spb s="1">
      <v>1</v>
      <v>2</v>
    </spb>
    <spb s="2">
      <v>0</v>
    </spb>
  </spbData>
</supportingPropertyBags>
</file>

<file path=xl/richData/rdsupportingpropertybagstructure.xml><?xml version="1.0" encoding="utf-8"?>
<spbStructures xmlns="http://schemas.microsoft.com/office/spreadsheetml/2017/richdata2" count="3">
  <s>
    <k n="_Self" t="i"/>
  </s>
  <s>
    <k n="Low" t="i"/>
    <k n="Date" t="i"/>
  </s>
  <s>
    <k n="^Order" t="spba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2">
    <x:dxf>
      <x:numFmt numFmtId="0" formatCode="General"/>
    </x:dxf>
    <x:dxf>
      <x:numFmt numFmtId="19" formatCode="m/d/yyyy"/>
    </x:dxf>
  </dxfs>
  <richProperties>
    <rPr n="NumberFormat" t="s"/>
  </richProperties>
  <richStyles>
    <rSty dxfid="0">
      <rpv i="0">_([$$-en-US]* #,##0.00_);_([$$-en-US]* (#,##0.00);_([$$-en-US]* "-"??_);_(@_)</rpv>
    </rSty>
    <rSty dxfid="1"/>
  </richStyles>
</richStyleShee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X49"/>
  <sheetViews>
    <sheetView tabSelected="1" workbookViewId="0">
      <selection activeCell="J51" sqref="J51"/>
    </sheetView>
  </sheetViews>
  <sheetFormatPr defaultRowHeight="15" outlineLevelCol="1" x14ac:dyDescent="0.25"/>
  <cols>
    <col min="1" max="1" width="14.28515625" bestFit="1" customWidth="1"/>
    <col min="2" max="2" width="20.28515625" bestFit="1" customWidth="1"/>
    <col min="3" max="3" width="11" bestFit="1" customWidth="1"/>
    <col min="4" max="4" width="30.42578125" style="8" customWidth="1" outlineLevel="1"/>
    <col min="5" max="5" width="10.5703125" style="2" customWidth="1" outlineLevel="1"/>
    <col min="6" max="6" width="10.5703125" style="1" customWidth="1" outlineLevel="1"/>
    <col min="7" max="7" width="11.5703125" style="1" customWidth="1" outlineLevel="1"/>
    <col min="8" max="8" width="9.85546875" style="10" customWidth="1" outlineLevel="1"/>
    <col min="9" max="9" width="11.42578125" style="10" customWidth="1" outlineLevel="1"/>
    <col min="10" max="10" width="9.140625" style="10" customWidth="1" outlineLevel="1"/>
    <col min="11" max="11" width="7.5703125" style="10" customWidth="1" outlineLevel="1"/>
    <col min="12" max="12" width="12.7109375" style="10" customWidth="1" outlineLevel="1"/>
    <col min="13" max="13" width="11.42578125" customWidth="1" outlineLevel="1"/>
    <col min="14" max="14" width="14.28515625" customWidth="1" outlineLevel="1"/>
    <col min="15" max="15" width="15.28515625" bestFit="1" customWidth="1"/>
    <col min="16" max="16" width="14.28515625" bestFit="1" customWidth="1"/>
    <col min="17" max="17" width="15" bestFit="1" customWidth="1"/>
    <col min="18" max="18" width="14.28515625" bestFit="1" customWidth="1"/>
    <col min="19" max="19" width="10.5703125" bestFit="1" customWidth="1"/>
    <col min="20" max="20" width="13.28515625" bestFit="1" customWidth="1"/>
    <col min="21" max="21" width="12.42578125" bestFit="1" customWidth="1"/>
    <col min="22" max="22" width="14.7109375" bestFit="1" customWidth="1"/>
    <col min="23" max="23" width="12.85546875" bestFit="1" customWidth="1"/>
    <col min="24" max="24" width="15.85546875" bestFit="1" customWidth="1"/>
  </cols>
  <sheetData>
    <row r="1" spans="1:24" ht="45" customHeight="1" x14ac:dyDescent="0.25">
      <c r="A1" s="16" t="s">
        <v>35</v>
      </c>
      <c r="B1" s="16" t="s">
        <v>0</v>
      </c>
      <c r="C1" s="16" t="s">
        <v>82</v>
      </c>
      <c r="D1" s="17" t="s">
        <v>1</v>
      </c>
      <c r="E1" s="18" t="s">
        <v>2</v>
      </c>
      <c r="F1" s="19" t="s">
        <v>3</v>
      </c>
      <c r="G1" s="19" t="s">
        <v>4</v>
      </c>
      <c r="H1" s="16" t="s">
        <v>95</v>
      </c>
      <c r="I1" s="16" t="s">
        <v>61</v>
      </c>
      <c r="J1" s="16" t="s">
        <v>62</v>
      </c>
      <c r="K1" s="16" t="s">
        <v>63</v>
      </c>
      <c r="L1" s="16" t="s">
        <v>140</v>
      </c>
      <c r="M1" s="16" t="s">
        <v>64</v>
      </c>
      <c r="N1" s="16" t="s">
        <v>110</v>
      </c>
      <c r="O1" s="16" t="s">
        <v>134</v>
      </c>
      <c r="P1" s="16" t="s">
        <v>135</v>
      </c>
      <c r="Q1" s="16" t="s">
        <v>136</v>
      </c>
      <c r="R1" s="16" t="s">
        <v>65</v>
      </c>
      <c r="S1" s="16" t="s">
        <v>66</v>
      </c>
      <c r="T1" s="16" t="s">
        <v>67</v>
      </c>
      <c r="U1" s="16" t="s">
        <v>68</v>
      </c>
      <c r="V1" s="16" t="s">
        <v>69</v>
      </c>
      <c r="W1" s="16" t="s">
        <v>81</v>
      </c>
      <c r="X1" s="16" t="s">
        <v>70</v>
      </c>
    </row>
    <row r="2" spans="1:24" hidden="1" x14ac:dyDescent="0.25">
      <c r="A2" t="s">
        <v>36</v>
      </c>
      <c r="B2" s="3" t="s">
        <v>21</v>
      </c>
      <c r="C2" t="s">
        <v>22</v>
      </c>
      <c r="D2" s="8">
        <v>45484</v>
      </c>
      <c r="E2" s="2">
        <v>1.0547</v>
      </c>
      <c r="F2" s="1">
        <v>173.43</v>
      </c>
      <c r="G2" s="1">
        <f t="shared" ref="G2:G46" si="0">E2*F2</f>
        <v>182.91662099999999</v>
      </c>
      <c r="H2" s="13">
        <f>227.4/F2-1</f>
        <v>0.31119183532260863</v>
      </c>
      <c r="I2" s="11">
        <v>0.37</v>
      </c>
      <c r="J2" s="9">
        <f t="shared" ref="J2:J46" si="1">IFERROR(H2/I2,"")</f>
        <v>0.84105901438542874</v>
      </c>
      <c r="K2" s="9">
        <f t="shared" ref="K2:K46" si="2">IFERROR(J2/SUBTOTAL(9,$J$2:$J$1048576),"")</f>
        <v>0.21480299759641752</v>
      </c>
      <c r="L2" s="9">
        <f t="shared" ref="L2:L46" si="3">I2*G2</f>
        <v>67.679149769999995</v>
      </c>
      <c r="M2" s="12">
        <f>F2/(1-(F2*(1+H2)-F2)/(F2*(1+H2)))</f>
        <v>227.40000000000006</v>
      </c>
      <c r="N2" s="12">
        <f t="shared" ref="N2:N46" si="4">M2*E2</f>
        <v>239.83878000000007</v>
      </c>
      <c r="O2" s="12" cm="1" vm="1">
        <f t="array" aca="1" ref="O2" ca="1">_xlfn.STOCKHISTORY(C2,TODAY()-1,TODAY(),1,0,4)</f>
        <v>144.84</v>
      </c>
      <c r="P2" s="12">
        <f t="shared" ref="P2:P46" ca="1" si="5">IFERROR(O2*E2,G2)</f>
        <v>152.76274799999999</v>
      </c>
      <c r="Q2" s="12">
        <f t="shared" ref="Q2:Q46" ca="1" si="6">P2-G2</f>
        <v>-30.153873000000004</v>
      </c>
      <c r="R2" s="12">
        <f t="shared" ref="R2:R46" si="7">F2/(1+I2-H2)</f>
        <v>163.79737688634319</v>
      </c>
      <c r="S2" s="12">
        <f t="shared" ref="S2:S46" si="8">M2-F2</f>
        <v>53.970000000000056</v>
      </c>
      <c r="T2" s="12">
        <f t="shared" ref="T2:T46" si="9">0.5*(R2-F2)</f>
        <v>-4.8163115568284098</v>
      </c>
      <c r="U2" s="15">
        <f t="shared" ref="U2:U46" si="10">S2+T2</f>
        <v>49.153688443171646</v>
      </c>
      <c r="V2" s="12">
        <f t="shared" ref="V2:V46" si="11">MAX($U$2:$U$277)-U2</f>
        <v>15.596311556828354</v>
      </c>
      <c r="W2" s="9">
        <f t="shared" ref="W2:W46" si="12">IFERROR((SUBTOTAL(109,$V$2:$V$1048576)/V2)/SUBTOTAL(109,$V$2:$V$1048576),0)</f>
        <v>6.4117724011622579E-2</v>
      </c>
      <c r="X2" s="9">
        <f t="shared" ref="X2:X46" si="13">V2/MAX($V$2:$V$28)</f>
        <v>8.5551657287558217E-2</v>
      </c>
    </row>
    <row r="3" spans="1:24" hidden="1" x14ac:dyDescent="0.25">
      <c r="A3" t="s">
        <v>115</v>
      </c>
      <c r="B3" s="7" t="s">
        <v>167</v>
      </c>
      <c r="C3" t="s">
        <v>166</v>
      </c>
      <c r="D3" s="8">
        <v>45743</v>
      </c>
      <c r="E3" s="2">
        <v>2</v>
      </c>
      <c r="F3" s="1">
        <v>73.5</v>
      </c>
      <c r="G3" s="1">
        <f t="shared" si="0"/>
        <v>147</v>
      </c>
      <c r="H3" s="13">
        <v>4.4999999999999998E-2</v>
      </c>
      <c r="I3" s="11">
        <v>0.16500000000000001</v>
      </c>
      <c r="J3" s="9">
        <f t="shared" si="1"/>
        <v>0.27272727272727271</v>
      </c>
      <c r="K3" s="9">
        <f t="shared" si="2"/>
        <v>6.9653418732954012E-2</v>
      </c>
      <c r="L3" s="9">
        <f t="shared" si="3"/>
        <v>24.255000000000003</v>
      </c>
      <c r="M3" s="12">
        <f>F3/(1-(F3*(1+H3)-F3)/(F3*(1+H3)))</f>
        <v>76.80749999999999</v>
      </c>
      <c r="N3" s="12">
        <f t="shared" si="4"/>
        <v>153.61499999999998</v>
      </c>
      <c r="O3" s="12">
        <v>74.14</v>
      </c>
      <c r="P3" s="12">
        <f t="shared" si="5"/>
        <v>148.28</v>
      </c>
      <c r="Q3" s="12">
        <f t="shared" si="6"/>
        <v>1.2800000000000011</v>
      </c>
      <c r="R3" s="12">
        <f t="shared" si="7"/>
        <v>65.625</v>
      </c>
      <c r="S3" s="12">
        <f t="shared" si="8"/>
        <v>3.3074999999999903</v>
      </c>
      <c r="T3" s="12">
        <f t="shared" si="9"/>
        <v>-3.9375</v>
      </c>
      <c r="U3" s="15">
        <f t="shared" si="10"/>
        <v>-0.63000000000000966</v>
      </c>
      <c r="V3" s="12">
        <f t="shared" si="11"/>
        <v>65.38000000000001</v>
      </c>
      <c r="W3" s="9">
        <f t="shared" si="12"/>
        <v>1.5295197308045273E-2</v>
      </c>
      <c r="X3" s="9">
        <f t="shared" si="13"/>
        <v>0.35863398426480375</v>
      </c>
    </row>
    <row r="4" spans="1:24" hidden="1" x14ac:dyDescent="0.25">
      <c r="A4" t="s">
        <v>115</v>
      </c>
      <c r="B4" s="7" t="s">
        <v>128</v>
      </c>
      <c r="C4" t="s">
        <v>119</v>
      </c>
      <c r="D4" s="8">
        <v>45688</v>
      </c>
      <c r="E4" s="2">
        <v>3</v>
      </c>
      <c r="F4" s="1">
        <v>44.95</v>
      </c>
      <c r="G4" s="1">
        <f t="shared" si="0"/>
        <v>134.85000000000002</v>
      </c>
      <c r="H4" s="13">
        <v>8.3000000000000004E-2</v>
      </c>
      <c r="I4" s="11">
        <v>0.16800000000000001</v>
      </c>
      <c r="J4" s="9">
        <f t="shared" si="1"/>
        <v>0.49404761904761907</v>
      </c>
      <c r="K4" s="9">
        <f t="shared" si="2"/>
        <v>0.12617772083965678</v>
      </c>
      <c r="L4" s="9">
        <f t="shared" si="3"/>
        <v>22.654800000000005</v>
      </c>
      <c r="M4" s="12">
        <f>F4/(1-(F4*(1+H4)-F4)/(F4*(1+H4)))</f>
        <v>48.68085</v>
      </c>
      <c r="N4" s="12">
        <f t="shared" si="4"/>
        <v>146.04255000000001</v>
      </c>
      <c r="O4" s="12">
        <v>42.29</v>
      </c>
      <c r="P4" s="12">
        <f t="shared" si="5"/>
        <v>126.87</v>
      </c>
      <c r="Q4" s="12">
        <f t="shared" si="6"/>
        <v>-7.9800000000000182</v>
      </c>
      <c r="R4" s="12">
        <f t="shared" si="7"/>
        <v>41.428571428571431</v>
      </c>
      <c r="S4" s="12">
        <f t="shared" si="8"/>
        <v>3.7308499999999967</v>
      </c>
      <c r="T4" s="12">
        <f t="shared" si="9"/>
        <v>-1.7607142857142861</v>
      </c>
      <c r="U4" s="15">
        <f t="shared" si="10"/>
        <v>1.9701357142857105</v>
      </c>
      <c r="V4" s="12">
        <f t="shared" si="11"/>
        <v>62.779864285714289</v>
      </c>
      <c r="W4" s="9">
        <f t="shared" si="12"/>
        <v>1.5928674127885182E-2</v>
      </c>
      <c r="X4" s="9">
        <f t="shared" si="13"/>
        <v>0.34437125818888603</v>
      </c>
    </row>
    <row r="5" spans="1:24" x14ac:dyDescent="0.25">
      <c r="A5" t="s">
        <v>40</v>
      </c>
      <c r="B5" s="7" t="s">
        <v>47</v>
      </c>
      <c r="C5" t="s">
        <v>46</v>
      </c>
      <c r="D5" s="8">
        <v>45511</v>
      </c>
      <c r="E5" s="2">
        <v>0.57440000000000002</v>
      </c>
      <c r="F5" s="1">
        <v>158.26</v>
      </c>
      <c r="G5" s="1">
        <f t="shared" si="0"/>
        <v>90.904544000000001</v>
      </c>
      <c r="H5" s="13">
        <f>196.02/F5-1</f>
        <v>0.23859471755339334</v>
      </c>
      <c r="I5" s="11">
        <v>0.52029999999999998</v>
      </c>
      <c r="J5" s="9">
        <f t="shared" si="1"/>
        <v>0.45857143485180346</v>
      </c>
      <c r="K5" s="9">
        <f t="shared" si="2"/>
        <v>0.11711724995924877</v>
      </c>
      <c r="L5" s="9">
        <f t="shared" si="3"/>
        <v>47.297634243200001</v>
      </c>
      <c r="M5" s="12">
        <f>F5/(1-(F5*(1+H5)-F5)/(F5*(1+H5)))</f>
        <v>196.02</v>
      </c>
      <c r="N5" s="12">
        <f t="shared" si="4"/>
        <v>112.59388800000001</v>
      </c>
      <c r="O5" s="12">
        <v>128.69</v>
      </c>
      <c r="P5" s="12">
        <f t="shared" si="5"/>
        <v>73.919536000000008</v>
      </c>
      <c r="Q5" s="12">
        <f t="shared" si="6"/>
        <v>-16.985007999999993</v>
      </c>
      <c r="R5" s="12">
        <f t="shared" si="7"/>
        <v>123.47612369818941</v>
      </c>
      <c r="S5" s="12">
        <f t="shared" si="8"/>
        <v>37.760000000000019</v>
      </c>
      <c r="T5" s="12">
        <f t="shared" si="9"/>
        <v>-17.39193815090529</v>
      </c>
      <c r="U5" s="15">
        <f t="shared" si="10"/>
        <v>20.36806184909473</v>
      </c>
      <c r="V5" s="12">
        <f t="shared" si="11"/>
        <v>44.38193815090527</v>
      </c>
      <c r="W5" s="9">
        <f t="shared" si="12"/>
        <v>2.2531688377372107E-2</v>
      </c>
      <c r="X5" s="9">
        <f t="shared" si="13"/>
        <v>0.24345168718955723</v>
      </c>
    </row>
    <row r="6" spans="1:24" x14ac:dyDescent="0.25">
      <c r="A6" t="s">
        <v>40</v>
      </c>
      <c r="B6" s="7" t="s">
        <v>94</v>
      </c>
      <c r="C6" t="s">
        <v>94</v>
      </c>
      <c r="D6" s="8">
        <v>45627</v>
      </c>
      <c r="E6" s="2">
        <v>4.4473000000000003</v>
      </c>
      <c r="F6" s="1">
        <v>20.23</v>
      </c>
      <c r="G6" s="1">
        <f t="shared" si="0"/>
        <v>89.968879000000001</v>
      </c>
      <c r="H6" s="13">
        <f>M6/F6-1</f>
        <v>0.31389026198714776</v>
      </c>
      <c r="I6" s="11">
        <v>0.40289999999999998</v>
      </c>
      <c r="J6" s="9">
        <f t="shared" si="1"/>
        <v>0.77907734422225805</v>
      </c>
      <c r="K6" s="9">
        <f t="shared" si="2"/>
        <v>0.19897313510239256</v>
      </c>
      <c r="L6" s="9">
        <f t="shared" si="3"/>
        <v>36.248461349099998</v>
      </c>
      <c r="M6" s="12">
        <v>26.58</v>
      </c>
      <c r="N6" s="12">
        <f t="shared" si="4"/>
        <v>118.209234</v>
      </c>
      <c r="O6" s="12">
        <v>15.18</v>
      </c>
      <c r="P6" s="12">
        <f t="shared" si="5"/>
        <v>67.510013999999998</v>
      </c>
      <c r="Q6" s="12">
        <f t="shared" si="6"/>
        <v>-22.458865000000003</v>
      </c>
      <c r="R6" s="12">
        <f t="shared" si="7"/>
        <v>18.576509735270385</v>
      </c>
      <c r="S6" s="12">
        <f t="shared" si="8"/>
        <v>6.3499999999999979</v>
      </c>
      <c r="T6" s="12">
        <f t="shared" si="9"/>
        <v>-0.82674513236480784</v>
      </c>
      <c r="U6" s="15">
        <f t="shared" si="10"/>
        <v>5.52325486763519</v>
      </c>
      <c r="V6" s="12">
        <f t="shared" si="11"/>
        <v>59.226745132364812</v>
      </c>
      <c r="W6" s="9">
        <f t="shared" si="12"/>
        <v>1.6884263988593627E-2</v>
      </c>
      <c r="X6" s="9">
        <f t="shared" si="13"/>
        <v>0.32488105815013857</v>
      </c>
    </row>
    <row r="7" spans="1:24" hidden="1" x14ac:dyDescent="0.25">
      <c r="A7" t="s">
        <v>38</v>
      </c>
      <c r="B7" s="5" t="s">
        <v>6</v>
      </c>
      <c r="C7" t="s">
        <v>5</v>
      </c>
      <c r="D7" s="8">
        <v>45553</v>
      </c>
      <c r="E7" s="2">
        <v>1.5346</v>
      </c>
      <c r="F7" s="1">
        <v>51.96</v>
      </c>
      <c r="G7" s="1">
        <f t="shared" si="0"/>
        <v>79.737815999999995</v>
      </c>
      <c r="H7" s="13">
        <f>16.68%+7%/4</f>
        <v>0.18430000000000002</v>
      </c>
      <c r="I7" s="11">
        <v>0.19980000000000001</v>
      </c>
      <c r="J7" s="9">
        <f t="shared" si="1"/>
        <v>0.92242242242242245</v>
      </c>
      <c r="K7" s="9">
        <f t="shared" si="2"/>
        <v>0.23558287587140089</v>
      </c>
      <c r="L7" s="9">
        <f t="shared" si="3"/>
        <v>15.9316156368</v>
      </c>
      <c r="M7" s="12">
        <f t="shared" ref="M7:M42" si="14">F7/(1-(F7*(1+H7)-F7)/(F7*(1+H7)))</f>
        <v>61.536227999999994</v>
      </c>
      <c r="N7" s="12">
        <f t="shared" si="4"/>
        <v>94.433495488799991</v>
      </c>
      <c r="O7" s="12" cm="1" vm="2">
        <f t="array" aca="1" ref="O7" ca="1">_xlfn.STOCKHISTORY(C7,TODAY()-1,TODAY(),1,0,4)</f>
        <v>55.71</v>
      </c>
      <c r="P7" s="12">
        <f t="shared" ca="1" si="5"/>
        <v>85.492565999999997</v>
      </c>
      <c r="Q7" s="12">
        <f t="shared" ca="1" si="6"/>
        <v>5.7547500000000014</v>
      </c>
      <c r="R7" s="12">
        <f t="shared" si="7"/>
        <v>51.166912850812416</v>
      </c>
      <c r="S7" s="12">
        <f t="shared" si="8"/>
        <v>9.5762279999999933</v>
      </c>
      <c r="T7" s="12">
        <f t="shared" si="9"/>
        <v>-0.39654357459379241</v>
      </c>
      <c r="U7" s="15">
        <f t="shared" si="10"/>
        <v>9.1796844254062009</v>
      </c>
      <c r="V7" s="12">
        <f t="shared" si="11"/>
        <v>55.570315574593799</v>
      </c>
      <c r="W7" s="9">
        <f t="shared" si="12"/>
        <v>1.7995219024042941E-2</v>
      </c>
      <c r="X7" s="9">
        <f t="shared" si="13"/>
        <v>0.30482416153822345</v>
      </c>
    </row>
    <row r="8" spans="1:24" hidden="1" x14ac:dyDescent="0.25">
      <c r="A8" t="s">
        <v>38</v>
      </c>
      <c r="B8" s="5" t="s">
        <v>15</v>
      </c>
      <c r="C8" t="s">
        <v>16</v>
      </c>
      <c r="D8" s="8">
        <v>45460</v>
      </c>
      <c r="E8" s="2">
        <v>0.5</v>
      </c>
      <c r="F8" s="1">
        <v>157.79</v>
      </c>
      <c r="G8" s="1">
        <f t="shared" si="0"/>
        <v>78.894999999999996</v>
      </c>
      <c r="H8" s="13">
        <v>6.7199999999999996E-2</v>
      </c>
      <c r="I8" s="11">
        <v>0.16439999999999999</v>
      </c>
      <c r="J8" s="9">
        <f t="shared" si="1"/>
        <v>0.40875912408759124</v>
      </c>
      <c r="K8" s="9">
        <f t="shared" si="2"/>
        <v>0.10439539158029118</v>
      </c>
      <c r="L8" s="9">
        <f t="shared" si="3"/>
        <v>12.970337999999998</v>
      </c>
      <c r="M8" s="12">
        <f t="shared" si="14"/>
        <v>168.39348799999999</v>
      </c>
      <c r="N8" s="12">
        <f t="shared" si="4"/>
        <v>84.196743999999995</v>
      </c>
      <c r="O8" s="12" cm="1" vm="3">
        <f t="array" aca="1" ref="O8" ca="1">_xlfn.STOCKHISTORY(C8,TODAY()-1,TODAY(),1,0,4)</f>
        <v>146.44</v>
      </c>
      <c r="P8" s="12">
        <f t="shared" ca="1" si="5"/>
        <v>73.22</v>
      </c>
      <c r="Q8" s="12">
        <f t="shared" ca="1" si="6"/>
        <v>-5.6749999999999972</v>
      </c>
      <c r="R8" s="12">
        <f t="shared" si="7"/>
        <v>143.81152023332115</v>
      </c>
      <c r="S8" s="12">
        <f t="shared" si="8"/>
        <v>10.603487999999999</v>
      </c>
      <c r="T8" s="12">
        <f t="shared" si="9"/>
        <v>-6.9892398833394225</v>
      </c>
      <c r="U8" s="15">
        <f t="shared" si="10"/>
        <v>3.6142481166605762</v>
      </c>
      <c r="V8" s="12">
        <f t="shared" si="11"/>
        <v>61.135751883339424</v>
      </c>
      <c r="W8" s="9">
        <f t="shared" si="12"/>
        <v>1.635704099801082E-2</v>
      </c>
      <c r="X8" s="9">
        <f t="shared" si="13"/>
        <v>0.33535268092607057</v>
      </c>
    </row>
    <row r="9" spans="1:24" hidden="1" x14ac:dyDescent="0.25">
      <c r="A9" t="s">
        <v>38</v>
      </c>
      <c r="B9" s="5" t="s">
        <v>19</v>
      </c>
      <c r="C9" t="s">
        <v>20</v>
      </c>
      <c r="D9" s="8">
        <v>45544</v>
      </c>
      <c r="E9" s="2">
        <v>0.5</v>
      </c>
      <c r="F9" s="1">
        <v>138.28</v>
      </c>
      <c r="G9" s="1">
        <f t="shared" si="0"/>
        <v>69.14</v>
      </c>
      <c r="H9" s="13">
        <v>7.0000000000000007E-2</v>
      </c>
      <c r="I9" s="11">
        <v>0.18340000000000001</v>
      </c>
      <c r="J9" s="9">
        <f t="shared" si="1"/>
        <v>0.38167938931297712</v>
      </c>
      <c r="K9" s="9">
        <f t="shared" si="2"/>
        <v>9.7479339193701567E-2</v>
      </c>
      <c r="L9" s="9">
        <f t="shared" si="3"/>
        <v>12.680276000000001</v>
      </c>
      <c r="M9" s="12">
        <f t="shared" si="14"/>
        <v>147.95960000000002</v>
      </c>
      <c r="N9" s="12">
        <f t="shared" si="4"/>
        <v>73.979800000000012</v>
      </c>
      <c r="O9" s="12" cm="1" vm="4">
        <f t="array" aca="1" ref="O9" ca="1">_xlfn.STOCKHISTORY(C9,TODAY()-1,TODAY(),1,0,4)</f>
        <v>137.65</v>
      </c>
      <c r="P9" s="12">
        <f t="shared" ca="1" si="5"/>
        <v>68.825000000000003</v>
      </c>
      <c r="Q9" s="12">
        <f t="shared" ca="1" si="6"/>
        <v>-0.31499999999999773</v>
      </c>
      <c r="R9" s="12">
        <f t="shared" si="7"/>
        <v>124.19615591880726</v>
      </c>
      <c r="S9" s="12">
        <f t="shared" si="8"/>
        <v>9.679600000000022</v>
      </c>
      <c r="T9" s="12">
        <f t="shared" si="9"/>
        <v>-7.0419220405963685</v>
      </c>
      <c r="U9" s="15">
        <f t="shared" si="10"/>
        <v>2.6376779594036535</v>
      </c>
      <c r="V9" s="12">
        <f t="shared" si="11"/>
        <v>62.112322040596347</v>
      </c>
      <c r="W9" s="9">
        <f t="shared" si="12"/>
        <v>1.6099865004988934E-2</v>
      </c>
      <c r="X9" s="9">
        <f t="shared" si="13"/>
        <v>0.34070953694337186</v>
      </c>
    </row>
    <row r="10" spans="1:24" hidden="1" x14ac:dyDescent="0.25">
      <c r="A10" t="s">
        <v>36</v>
      </c>
      <c r="B10" s="3" t="s">
        <v>11</v>
      </c>
      <c r="C10" t="s">
        <v>12</v>
      </c>
      <c r="D10" s="8">
        <v>45574</v>
      </c>
      <c r="E10" s="2">
        <v>0.16059999999999999</v>
      </c>
      <c r="F10" s="1">
        <v>421.18</v>
      </c>
      <c r="G10" s="1">
        <f t="shared" si="0"/>
        <v>67.641508000000002</v>
      </c>
      <c r="H10" s="13">
        <v>0.15</v>
      </c>
      <c r="I10" s="11">
        <v>0.1963</v>
      </c>
      <c r="J10" s="9">
        <f t="shared" si="1"/>
        <v>0.76413652572592972</v>
      </c>
      <c r="K10" s="9">
        <f t="shared" si="2"/>
        <v>0.19515731178362056</v>
      </c>
      <c r="L10" s="9">
        <f t="shared" si="3"/>
        <v>13.278028020400001</v>
      </c>
      <c r="M10" s="12">
        <f t="shared" si="14"/>
        <v>484.35699999999997</v>
      </c>
      <c r="N10" s="12">
        <f t="shared" si="4"/>
        <v>77.787734199999989</v>
      </c>
      <c r="O10" s="12" cm="1" vm="5">
        <f t="array" aca="1" ref="O10" ca="1">_xlfn.STOCKHISTORY(C10,TODAY()-1,TODAY(),1,0,4)</f>
        <v>359.48</v>
      </c>
      <c r="P10" s="12">
        <f t="shared" ca="1" si="5"/>
        <v>57.732488000000004</v>
      </c>
      <c r="Q10" s="12">
        <f t="shared" ca="1" si="6"/>
        <v>-9.9090199999999982</v>
      </c>
      <c r="R10" s="12">
        <f t="shared" si="7"/>
        <v>402.54229188569246</v>
      </c>
      <c r="S10" s="12">
        <f t="shared" si="8"/>
        <v>63.176999999999964</v>
      </c>
      <c r="T10" s="12">
        <f t="shared" si="9"/>
        <v>-9.3188540571537715</v>
      </c>
      <c r="U10" s="15">
        <f t="shared" si="10"/>
        <v>53.858145942846193</v>
      </c>
      <c r="V10" s="12">
        <f t="shared" si="11"/>
        <v>10.891854057153807</v>
      </c>
      <c r="W10" s="9">
        <f t="shared" si="12"/>
        <v>9.1811733314880073E-2</v>
      </c>
      <c r="X10" s="9">
        <f t="shared" si="13"/>
        <v>5.9745931730618491E-2</v>
      </c>
    </row>
    <row r="11" spans="1:24" hidden="1" x14ac:dyDescent="0.25">
      <c r="A11" t="s">
        <v>37</v>
      </c>
      <c r="B11" s="4" t="s">
        <v>85</v>
      </c>
      <c r="C11" s="32" t="s">
        <v>86</v>
      </c>
      <c r="D11" s="8">
        <v>45717</v>
      </c>
      <c r="E11" s="2">
        <v>3.9380999999999999</v>
      </c>
      <c r="F11" s="1">
        <v>16.670000000000002</v>
      </c>
      <c r="G11" s="1">
        <f t="shared" si="0"/>
        <v>65.648127000000002</v>
      </c>
      <c r="H11" s="13">
        <v>9.0200000000000002E-2</v>
      </c>
      <c r="I11" s="11">
        <v>0.41289999999999999</v>
      </c>
      <c r="J11" s="9">
        <f t="shared" si="1"/>
        <v>0.21845483167837249</v>
      </c>
      <c r="K11" s="9">
        <f t="shared" si="2"/>
        <v>5.5792461505479118E-2</v>
      </c>
      <c r="L11" s="9">
        <f t="shared" si="3"/>
        <v>27.1061116383</v>
      </c>
      <c r="M11" s="12">
        <f t="shared" si="14"/>
        <v>18.173634000000003</v>
      </c>
      <c r="N11" s="12">
        <f t="shared" si="4"/>
        <v>71.569588055400018</v>
      </c>
      <c r="O11" s="46">
        <v>17.55</v>
      </c>
      <c r="P11" s="12">
        <f t="shared" si="5"/>
        <v>69.113655000000008</v>
      </c>
      <c r="Q11" s="12">
        <f t="shared" si="6"/>
        <v>3.4655280000000062</v>
      </c>
      <c r="R11" s="12">
        <f t="shared" si="7"/>
        <v>12.603008996749075</v>
      </c>
      <c r="S11" s="12">
        <f t="shared" si="8"/>
        <v>1.5036340000000017</v>
      </c>
      <c r="T11" s="12">
        <f t="shared" si="9"/>
        <v>-2.0334955016254632</v>
      </c>
      <c r="U11" s="15">
        <f t="shared" si="10"/>
        <v>-0.52986150162546153</v>
      </c>
      <c r="V11" s="12">
        <f t="shared" si="11"/>
        <v>65.279861501625462</v>
      </c>
      <c r="W11" s="9">
        <f t="shared" si="12"/>
        <v>1.5318659951125971E-2</v>
      </c>
      <c r="X11" s="9">
        <f t="shared" si="13"/>
        <v>0.35808468679385913</v>
      </c>
    </row>
    <row r="12" spans="1:24" hidden="1" x14ac:dyDescent="0.25">
      <c r="A12" t="s">
        <v>38</v>
      </c>
      <c r="B12" s="5" t="s">
        <v>101</v>
      </c>
      <c r="C12" s="32" t="s">
        <v>98</v>
      </c>
      <c r="D12" s="8">
        <v>45630</v>
      </c>
      <c r="E12" s="2">
        <v>3</v>
      </c>
      <c r="F12" s="1">
        <v>20.71</v>
      </c>
      <c r="G12" s="1">
        <f t="shared" si="0"/>
        <v>62.13</v>
      </c>
      <c r="H12" s="13">
        <v>0.2</v>
      </c>
      <c r="I12" s="11">
        <v>0.2</v>
      </c>
      <c r="J12" s="9">
        <f t="shared" si="1"/>
        <v>1</v>
      </c>
      <c r="K12" s="9">
        <f t="shared" si="2"/>
        <v>0.25539586868749808</v>
      </c>
      <c r="L12" s="9">
        <f t="shared" si="3"/>
        <v>12.426000000000002</v>
      </c>
      <c r="M12" s="12">
        <f t="shared" si="14"/>
        <v>24.852</v>
      </c>
      <c r="N12" s="12">
        <f t="shared" si="4"/>
        <v>74.555999999999997</v>
      </c>
      <c r="O12" s="46">
        <v>22.45</v>
      </c>
      <c r="P12" s="12">
        <f t="shared" si="5"/>
        <v>67.349999999999994</v>
      </c>
      <c r="Q12" s="12">
        <f t="shared" si="6"/>
        <v>5.2199999999999918</v>
      </c>
      <c r="R12" s="12">
        <f t="shared" si="7"/>
        <v>20.71</v>
      </c>
      <c r="S12" s="12">
        <f t="shared" si="8"/>
        <v>4.1419999999999995</v>
      </c>
      <c r="T12" s="12">
        <f t="shared" si="9"/>
        <v>0</v>
      </c>
      <c r="U12" s="15">
        <f t="shared" si="10"/>
        <v>4.1419999999999995</v>
      </c>
      <c r="V12" s="12">
        <f t="shared" si="11"/>
        <v>60.608000000000004</v>
      </c>
      <c r="W12" s="9">
        <f t="shared" si="12"/>
        <v>1.6499472016895458E-2</v>
      </c>
      <c r="X12" s="9">
        <f t="shared" si="13"/>
        <v>0.33245776259286058</v>
      </c>
    </row>
    <row r="13" spans="1:24" hidden="1" x14ac:dyDescent="0.25">
      <c r="A13" t="s">
        <v>37</v>
      </c>
      <c r="B13" s="4" t="s">
        <v>8</v>
      </c>
      <c r="C13" t="s">
        <v>28</v>
      </c>
      <c r="D13" s="8">
        <v>45717</v>
      </c>
      <c r="E13" s="2">
        <v>0.11940000000000001</v>
      </c>
      <c r="F13" s="1">
        <v>505.42</v>
      </c>
      <c r="G13" s="1">
        <f t="shared" si="0"/>
        <v>60.347148000000004</v>
      </c>
      <c r="H13" s="13">
        <v>0.10929999999999999</v>
      </c>
      <c r="I13" s="11">
        <v>0.30499999999999999</v>
      </c>
      <c r="J13" s="9">
        <f t="shared" si="1"/>
        <v>0.35836065573770493</v>
      </c>
      <c r="K13" s="9">
        <f t="shared" si="2"/>
        <v>9.1523830975552597E-2</v>
      </c>
      <c r="L13" s="9">
        <f t="shared" si="3"/>
        <v>18.405880140000001</v>
      </c>
      <c r="M13" s="12">
        <f t="shared" si="14"/>
        <v>560.66240600000003</v>
      </c>
      <c r="N13" s="12">
        <f t="shared" si="4"/>
        <v>66.943091276400011</v>
      </c>
      <c r="O13" s="12" cm="1" vm="6">
        <f t="array" aca="1" ref="O13" ca="1">_xlfn.STOCKHISTORY(C13,TODAY()-1,TODAY(),1,0,4)</f>
        <v>488.29</v>
      </c>
      <c r="P13" s="12">
        <f t="shared" ca="1" si="5"/>
        <v>58.301826000000005</v>
      </c>
      <c r="Q13" s="12">
        <f t="shared" ca="1" si="6"/>
        <v>-2.0453219999999988</v>
      </c>
      <c r="R13" s="12">
        <f t="shared" si="7"/>
        <v>422.69800117086226</v>
      </c>
      <c r="S13" s="12">
        <f t="shared" si="8"/>
        <v>55.242406000000017</v>
      </c>
      <c r="T13" s="12">
        <f t="shared" si="9"/>
        <v>-41.36099941456888</v>
      </c>
      <c r="U13" s="15">
        <f t="shared" si="10"/>
        <v>13.881406585431137</v>
      </c>
      <c r="V13" s="12">
        <f t="shared" si="11"/>
        <v>50.868593414568863</v>
      </c>
      <c r="W13" s="9">
        <f t="shared" si="12"/>
        <v>1.9658495210398291E-2</v>
      </c>
      <c r="X13" s="9">
        <f t="shared" si="13"/>
        <v>0.27903344035199124</v>
      </c>
    </row>
    <row r="14" spans="1:24" x14ac:dyDescent="0.25">
      <c r="A14" t="s">
        <v>40</v>
      </c>
      <c r="B14" s="7" t="s">
        <v>103</v>
      </c>
      <c r="C14" t="s">
        <v>103</v>
      </c>
      <c r="D14" s="8">
        <v>45627</v>
      </c>
      <c r="E14" s="2">
        <v>1.5004999999999999</v>
      </c>
      <c r="F14" s="1">
        <v>40</v>
      </c>
      <c r="G14" s="1">
        <f t="shared" si="0"/>
        <v>60.019999999999996</v>
      </c>
      <c r="H14" s="13">
        <f>M14/F14-1</f>
        <v>0.25</v>
      </c>
      <c r="I14" s="11">
        <v>0.53110000000000002</v>
      </c>
      <c r="J14" s="9">
        <f t="shared" si="1"/>
        <v>0.4707211447938241</v>
      </c>
      <c r="K14" s="9">
        <f t="shared" si="2"/>
        <v>0.12022023568419227</v>
      </c>
      <c r="L14" s="9">
        <f t="shared" si="3"/>
        <v>31.876621999999998</v>
      </c>
      <c r="M14" s="12">
        <v>50</v>
      </c>
      <c r="N14" s="12">
        <f t="shared" si="4"/>
        <v>75.024999999999991</v>
      </c>
      <c r="O14" s="12">
        <v>30</v>
      </c>
      <c r="P14" s="12">
        <f t="shared" si="5"/>
        <v>45.015000000000001</v>
      </c>
      <c r="Q14" s="12">
        <f t="shared" si="6"/>
        <v>-15.004999999999995</v>
      </c>
      <c r="R14" s="12">
        <f t="shared" si="7"/>
        <v>31.223167590352045</v>
      </c>
      <c r="S14" s="12">
        <f t="shared" si="8"/>
        <v>10</v>
      </c>
      <c r="T14" s="12">
        <f t="shared" si="9"/>
        <v>-4.3884162048239777</v>
      </c>
      <c r="U14" s="15">
        <f t="shared" si="10"/>
        <v>5.6115837951760223</v>
      </c>
      <c r="V14" s="12">
        <f t="shared" si="11"/>
        <v>59.138416204823976</v>
      </c>
      <c r="W14" s="9">
        <f t="shared" si="12"/>
        <v>1.6909482265073394E-2</v>
      </c>
      <c r="X14" s="9">
        <f t="shared" si="13"/>
        <v>0.32439654063392864</v>
      </c>
    </row>
    <row r="15" spans="1:24" x14ac:dyDescent="0.25">
      <c r="A15" t="s">
        <v>40</v>
      </c>
      <c r="B15" s="7" t="s">
        <v>26</v>
      </c>
      <c r="C15" t="s">
        <v>27</v>
      </c>
      <c r="D15" s="8">
        <v>45511</v>
      </c>
      <c r="E15" s="2">
        <v>0.74609999999999999</v>
      </c>
      <c r="F15" s="1">
        <v>73.7</v>
      </c>
      <c r="G15" s="1">
        <f t="shared" si="0"/>
        <v>54.987569999999998</v>
      </c>
      <c r="H15" s="13">
        <v>0.05</v>
      </c>
      <c r="I15" s="11">
        <v>0.27860000000000001</v>
      </c>
      <c r="J15" s="9">
        <f t="shared" si="1"/>
        <v>0.17946877243359655</v>
      </c>
      <c r="K15" s="9">
        <f t="shared" si="2"/>
        <v>4.5835583037957296E-2</v>
      </c>
      <c r="L15" s="9">
        <f t="shared" si="3"/>
        <v>15.319537002000001</v>
      </c>
      <c r="M15" s="12">
        <f t="shared" si="14"/>
        <v>77.385000000000005</v>
      </c>
      <c r="N15" s="12">
        <f t="shared" si="4"/>
        <v>57.736948500000004</v>
      </c>
      <c r="O15" s="12">
        <v>66.91</v>
      </c>
      <c r="P15" s="12">
        <f t="shared" si="5"/>
        <v>49.921550999999994</v>
      </c>
      <c r="Q15" s="12">
        <f t="shared" si="6"/>
        <v>-5.0660190000000043</v>
      </c>
      <c r="R15" s="12">
        <f t="shared" si="7"/>
        <v>59.986977047045421</v>
      </c>
      <c r="S15" s="12">
        <f t="shared" si="8"/>
        <v>3.6850000000000023</v>
      </c>
      <c r="T15" s="12">
        <f t="shared" si="9"/>
        <v>-6.8565114764772908</v>
      </c>
      <c r="U15" s="15">
        <f t="shared" si="10"/>
        <v>-3.1715114764772885</v>
      </c>
      <c r="V15" s="12">
        <f t="shared" si="11"/>
        <v>67.921511476477292</v>
      </c>
      <c r="W15" s="9">
        <f t="shared" si="12"/>
        <v>1.4722876129550236E-2</v>
      </c>
      <c r="X15" s="9">
        <f t="shared" si="13"/>
        <v>0.3725751342627201</v>
      </c>
    </row>
    <row r="16" spans="1:24" hidden="1" x14ac:dyDescent="0.25">
      <c r="A16" t="s">
        <v>115</v>
      </c>
      <c r="B16" s="7" t="s">
        <v>129</v>
      </c>
      <c r="C16" t="s">
        <v>118</v>
      </c>
      <c r="D16" s="8">
        <v>45481</v>
      </c>
      <c r="E16" s="2">
        <v>1</v>
      </c>
      <c r="F16" s="1">
        <v>48.68</v>
      </c>
      <c r="G16" s="1">
        <f t="shared" si="0"/>
        <v>48.68</v>
      </c>
      <c r="H16" s="13">
        <v>0.1</v>
      </c>
      <c r="I16" s="11">
        <v>0.2</v>
      </c>
      <c r="J16" s="9">
        <f t="shared" si="1"/>
        <v>0.5</v>
      </c>
      <c r="K16" s="9">
        <f t="shared" si="2"/>
        <v>0.12769793434374904</v>
      </c>
      <c r="L16" s="9">
        <f t="shared" si="3"/>
        <v>9.7360000000000007</v>
      </c>
      <c r="M16" s="12">
        <f t="shared" si="14"/>
        <v>53.548000000000002</v>
      </c>
      <c r="N16" s="12">
        <f t="shared" si="4"/>
        <v>53.548000000000002</v>
      </c>
      <c r="O16" s="12">
        <v>40.35</v>
      </c>
      <c r="P16" s="12">
        <f t="shared" si="5"/>
        <v>40.35</v>
      </c>
      <c r="Q16" s="12">
        <f t="shared" si="6"/>
        <v>-8.3299999999999983</v>
      </c>
      <c r="R16" s="12">
        <f t="shared" si="7"/>
        <v>44.254545454545458</v>
      </c>
      <c r="S16" s="12">
        <f t="shared" si="8"/>
        <v>4.8680000000000021</v>
      </c>
      <c r="T16" s="12">
        <f t="shared" si="9"/>
        <v>-2.2127272727272711</v>
      </c>
      <c r="U16" s="15">
        <f t="shared" si="10"/>
        <v>2.655272727272731</v>
      </c>
      <c r="V16" s="12">
        <f t="shared" si="11"/>
        <v>62.094727272727269</v>
      </c>
      <c r="W16" s="9">
        <f t="shared" si="12"/>
        <v>1.6104426960567582E-2</v>
      </c>
      <c r="X16" s="9">
        <f t="shared" si="13"/>
        <v>0.340613022998693</v>
      </c>
    </row>
    <row r="17" spans="1:24" hidden="1" x14ac:dyDescent="0.25">
      <c r="A17" t="s">
        <v>39</v>
      </c>
      <c r="B17" s="6" t="s">
        <v>130</v>
      </c>
      <c r="C17" t="s">
        <v>43</v>
      </c>
      <c r="D17" s="8">
        <v>45580</v>
      </c>
      <c r="E17" s="2">
        <v>0.34860000000000002</v>
      </c>
      <c r="F17" s="1">
        <v>131.91</v>
      </c>
      <c r="G17" s="1">
        <f t="shared" si="0"/>
        <v>45.983826000000001</v>
      </c>
      <c r="H17" s="13">
        <v>0.1202</v>
      </c>
      <c r="I17" s="11">
        <v>0.33710000000000001</v>
      </c>
      <c r="J17" s="9">
        <f t="shared" si="1"/>
        <v>0.35657075051913378</v>
      </c>
      <c r="K17" s="9">
        <f t="shared" si="2"/>
        <v>9.1066696577387335E-2</v>
      </c>
      <c r="L17" s="9">
        <f t="shared" si="3"/>
        <v>15.501147744600001</v>
      </c>
      <c r="M17" s="12">
        <f t="shared" si="14"/>
        <v>147.76558199999999</v>
      </c>
      <c r="N17" s="12">
        <f t="shared" si="4"/>
        <v>51.511081885199999</v>
      </c>
      <c r="O17" s="12" cm="1" vm="7">
        <f t="array" aca="1" ref="O17" ca="1">_xlfn.STOCKHISTORY(C17,TODAY()-1,TODAY(),1,0,4)</f>
        <v>129.69999999999999</v>
      </c>
      <c r="P17" s="12">
        <f t="shared" ca="1" si="5"/>
        <v>45.213419999999999</v>
      </c>
      <c r="Q17" s="12">
        <f t="shared" ca="1" si="6"/>
        <v>-0.77040600000000126</v>
      </c>
      <c r="R17" s="12">
        <f t="shared" si="7"/>
        <v>108.39838934998768</v>
      </c>
      <c r="S17" s="12">
        <f t="shared" si="8"/>
        <v>15.855581999999998</v>
      </c>
      <c r="T17" s="12">
        <f t="shared" si="9"/>
        <v>-11.755805325006158</v>
      </c>
      <c r="U17" s="15">
        <f t="shared" si="10"/>
        <v>4.0997766749938407</v>
      </c>
      <c r="V17" s="12">
        <f t="shared" si="11"/>
        <v>60.650223325006159</v>
      </c>
      <c r="W17" s="9">
        <f t="shared" si="12"/>
        <v>1.648798545458445E-2</v>
      </c>
      <c r="X17" s="9">
        <f t="shared" si="13"/>
        <v>0.33268937347196526</v>
      </c>
    </row>
    <row r="18" spans="1:24" hidden="1" x14ac:dyDescent="0.25">
      <c r="A18" t="s">
        <v>115</v>
      </c>
      <c r="B18" s="7" t="s">
        <v>126</v>
      </c>
      <c r="C18" t="s">
        <v>116</v>
      </c>
      <c r="D18" s="8">
        <v>45481</v>
      </c>
      <c r="E18" s="2">
        <v>2</v>
      </c>
      <c r="F18" s="1">
        <v>20.927</v>
      </c>
      <c r="G18" s="1">
        <f t="shared" si="0"/>
        <v>41.853999999999999</v>
      </c>
      <c r="H18" s="13">
        <v>3.5000000000000003E-2</v>
      </c>
      <c r="I18" s="11">
        <v>0.16500000000000001</v>
      </c>
      <c r="J18" s="9">
        <f t="shared" si="1"/>
        <v>0.21212121212121213</v>
      </c>
      <c r="K18" s="9">
        <f t="shared" si="2"/>
        <v>5.4174881236742016E-2</v>
      </c>
      <c r="L18" s="9">
        <f t="shared" si="3"/>
        <v>6.9059100000000004</v>
      </c>
      <c r="M18" s="12">
        <f t="shared" si="14"/>
        <v>21.659444999999998</v>
      </c>
      <c r="N18" s="12">
        <f t="shared" si="4"/>
        <v>43.318889999999996</v>
      </c>
      <c r="O18" s="12">
        <v>16.87</v>
      </c>
      <c r="P18" s="12">
        <f t="shared" si="5"/>
        <v>33.74</v>
      </c>
      <c r="Q18" s="12">
        <f t="shared" si="6"/>
        <v>-8.1139999999999972</v>
      </c>
      <c r="R18" s="12">
        <f t="shared" si="7"/>
        <v>18.51946902654867</v>
      </c>
      <c r="S18" s="12">
        <f t="shared" si="8"/>
        <v>0.73244499999999846</v>
      </c>
      <c r="T18" s="12">
        <f t="shared" si="9"/>
        <v>-1.2037654867256649</v>
      </c>
      <c r="U18" s="15">
        <f t="shared" si="10"/>
        <v>-0.4713204867256664</v>
      </c>
      <c r="V18" s="12">
        <f t="shared" si="11"/>
        <v>65.221320486725659</v>
      </c>
      <c r="W18" s="9">
        <f t="shared" si="12"/>
        <v>1.5332409594551641E-2</v>
      </c>
      <c r="X18" s="9">
        <f t="shared" si="13"/>
        <v>0.35776356722493252</v>
      </c>
    </row>
    <row r="19" spans="1:24" hidden="1" x14ac:dyDescent="0.25">
      <c r="A19" t="s">
        <v>115</v>
      </c>
      <c r="B19" s="7" t="s">
        <v>127</v>
      </c>
      <c r="C19" t="s">
        <v>117</v>
      </c>
      <c r="D19" s="8">
        <v>45481</v>
      </c>
      <c r="E19" s="2">
        <v>2</v>
      </c>
      <c r="F19" s="1">
        <v>16.399000000000001</v>
      </c>
      <c r="G19" s="1">
        <f t="shared" si="0"/>
        <v>32.798000000000002</v>
      </c>
      <c r="H19" s="13">
        <v>3.5000000000000003E-2</v>
      </c>
      <c r="I19" s="11">
        <v>0.16500000000000001</v>
      </c>
      <c r="J19" s="9">
        <f t="shared" si="1"/>
        <v>0.21212121212121213</v>
      </c>
      <c r="K19" s="9">
        <f t="shared" si="2"/>
        <v>5.4174881236742016E-2</v>
      </c>
      <c r="L19" s="9">
        <f t="shared" si="3"/>
        <v>5.4116700000000009</v>
      </c>
      <c r="M19" s="12">
        <f t="shared" si="14"/>
        <v>16.972964999999999</v>
      </c>
      <c r="N19" s="12">
        <f t="shared" si="4"/>
        <v>33.945929999999997</v>
      </c>
      <c r="O19" s="12">
        <v>12.95</v>
      </c>
      <c r="P19" s="12">
        <f t="shared" si="5"/>
        <v>25.9</v>
      </c>
      <c r="Q19" s="12">
        <f t="shared" si="6"/>
        <v>-6.8980000000000032</v>
      </c>
      <c r="R19" s="12">
        <f t="shared" si="7"/>
        <v>14.512389380530973</v>
      </c>
      <c r="S19" s="12">
        <f t="shared" si="8"/>
        <v>0.57396499999999762</v>
      </c>
      <c r="T19" s="12">
        <f t="shared" si="9"/>
        <v>-0.9433053097345141</v>
      </c>
      <c r="U19" s="15">
        <f t="shared" si="10"/>
        <v>-0.36934030973451648</v>
      </c>
      <c r="V19" s="12">
        <f t="shared" si="11"/>
        <v>65.119340309734511</v>
      </c>
      <c r="W19" s="9">
        <f t="shared" si="12"/>
        <v>1.535642092262585E-2</v>
      </c>
      <c r="X19" s="9">
        <f t="shared" si="13"/>
        <v>0.35720416745144884</v>
      </c>
    </row>
    <row r="20" spans="1:24" x14ac:dyDescent="0.25">
      <c r="A20" t="s">
        <v>40</v>
      </c>
      <c r="B20" s="7" t="s">
        <v>90</v>
      </c>
      <c r="C20" s="32" t="s">
        <v>91</v>
      </c>
      <c r="D20" s="8">
        <v>45627</v>
      </c>
      <c r="E20" s="2">
        <v>0.75290000000000001</v>
      </c>
      <c r="F20" s="1">
        <v>41.16</v>
      </c>
      <c r="G20" s="1">
        <f t="shared" si="0"/>
        <v>30.989363999999998</v>
      </c>
      <c r="H20" s="13">
        <v>0.05</v>
      </c>
      <c r="I20" s="11">
        <v>0.2029</v>
      </c>
      <c r="J20" s="9">
        <f t="shared" si="1"/>
        <v>0.24642681123706262</v>
      </c>
      <c r="K20" s="9">
        <f t="shared" si="2"/>
        <v>6.2936389523779723E-2</v>
      </c>
      <c r="L20" s="9">
        <f t="shared" si="3"/>
        <v>6.2877419555999996</v>
      </c>
      <c r="M20" s="12">
        <f t="shared" si="14"/>
        <v>43.217999999999996</v>
      </c>
      <c r="N20" s="12">
        <f t="shared" si="4"/>
        <v>32.538832199999995</v>
      </c>
      <c r="O20" s="12">
        <v>45.35</v>
      </c>
      <c r="P20" s="12">
        <f t="shared" si="5"/>
        <v>34.144015000000003</v>
      </c>
      <c r="Q20" s="12">
        <f t="shared" si="6"/>
        <v>3.1546510000000048</v>
      </c>
      <c r="R20" s="12">
        <f t="shared" si="7"/>
        <v>35.701275045537336</v>
      </c>
      <c r="S20" s="12">
        <f t="shared" si="8"/>
        <v>2.0579999999999998</v>
      </c>
      <c r="T20" s="12">
        <f t="shared" si="9"/>
        <v>-2.7293624772313301</v>
      </c>
      <c r="U20" s="15">
        <f t="shared" si="10"/>
        <v>-0.67136247723133025</v>
      </c>
      <c r="V20" s="12">
        <f t="shared" si="11"/>
        <v>65.421362477231327</v>
      </c>
      <c r="W20" s="9">
        <f t="shared" si="12"/>
        <v>1.5285526961442163E-2</v>
      </c>
      <c r="X20" s="9">
        <f t="shared" si="13"/>
        <v>0.35886087306884978</v>
      </c>
    </row>
    <row r="21" spans="1:24" hidden="1" x14ac:dyDescent="0.25">
      <c r="A21" t="s">
        <v>36</v>
      </c>
      <c r="B21" s="3" t="s">
        <v>18</v>
      </c>
      <c r="C21" t="s">
        <v>17</v>
      </c>
      <c r="D21" s="8">
        <v>45678</v>
      </c>
      <c r="E21" s="2">
        <v>0.1782</v>
      </c>
      <c r="F21" s="1">
        <v>168.24</v>
      </c>
      <c r="G21" s="1">
        <f t="shared" si="0"/>
        <v>29.980368000000002</v>
      </c>
      <c r="H21" s="13">
        <f>190.41/F21-1</f>
        <v>0.1317760342368044</v>
      </c>
      <c r="I21" s="11">
        <v>0.26790000000000003</v>
      </c>
      <c r="J21" s="9">
        <f t="shared" si="1"/>
        <v>0.49188515952521233</v>
      </c>
      <c r="K21" s="9">
        <f t="shared" si="2"/>
        <v>0.12562543761143016</v>
      </c>
      <c r="L21" s="9">
        <f t="shared" si="3"/>
        <v>8.0317405872000016</v>
      </c>
      <c r="M21" s="12">
        <f t="shared" si="14"/>
        <v>190.40999999999997</v>
      </c>
      <c r="N21" s="12">
        <f t="shared" si="4"/>
        <v>33.931061999999997</v>
      </c>
      <c r="O21" s="12" cm="1" vm="8">
        <f t="array" aca="1" ref="O21" ca="1">_xlfn.STOCKHISTORY(C21,TODAY()-1,TODAY(),1,0,4)</f>
        <v>145.38</v>
      </c>
      <c r="P21" s="12">
        <f t="shared" ca="1" si="5"/>
        <v>25.906715999999999</v>
      </c>
      <c r="Q21" s="12">
        <f t="shared" ca="1" si="6"/>
        <v>-4.0736520000000027</v>
      </c>
      <c r="R21" s="12">
        <f t="shared" si="7"/>
        <v>148.08243208476298</v>
      </c>
      <c r="S21" s="12">
        <f t="shared" si="8"/>
        <v>22.169999999999959</v>
      </c>
      <c r="T21" s="12">
        <f t="shared" si="9"/>
        <v>-10.078783957618512</v>
      </c>
      <c r="U21" s="15">
        <f t="shared" si="10"/>
        <v>12.091216042381447</v>
      </c>
      <c r="V21" s="12">
        <f t="shared" si="11"/>
        <v>52.658783957618553</v>
      </c>
      <c r="W21" s="9">
        <f t="shared" si="12"/>
        <v>1.8990184065109279E-2</v>
      </c>
      <c r="X21" s="9">
        <f t="shared" si="13"/>
        <v>0.28885331136831249</v>
      </c>
    </row>
    <row r="22" spans="1:24" hidden="1" x14ac:dyDescent="0.25">
      <c r="A22" t="s">
        <v>39</v>
      </c>
      <c r="B22" s="6" t="s">
        <v>42</v>
      </c>
      <c r="C22" t="s">
        <v>41</v>
      </c>
      <c r="D22" s="8">
        <v>45507</v>
      </c>
      <c r="E22" s="2">
        <v>0.52270000000000005</v>
      </c>
      <c r="F22" s="1">
        <v>38.229999999999997</v>
      </c>
      <c r="G22" s="1">
        <f t="shared" si="0"/>
        <v>19.982821000000001</v>
      </c>
      <c r="H22" s="13">
        <v>7.0000000000000007E-2</v>
      </c>
      <c r="I22" s="11">
        <v>0.4</v>
      </c>
      <c r="J22" s="9">
        <f t="shared" si="1"/>
        <v>0.17500000000000002</v>
      </c>
      <c r="K22" s="9">
        <f t="shared" si="2"/>
        <v>4.4694277020312166E-2</v>
      </c>
      <c r="L22" s="9">
        <f t="shared" si="3"/>
        <v>7.9931284000000007</v>
      </c>
      <c r="M22" s="12">
        <f t="shared" si="14"/>
        <v>40.906100000000002</v>
      </c>
      <c r="N22" s="12">
        <f t="shared" si="4"/>
        <v>21.381618470000003</v>
      </c>
      <c r="O22" s="12" cm="1" vm="9">
        <f t="array" aca="1" ref="O22" ca="1">_xlfn.STOCKHISTORY(C22,TODAY()-1,TODAY(),1,0,4)</f>
        <v>27.96</v>
      </c>
      <c r="P22" s="12">
        <f t="shared" ca="1" si="5"/>
        <v>14.614692000000002</v>
      </c>
      <c r="Q22" s="12">
        <f t="shared" ca="1" si="6"/>
        <v>-5.3681289999999997</v>
      </c>
      <c r="R22" s="12">
        <f t="shared" si="7"/>
        <v>28.744360902255639</v>
      </c>
      <c r="S22" s="12">
        <f t="shared" si="8"/>
        <v>2.6761000000000053</v>
      </c>
      <c r="T22" s="12">
        <f t="shared" si="9"/>
        <v>-4.7428195488721787</v>
      </c>
      <c r="U22" s="15">
        <f t="shared" si="10"/>
        <v>-2.0667195488721735</v>
      </c>
      <c r="V22" s="12">
        <f t="shared" si="11"/>
        <v>66.816719548872172</v>
      </c>
      <c r="W22" s="9">
        <f t="shared" si="12"/>
        <v>1.4966313921900398E-2</v>
      </c>
      <c r="X22" s="9">
        <f t="shared" si="13"/>
        <v>0.36651493342483976</v>
      </c>
    </row>
    <row r="23" spans="1:24" hidden="1" x14ac:dyDescent="0.25">
      <c r="A23" t="s">
        <v>96</v>
      </c>
      <c r="B23" s="7" t="s">
        <v>97</v>
      </c>
      <c r="C23" s="32" t="s">
        <v>100</v>
      </c>
      <c r="D23" s="8">
        <v>45630</v>
      </c>
      <c r="E23" s="2">
        <v>0.28749999999999998</v>
      </c>
      <c r="F23" s="1">
        <v>34.78</v>
      </c>
      <c r="G23" s="1">
        <f t="shared" si="0"/>
        <v>9.99925</v>
      </c>
      <c r="H23" s="13">
        <v>0.2</v>
      </c>
      <c r="I23" s="11">
        <v>0.2</v>
      </c>
      <c r="J23" s="9">
        <f t="shared" si="1"/>
        <v>1</v>
      </c>
      <c r="K23" s="9">
        <f t="shared" si="2"/>
        <v>0.25539586868749808</v>
      </c>
      <c r="L23" s="9">
        <f t="shared" si="3"/>
        <v>1.9998500000000001</v>
      </c>
      <c r="M23" s="12">
        <f t="shared" si="14"/>
        <v>41.735999999999997</v>
      </c>
      <c r="N23" s="12">
        <f t="shared" si="4"/>
        <v>11.999099999999999</v>
      </c>
      <c r="O23" s="12" cm="1" vm="10">
        <f t="array" aca="1" ref="O23" ca="1">_xlfn.STOCKHISTORY(C23,TODAY()-1,TODAY(),1,0,4)</f>
        <v>25.26</v>
      </c>
      <c r="P23" s="12">
        <f t="shared" ca="1" si="5"/>
        <v>7.2622499999999999</v>
      </c>
      <c r="Q23" s="12">
        <f t="shared" ca="1" si="6"/>
        <v>-2.7370000000000001</v>
      </c>
      <c r="R23" s="12">
        <f t="shared" si="7"/>
        <v>34.78</v>
      </c>
      <c r="S23" s="12">
        <f t="shared" si="8"/>
        <v>6.955999999999996</v>
      </c>
      <c r="T23" s="12">
        <f t="shared" si="9"/>
        <v>0</v>
      </c>
      <c r="U23" s="15">
        <f t="shared" si="10"/>
        <v>6.955999999999996</v>
      </c>
      <c r="V23" s="12">
        <f t="shared" si="11"/>
        <v>57.794000000000004</v>
      </c>
      <c r="W23" s="9">
        <f t="shared" si="12"/>
        <v>1.7302834204242654E-2</v>
      </c>
      <c r="X23" s="9">
        <f t="shared" si="13"/>
        <v>0.31702191016518916</v>
      </c>
    </row>
    <row r="24" spans="1:24" hidden="1" x14ac:dyDescent="0.25">
      <c r="A24" t="s">
        <v>39</v>
      </c>
      <c r="B24" s="6" t="s">
        <v>58</v>
      </c>
      <c r="C24" t="s">
        <v>59</v>
      </c>
      <c r="D24" s="8">
        <v>45695</v>
      </c>
      <c r="E24" s="2">
        <v>2.9999999999999997E-4</v>
      </c>
      <c r="F24" s="1">
        <v>143.18</v>
      </c>
      <c r="G24" s="1">
        <f t="shared" si="0"/>
        <v>4.2953999999999999E-2</v>
      </c>
      <c r="H24" s="13">
        <v>7.0000000000000007E-2</v>
      </c>
      <c r="I24" s="11">
        <v>0.1623</v>
      </c>
      <c r="J24" s="9">
        <f t="shared" si="1"/>
        <v>0.43130006161429457</v>
      </c>
      <c r="K24" s="9">
        <f t="shared" si="2"/>
        <v>0.11015225390095421</v>
      </c>
      <c r="L24" s="9">
        <f t="shared" si="3"/>
        <v>6.9714341999999995E-3</v>
      </c>
      <c r="M24" s="12">
        <f t="shared" si="14"/>
        <v>153.20260000000002</v>
      </c>
      <c r="N24" s="12">
        <f t="shared" si="4"/>
        <v>4.596078E-2</v>
      </c>
      <c r="O24" s="12" cm="1" vm="11">
        <f t="array" aca="1" ref="O24" ca="1">_xlfn.STOCKHISTORY(C24,TODAY()-1,TODAY(),1,0,4)</f>
        <v>147.29</v>
      </c>
      <c r="P24" s="12">
        <f t="shared" ca="1" si="5"/>
        <v>4.4186999999999997E-2</v>
      </c>
      <c r="Q24" s="12">
        <f t="shared" ca="1" si="6"/>
        <v>1.232999999999998E-3</v>
      </c>
      <c r="R24" s="12">
        <f t="shared" si="7"/>
        <v>131.08120479721688</v>
      </c>
      <c r="S24" s="12">
        <f t="shared" si="8"/>
        <v>10.022600000000011</v>
      </c>
      <c r="T24" s="12">
        <f t="shared" si="9"/>
        <v>-6.0493976013915614</v>
      </c>
      <c r="U24" s="15">
        <f t="shared" si="10"/>
        <v>3.9732023986084499</v>
      </c>
      <c r="V24" s="12">
        <f t="shared" si="11"/>
        <v>60.77679760139155</v>
      </c>
      <c r="W24" s="9">
        <f t="shared" si="12"/>
        <v>1.6453647435630995E-2</v>
      </c>
      <c r="X24" s="9">
        <f t="shared" si="13"/>
        <v>0.33338368116614586</v>
      </c>
    </row>
    <row r="25" spans="1:24" hidden="1" x14ac:dyDescent="0.25">
      <c r="A25" t="s">
        <v>36</v>
      </c>
      <c r="B25" s="3" t="s">
        <v>14</v>
      </c>
      <c r="C25" t="s">
        <v>13</v>
      </c>
      <c r="D25" s="8">
        <v>45482</v>
      </c>
      <c r="E25" s="2">
        <v>1E-4</v>
      </c>
      <c r="F25" s="1">
        <v>227.38</v>
      </c>
      <c r="G25" s="1">
        <f t="shared" si="0"/>
        <v>2.2738000000000001E-2</v>
      </c>
      <c r="H25" s="13">
        <v>0.15</v>
      </c>
      <c r="I25" s="11">
        <v>0.2271</v>
      </c>
      <c r="J25" s="9">
        <f t="shared" si="1"/>
        <v>0.66050198150594452</v>
      </c>
      <c r="K25" s="9">
        <f t="shared" si="2"/>
        <v>0.16868947733652448</v>
      </c>
      <c r="L25" s="9">
        <f t="shared" si="3"/>
        <v>5.1637998000000004E-3</v>
      </c>
      <c r="M25" s="12">
        <f t="shared" si="14"/>
        <v>261.48699999999997</v>
      </c>
      <c r="N25" s="12">
        <f t="shared" si="4"/>
        <v>2.6148699999999997E-2</v>
      </c>
      <c r="O25" s="12" cm="1" vm="12">
        <f t="array" aca="1" ref="O25" ca="1">_xlfn.STOCKHISTORY(C25,TODAY()-1,TODAY(),1,0,4)</f>
        <v>187.34</v>
      </c>
      <c r="P25" s="12">
        <f t="shared" ca="1" si="5"/>
        <v>1.8734000000000001E-2</v>
      </c>
      <c r="Q25" s="12">
        <f t="shared" ca="1" si="6"/>
        <v>-4.0040000000000006E-3</v>
      </c>
      <c r="R25" s="12">
        <f t="shared" si="7"/>
        <v>211.10389007520189</v>
      </c>
      <c r="S25" s="12">
        <f t="shared" si="8"/>
        <v>34.106999999999971</v>
      </c>
      <c r="T25" s="12">
        <f t="shared" si="9"/>
        <v>-8.1380549623990532</v>
      </c>
      <c r="U25" s="15">
        <f t="shared" si="10"/>
        <v>25.968945037600918</v>
      </c>
      <c r="V25" s="12">
        <f t="shared" si="11"/>
        <v>38.781054962399082</v>
      </c>
      <c r="W25" s="9">
        <f t="shared" si="12"/>
        <v>2.5785786409615964E-2</v>
      </c>
      <c r="X25" s="9">
        <f t="shared" si="13"/>
        <v>0.21272872828322911</v>
      </c>
    </row>
    <row r="26" spans="1:24" hidden="1" x14ac:dyDescent="0.25">
      <c r="A26" t="s">
        <v>74</v>
      </c>
      <c r="B26" s="7" t="s">
        <v>79</v>
      </c>
      <c r="C26" s="14" t="s">
        <v>80</v>
      </c>
      <c r="D26" s="8">
        <f ca="1">TODAY()-20</f>
        <v>45732</v>
      </c>
      <c r="E26" s="2">
        <v>9.9999999999999998E-20</v>
      </c>
      <c r="F26" s="1">
        <v>2742.9</v>
      </c>
      <c r="G26" s="1">
        <f t="shared" si="0"/>
        <v>2.7429000000000002E-16</v>
      </c>
      <c r="H26" s="13">
        <v>0.1</v>
      </c>
      <c r="I26" s="11">
        <v>0.5</v>
      </c>
      <c r="J26" s="9">
        <f t="shared" si="1"/>
        <v>0.2</v>
      </c>
      <c r="K26" s="9">
        <f t="shared" si="2"/>
        <v>5.1079173737499615E-2</v>
      </c>
      <c r="L26" s="9">
        <f t="shared" si="3"/>
        <v>1.3714500000000001E-16</v>
      </c>
      <c r="M26" s="12">
        <f t="shared" si="14"/>
        <v>3017.1900000000005</v>
      </c>
      <c r="N26" s="12">
        <f t="shared" si="4"/>
        <v>3.0171900000000003E-16</v>
      </c>
      <c r="O26" s="46">
        <f t="shared" ref="O26:O46" si="15">F26</f>
        <v>2742.9</v>
      </c>
      <c r="P26" s="12">
        <f t="shared" si="5"/>
        <v>2.7429000000000002E-16</v>
      </c>
      <c r="Q26" s="12">
        <f t="shared" si="6"/>
        <v>0</v>
      </c>
      <c r="R26" s="12">
        <f t="shared" si="7"/>
        <v>1959.214285714286</v>
      </c>
      <c r="S26" s="12">
        <f t="shared" si="8"/>
        <v>274.29000000000042</v>
      </c>
      <c r="T26" s="12">
        <f t="shared" si="9"/>
        <v>-391.84285714285704</v>
      </c>
      <c r="U26" s="15">
        <f t="shared" si="10"/>
        <v>-117.55285714285662</v>
      </c>
      <c r="V26" s="12">
        <f t="shared" si="11"/>
        <v>182.30285714285662</v>
      </c>
      <c r="W26" s="9">
        <f t="shared" si="12"/>
        <v>5.4853775507005768E-3</v>
      </c>
      <c r="X26" s="9">
        <f t="shared" si="13"/>
        <v>1</v>
      </c>
    </row>
    <row r="27" spans="1:24" hidden="1" x14ac:dyDescent="0.25">
      <c r="A27" t="s">
        <v>36</v>
      </c>
      <c r="B27" s="3" t="s">
        <v>60</v>
      </c>
      <c r="C27" t="s">
        <v>60</v>
      </c>
      <c r="D27" s="8">
        <v>45481</v>
      </c>
      <c r="E27" s="2">
        <v>9.9999999999999998E-20</v>
      </c>
      <c r="F27" s="1">
        <v>700.32</v>
      </c>
      <c r="G27" s="1">
        <f t="shared" si="0"/>
        <v>7.0031999999999998E-17</v>
      </c>
      <c r="H27" s="13">
        <v>0.1</v>
      </c>
      <c r="I27" s="11">
        <v>0.45340000000000003</v>
      </c>
      <c r="J27" s="9">
        <f t="shared" si="1"/>
        <v>0.22055580061755625</v>
      </c>
      <c r="K27" s="9">
        <f t="shared" si="2"/>
        <v>5.6329040292787402E-2</v>
      </c>
      <c r="L27" s="9">
        <f t="shared" si="3"/>
        <v>3.1752508800000004E-17</v>
      </c>
      <c r="M27" s="12">
        <f t="shared" si="14"/>
        <v>770.35200000000009</v>
      </c>
      <c r="N27" s="12">
        <f t="shared" si="4"/>
        <v>7.7035200000000004E-17</v>
      </c>
      <c r="O27" s="46">
        <f t="shared" si="15"/>
        <v>700.32</v>
      </c>
      <c r="P27" s="12">
        <f t="shared" si="5"/>
        <v>7.0031999999999998E-17</v>
      </c>
      <c r="Q27" s="12">
        <f t="shared" si="6"/>
        <v>0</v>
      </c>
      <c r="R27" s="12">
        <f t="shared" si="7"/>
        <v>517.45234224915032</v>
      </c>
      <c r="S27" s="12">
        <f t="shared" si="8"/>
        <v>70.032000000000039</v>
      </c>
      <c r="T27" s="12">
        <f t="shared" si="9"/>
        <v>-91.433828875424865</v>
      </c>
      <c r="U27" s="15">
        <f t="shared" si="10"/>
        <v>-21.401828875424826</v>
      </c>
      <c r="V27" s="12">
        <f t="shared" si="11"/>
        <v>86.151828875424826</v>
      </c>
      <c r="W27" s="9">
        <f t="shared" si="12"/>
        <v>1.1607414642885826E-2</v>
      </c>
      <c r="X27" s="9">
        <f t="shared" si="13"/>
        <v>0.47257530806505305</v>
      </c>
    </row>
    <row r="28" spans="1:24" hidden="1" x14ac:dyDescent="0.25">
      <c r="A28" t="s">
        <v>39</v>
      </c>
      <c r="B28" s="6" t="s">
        <v>33</v>
      </c>
      <c r="C28" t="s">
        <v>34</v>
      </c>
      <c r="D28" s="8">
        <v>45562</v>
      </c>
      <c r="E28" s="2">
        <v>9.9999999999999998E-20</v>
      </c>
      <c r="F28" s="1">
        <v>668.82</v>
      </c>
      <c r="G28" s="1">
        <f t="shared" si="0"/>
        <v>6.6881999999999999E-17</v>
      </c>
      <c r="H28" s="13">
        <v>0.05</v>
      </c>
      <c r="I28" s="11">
        <v>0.28000000000000003</v>
      </c>
      <c r="J28" s="9">
        <f t="shared" si="1"/>
        <v>0.17857142857142858</v>
      </c>
      <c r="K28" s="9">
        <f t="shared" si="2"/>
        <v>4.5606405122767514E-2</v>
      </c>
      <c r="L28" s="9">
        <f t="shared" si="3"/>
        <v>1.872696E-17</v>
      </c>
      <c r="M28" s="12">
        <f t="shared" si="14"/>
        <v>702.26100000000008</v>
      </c>
      <c r="N28" s="12">
        <f t="shared" si="4"/>
        <v>7.0226100000000009E-17</v>
      </c>
      <c r="O28" s="46">
        <f t="shared" si="15"/>
        <v>668.82</v>
      </c>
      <c r="P28" s="12">
        <f t="shared" si="5"/>
        <v>6.6881999999999999E-17</v>
      </c>
      <c r="Q28" s="12">
        <f t="shared" si="6"/>
        <v>0</v>
      </c>
      <c r="R28" s="12">
        <f t="shared" si="7"/>
        <v>543.7560975609756</v>
      </c>
      <c r="S28" s="12">
        <f t="shared" si="8"/>
        <v>33.441000000000031</v>
      </c>
      <c r="T28" s="12">
        <f t="shared" si="9"/>
        <v>-62.531951219512223</v>
      </c>
      <c r="U28" s="15">
        <f t="shared" si="10"/>
        <v>-29.090951219512192</v>
      </c>
      <c r="V28" s="12">
        <f t="shared" si="11"/>
        <v>93.840951219512192</v>
      </c>
      <c r="W28" s="9">
        <f t="shared" si="12"/>
        <v>1.0656328468589433E-2</v>
      </c>
      <c r="X28" s="9">
        <f t="shared" si="13"/>
        <v>0.51475304715590009</v>
      </c>
    </row>
    <row r="29" spans="1:24" hidden="1" x14ac:dyDescent="0.25">
      <c r="A29" t="s">
        <v>37</v>
      </c>
      <c r="B29" s="4" t="s">
        <v>7</v>
      </c>
      <c r="C29" t="s">
        <v>25</v>
      </c>
      <c r="D29" s="8">
        <v>45751</v>
      </c>
      <c r="E29" s="2">
        <v>6.1600000000000002E-2</v>
      </c>
      <c r="F29" s="1">
        <v>324.48</v>
      </c>
      <c r="G29" s="1">
        <f t="shared" si="0"/>
        <v>19.987968000000002</v>
      </c>
      <c r="H29" s="13">
        <v>0.10829999999999999</v>
      </c>
      <c r="I29" s="11">
        <v>0.27510000000000001</v>
      </c>
      <c r="J29" s="9">
        <f t="shared" si="1"/>
        <v>0.3936750272628135</v>
      </c>
      <c r="K29" s="9">
        <f t="shared" si="2"/>
        <v>0.10054297556836074</v>
      </c>
      <c r="L29" s="9">
        <f t="shared" si="3"/>
        <v>5.4986899968000005</v>
      </c>
      <c r="M29" s="12">
        <f t="shared" si="14"/>
        <v>359.62118400000003</v>
      </c>
      <c r="N29" s="12">
        <f t="shared" si="4"/>
        <v>22.152664934400004</v>
      </c>
      <c r="O29" s="46">
        <f t="shared" si="15"/>
        <v>324.48</v>
      </c>
      <c r="P29" s="12">
        <f t="shared" si="5"/>
        <v>19.987968000000002</v>
      </c>
      <c r="Q29" s="12">
        <f t="shared" si="6"/>
        <v>0</v>
      </c>
      <c r="R29" s="12">
        <f t="shared" si="7"/>
        <v>278.09393212204321</v>
      </c>
      <c r="S29" s="12">
        <f t="shared" si="8"/>
        <v>35.14118400000001</v>
      </c>
      <c r="T29" s="12">
        <f t="shared" si="9"/>
        <v>-23.193033938978402</v>
      </c>
      <c r="U29" s="15">
        <f t="shared" si="10"/>
        <v>11.948150061021607</v>
      </c>
      <c r="V29" s="12">
        <f t="shared" si="11"/>
        <v>52.801849938978393</v>
      </c>
      <c r="W29" s="9">
        <f t="shared" si="12"/>
        <v>1.8938730388341918E-2</v>
      </c>
      <c r="X29" s="9">
        <f t="shared" si="13"/>
        <v>0.28963808229073268</v>
      </c>
    </row>
    <row r="30" spans="1:24" hidden="1" x14ac:dyDescent="0.25">
      <c r="A30" t="s">
        <v>96</v>
      </c>
      <c r="B30" s="7" t="s">
        <v>102</v>
      </c>
      <c r="C30" s="32" t="s">
        <v>99</v>
      </c>
      <c r="D30" s="8">
        <v>45630</v>
      </c>
      <c r="E30" s="2">
        <v>9.9999999999999998E-20</v>
      </c>
      <c r="F30" s="1">
        <v>323.75</v>
      </c>
      <c r="G30" s="1">
        <f t="shared" si="0"/>
        <v>3.2375000000000002E-17</v>
      </c>
      <c r="H30" s="13">
        <v>0.2</v>
      </c>
      <c r="I30" s="11">
        <v>0.2</v>
      </c>
      <c r="J30" s="9">
        <f t="shared" si="1"/>
        <v>1</v>
      </c>
      <c r="K30" s="9">
        <f t="shared" si="2"/>
        <v>0.25539586868749808</v>
      </c>
      <c r="L30" s="9">
        <f t="shared" si="3"/>
        <v>6.4750000000000006E-18</v>
      </c>
      <c r="M30" s="12">
        <f t="shared" si="14"/>
        <v>388.5</v>
      </c>
      <c r="N30" s="12">
        <f t="shared" si="4"/>
        <v>3.8849999999999999E-17</v>
      </c>
      <c r="O30" s="46">
        <f t="shared" si="15"/>
        <v>323.75</v>
      </c>
      <c r="P30" s="12">
        <f t="shared" si="5"/>
        <v>3.2375000000000002E-17</v>
      </c>
      <c r="Q30" s="12">
        <f t="shared" si="6"/>
        <v>0</v>
      </c>
      <c r="R30" s="12">
        <f t="shared" si="7"/>
        <v>323.75</v>
      </c>
      <c r="S30" s="12">
        <f t="shared" si="8"/>
        <v>64.75</v>
      </c>
      <c r="T30" s="12">
        <f t="shared" si="9"/>
        <v>0</v>
      </c>
      <c r="U30" s="15">
        <f t="shared" si="10"/>
        <v>64.75</v>
      </c>
      <c r="V30" s="12">
        <f t="shared" si="11"/>
        <v>0</v>
      </c>
      <c r="W30" s="9">
        <f t="shared" si="12"/>
        <v>0</v>
      </c>
      <c r="X30" s="9">
        <f t="shared" si="13"/>
        <v>0</v>
      </c>
    </row>
    <row r="31" spans="1:24" hidden="1" x14ac:dyDescent="0.25">
      <c r="A31" t="s">
        <v>36</v>
      </c>
      <c r="B31" s="3" t="s">
        <v>10</v>
      </c>
      <c r="C31" t="s">
        <v>9</v>
      </c>
      <c r="D31" s="8">
        <v>45544</v>
      </c>
      <c r="E31" s="2">
        <v>9.9999999999999998E-20</v>
      </c>
      <c r="F31" s="1">
        <v>188.12</v>
      </c>
      <c r="G31" s="1">
        <f t="shared" si="0"/>
        <v>1.8812000000000001E-17</v>
      </c>
      <c r="H31" s="13">
        <v>0.15</v>
      </c>
      <c r="I31" s="11">
        <v>0.37780000000000002</v>
      </c>
      <c r="J31" s="9">
        <f t="shared" si="1"/>
        <v>0.39703546850185278</v>
      </c>
      <c r="K31" s="9">
        <f t="shared" si="2"/>
        <v>0.10140121837777848</v>
      </c>
      <c r="L31" s="9">
        <f t="shared" si="3"/>
        <v>7.1071736000000005E-18</v>
      </c>
      <c r="M31" s="12">
        <f t="shared" si="14"/>
        <v>216.33799999999999</v>
      </c>
      <c r="N31" s="12">
        <f t="shared" si="4"/>
        <v>2.16338E-17</v>
      </c>
      <c r="O31" s="46">
        <f t="shared" si="15"/>
        <v>188.12</v>
      </c>
      <c r="P31" s="12">
        <f t="shared" si="5"/>
        <v>1.8812000000000001E-17</v>
      </c>
      <c r="Q31" s="12">
        <f t="shared" si="6"/>
        <v>0</v>
      </c>
      <c r="R31" s="12">
        <f t="shared" si="7"/>
        <v>153.21713634142367</v>
      </c>
      <c r="S31" s="12">
        <f t="shared" si="8"/>
        <v>28.217999999999989</v>
      </c>
      <c r="T31" s="12">
        <f t="shared" si="9"/>
        <v>-17.451431829288168</v>
      </c>
      <c r="U31" s="15">
        <f t="shared" si="10"/>
        <v>10.766568170711821</v>
      </c>
      <c r="V31" s="12">
        <f t="shared" si="11"/>
        <v>53.983431829288179</v>
      </c>
      <c r="W31" s="9">
        <f t="shared" si="12"/>
        <v>1.8524202076709392E-2</v>
      </c>
      <c r="X31" s="9">
        <f t="shared" si="13"/>
        <v>0.29611950506615237</v>
      </c>
    </row>
    <row r="32" spans="1:24" hidden="1" x14ac:dyDescent="0.25">
      <c r="A32" t="s">
        <v>36</v>
      </c>
      <c r="B32" s="3" t="s">
        <v>29</v>
      </c>
      <c r="C32" t="s">
        <v>30</v>
      </c>
      <c r="D32" s="8">
        <v>45481</v>
      </c>
      <c r="E32" s="2">
        <v>9.9999999999999998E-20</v>
      </c>
      <c r="F32" s="1">
        <v>169.34</v>
      </c>
      <c r="G32" s="1">
        <f t="shared" si="0"/>
        <v>1.6933999999999999E-17</v>
      </c>
      <c r="H32" s="13">
        <v>0.1</v>
      </c>
      <c r="I32" s="11">
        <v>0.4259</v>
      </c>
      <c r="J32" s="9">
        <f t="shared" si="1"/>
        <v>0.23479690068091102</v>
      </c>
      <c r="K32" s="9">
        <f t="shared" si="2"/>
        <v>5.9966158414533483E-2</v>
      </c>
      <c r="L32" s="9">
        <f t="shared" si="3"/>
        <v>7.2121906000000005E-18</v>
      </c>
      <c r="M32" s="12">
        <f t="shared" si="14"/>
        <v>186.27400000000003</v>
      </c>
      <c r="N32" s="12">
        <f t="shared" si="4"/>
        <v>1.8627400000000003E-17</v>
      </c>
      <c r="O32" s="46">
        <f t="shared" si="15"/>
        <v>169.34</v>
      </c>
      <c r="P32" s="12">
        <f t="shared" si="5"/>
        <v>1.6933999999999999E-17</v>
      </c>
      <c r="Q32" s="12">
        <f t="shared" si="6"/>
        <v>0</v>
      </c>
      <c r="R32" s="12">
        <f t="shared" si="7"/>
        <v>127.71702239987934</v>
      </c>
      <c r="S32" s="12">
        <f t="shared" si="8"/>
        <v>16.934000000000026</v>
      </c>
      <c r="T32" s="12">
        <f t="shared" si="9"/>
        <v>-20.811488800060332</v>
      </c>
      <c r="U32" s="15">
        <f t="shared" si="10"/>
        <v>-3.8774888000603056</v>
      </c>
      <c r="V32" s="12">
        <f t="shared" si="11"/>
        <v>68.627488800060306</v>
      </c>
      <c r="W32" s="9">
        <f t="shared" si="12"/>
        <v>1.4571420541314068E-2</v>
      </c>
      <c r="X32" s="9">
        <f t="shared" si="13"/>
        <v>0.37644768642480608</v>
      </c>
    </row>
    <row r="33" spans="1:24" hidden="1" x14ac:dyDescent="0.25">
      <c r="A33" t="s">
        <v>74</v>
      </c>
      <c r="B33" s="7" t="s">
        <v>77</v>
      </c>
      <c r="C33" t="s">
        <v>78</v>
      </c>
      <c r="D33" s="8">
        <v>45574</v>
      </c>
      <c r="E33" s="2">
        <v>9.9999999999999998E-20</v>
      </c>
      <c r="F33" s="1">
        <v>153.7552</v>
      </c>
      <c r="G33" s="1">
        <f t="shared" si="0"/>
        <v>1.5375519999999999E-17</v>
      </c>
      <c r="H33" s="13">
        <v>7.0000000000000007E-2</v>
      </c>
      <c r="I33" s="11">
        <v>0.19</v>
      </c>
      <c r="J33" s="9">
        <f t="shared" si="1"/>
        <v>0.36842105263157898</v>
      </c>
      <c r="K33" s="9">
        <f t="shared" si="2"/>
        <v>9.409321477960457E-2</v>
      </c>
      <c r="L33" s="9">
        <f t="shared" si="3"/>
        <v>2.9213487999999999E-18</v>
      </c>
      <c r="M33" s="12">
        <f t="shared" si="14"/>
        <v>164.51806400000001</v>
      </c>
      <c r="N33" s="12">
        <f t="shared" si="4"/>
        <v>1.6451806399999999E-17</v>
      </c>
      <c r="O33" s="46">
        <f t="shared" si="15"/>
        <v>153.7552</v>
      </c>
      <c r="P33" s="12">
        <f t="shared" si="5"/>
        <v>1.5375519999999999E-17</v>
      </c>
      <c r="Q33" s="12">
        <f t="shared" si="6"/>
        <v>0</v>
      </c>
      <c r="R33" s="12">
        <f t="shared" si="7"/>
        <v>137.28142857142859</v>
      </c>
      <c r="S33" s="12">
        <f t="shared" si="8"/>
        <v>10.762864000000008</v>
      </c>
      <c r="T33" s="12">
        <f t="shared" si="9"/>
        <v>-8.2368857142857053</v>
      </c>
      <c r="U33" s="15">
        <f t="shared" si="10"/>
        <v>2.5259782857143023</v>
      </c>
      <c r="V33" s="12">
        <f t="shared" si="11"/>
        <v>62.224021714285698</v>
      </c>
      <c r="W33" s="9">
        <f t="shared" si="12"/>
        <v>1.6070963792596118E-2</v>
      </c>
      <c r="X33" s="9">
        <f t="shared" si="13"/>
        <v>0.34132225182584797</v>
      </c>
    </row>
    <row r="34" spans="1:24" hidden="1" x14ac:dyDescent="0.25">
      <c r="A34" t="s">
        <v>36</v>
      </c>
      <c r="B34" s="3" t="s">
        <v>23</v>
      </c>
      <c r="C34" t="s">
        <v>24</v>
      </c>
      <c r="D34" s="8">
        <v>45482</v>
      </c>
      <c r="E34" s="2">
        <v>9.9999999999999998E-20</v>
      </c>
      <c r="F34" s="1">
        <v>147.01</v>
      </c>
      <c r="G34" s="1">
        <f t="shared" si="0"/>
        <v>1.4700999999999999E-17</v>
      </c>
      <c r="H34" s="13">
        <v>0.15</v>
      </c>
      <c r="I34" s="11">
        <v>0.52380000000000004</v>
      </c>
      <c r="J34" s="9">
        <f t="shared" si="1"/>
        <v>0.28636884306987398</v>
      </c>
      <c r="K34" s="9">
        <f t="shared" si="2"/>
        <v>7.3137419440864285E-2</v>
      </c>
      <c r="L34" s="9">
        <f t="shared" si="3"/>
        <v>7.7003838000000003E-18</v>
      </c>
      <c r="M34" s="12">
        <f t="shared" si="14"/>
        <v>169.06149999999997</v>
      </c>
      <c r="N34" s="12">
        <f t="shared" si="4"/>
        <v>1.6906149999999997E-17</v>
      </c>
      <c r="O34" s="46">
        <f t="shared" si="15"/>
        <v>147.01</v>
      </c>
      <c r="P34" s="12">
        <f t="shared" si="5"/>
        <v>1.4700999999999999E-17</v>
      </c>
      <c r="Q34" s="12">
        <f t="shared" si="6"/>
        <v>0</v>
      </c>
      <c r="R34" s="12">
        <f t="shared" si="7"/>
        <v>107.00975396709855</v>
      </c>
      <c r="S34" s="12">
        <f t="shared" si="8"/>
        <v>22.051499999999976</v>
      </c>
      <c r="T34" s="12">
        <f t="shared" si="9"/>
        <v>-20.000123016450722</v>
      </c>
      <c r="U34" s="15">
        <f t="shared" si="10"/>
        <v>2.0513769835492539</v>
      </c>
      <c r="V34" s="12">
        <f t="shared" si="11"/>
        <v>62.698623016450746</v>
      </c>
      <c r="W34" s="9">
        <f t="shared" si="12"/>
        <v>1.5949313587598594E-2</v>
      </c>
      <c r="X34" s="9">
        <f t="shared" si="13"/>
        <v>0.34392561915427738</v>
      </c>
    </row>
    <row r="35" spans="1:24" hidden="1" x14ac:dyDescent="0.25">
      <c r="A35" t="s">
        <v>87</v>
      </c>
      <c r="B35" t="s">
        <v>88</v>
      </c>
      <c r="C35" s="32" t="s">
        <v>89</v>
      </c>
      <c r="D35" s="8">
        <v>45627</v>
      </c>
      <c r="E35" s="2">
        <v>9.9999999999999998E-20</v>
      </c>
      <c r="F35" s="1">
        <v>133.53</v>
      </c>
      <c r="G35" s="1">
        <f t="shared" si="0"/>
        <v>1.3353E-17</v>
      </c>
      <c r="H35" s="13">
        <v>7.0000000000000007E-2</v>
      </c>
      <c r="I35" s="11">
        <v>0.2</v>
      </c>
      <c r="J35" s="9">
        <f t="shared" si="1"/>
        <v>0.35000000000000003</v>
      </c>
      <c r="K35" s="9">
        <f t="shared" si="2"/>
        <v>8.9388554040624332E-2</v>
      </c>
      <c r="L35" s="9">
        <f t="shared" si="3"/>
        <v>2.6706000000000003E-18</v>
      </c>
      <c r="M35" s="12">
        <f t="shared" si="14"/>
        <v>142.87710000000001</v>
      </c>
      <c r="N35" s="12">
        <f t="shared" si="4"/>
        <v>1.428771E-17</v>
      </c>
      <c r="O35" s="46">
        <f t="shared" si="15"/>
        <v>133.53</v>
      </c>
      <c r="P35" s="12">
        <f t="shared" si="5"/>
        <v>1.3353E-17</v>
      </c>
      <c r="Q35" s="12">
        <f t="shared" si="6"/>
        <v>0</v>
      </c>
      <c r="R35" s="12">
        <f t="shared" si="7"/>
        <v>118.16814159292036</v>
      </c>
      <c r="S35" s="12">
        <f t="shared" si="8"/>
        <v>9.3471000000000117</v>
      </c>
      <c r="T35" s="12">
        <f t="shared" si="9"/>
        <v>-7.6809292035398187</v>
      </c>
      <c r="U35" s="15">
        <f t="shared" si="10"/>
        <v>1.6661707964601931</v>
      </c>
      <c r="V35" s="12">
        <f t="shared" si="11"/>
        <v>63.083829203539807</v>
      </c>
      <c r="W35" s="9">
        <f t="shared" si="12"/>
        <v>1.5851922951181398E-2</v>
      </c>
      <c r="X35" s="9">
        <f t="shared" si="13"/>
        <v>0.34603862052532669</v>
      </c>
    </row>
    <row r="36" spans="1:24" x14ac:dyDescent="0.25">
      <c r="A36" t="s">
        <v>40</v>
      </c>
      <c r="B36" s="7" t="s">
        <v>31</v>
      </c>
      <c r="C36" s="14" t="s">
        <v>32</v>
      </c>
      <c r="D36" s="8">
        <v>45511</v>
      </c>
      <c r="E36" s="2">
        <v>9.9999999999999998E-20</v>
      </c>
      <c r="F36" s="1">
        <v>113.58</v>
      </c>
      <c r="G36" s="1">
        <f t="shared" si="0"/>
        <v>1.1357999999999999E-17</v>
      </c>
      <c r="H36" s="13">
        <f>121.15/F36-1</f>
        <v>6.664905793273479E-2</v>
      </c>
      <c r="I36" s="11">
        <v>0.17680000000000001</v>
      </c>
      <c r="J36" s="9">
        <f t="shared" si="1"/>
        <v>0.37697430957429179</v>
      </c>
      <c r="K36" s="9">
        <f t="shared" si="2"/>
        <v>9.6277681266596082E-2</v>
      </c>
      <c r="L36" s="9">
        <f t="shared" si="3"/>
        <v>2.0080944000000001E-18</v>
      </c>
      <c r="M36" s="12">
        <f t="shared" si="14"/>
        <v>121.15000000000002</v>
      </c>
      <c r="N36" s="12">
        <f t="shared" si="4"/>
        <v>1.2115000000000002E-17</v>
      </c>
      <c r="O36" s="46">
        <v>118.93</v>
      </c>
      <c r="P36" s="12">
        <f>IFERROR(O36*E36,G36)</f>
        <v>1.1893E-17</v>
      </c>
      <c r="Q36" s="12">
        <f t="shared" si="6"/>
        <v>5.3500000000000062E-19</v>
      </c>
      <c r="R36" s="12">
        <f t="shared" si="7"/>
        <v>102.31041176121261</v>
      </c>
      <c r="S36" s="12">
        <f t="shared" si="8"/>
        <v>7.5700000000000216</v>
      </c>
      <c r="T36" s="12">
        <f t="shared" si="9"/>
        <v>-5.6347941193936961</v>
      </c>
      <c r="U36" s="15">
        <f t="shared" si="10"/>
        <v>1.9352058806063255</v>
      </c>
      <c r="V36" s="12">
        <f t="shared" si="11"/>
        <v>62.814794119393675</v>
      </c>
      <c r="W36" s="9">
        <f t="shared" si="12"/>
        <v>1.5919816565812102E-2</v>
      </c>
      <c r="X36" s="9">
        <f t="shared" si="13"/>
        <v>0.34456286151440069</v>
      </c>
    </row>
    <row r="37" spans="1:24" hidden="1" x14ac:dyDescent="0.25">
      <c r="A37" t="s">
        <v>38</v>
      </c>
      <c r="B37" s="5" t="s">
        <v>54</v>
      </c>
      <c r="C37" t="s">
        <v>55</v>
      </c>
      <c r="D37" s="8">
        <v>45505</v>
      </c>
      <c r="E37" s="2">
        <v>9.9999999999999998E-20</v>
      </c>
      <c r="F37" s="1">
        <v>86.6</v>
      </c>
      <c r="G37" s="1">
        <f t="shared" si="0"/>
        <v>8.6599999999999986E-18</v>
      </c>
      <c r="H37" s="13">
        <v>7.0000000000000007E-2</v>
      </c>
      <c r="I37" s="11">
        <v>0.17249999999999999</v>
      </c>
      <c r="J37" s="9">
        <f t="shared" si="1"/>
        <v>0.40579710144927544</v>
      </c>
      <c r="K37" s="9">
        <f t="shared" si="2"/>
        <v>0.10363890323550649</v>
      </c>
      <c r="L37" s="9">
        <f t="shared" si="3"/>
        <v>1.4938499999999996E-18</v>
      </c>
      <c r="M37" s="12">
        <f t="shared" si="14"/>
        <v>92.662000000000006</v>
      </c>
      <c r="N37" s="12">
        <f t="shared" si="4"/>
        <v>9.2662000000000008E-18</v>
      </c>
      <c r="O37" s="46">
        <f t="shared" si="15"/>
        <v>86.6</v>
      </c>
      <c r="P37" s="12">
        <f t="shared" si="5"/>
        <v>8.6599999999999986E-18</v>
      </c>
      <c r="Q37" s="12">
        <f t="shared" si="6"/>
        <v>0</v>
      </c>
      <c r="R37" s="12">
        <f t="shared" si="7"/>
        <v>78.548752834467123</v>
      </c>
      <c r="S37" s="12">
        <f t="shared" si="8"/>
        <v>6.0620000000000118</v>
      </c>
      <c r="T37" s="12">
        <f t="shared" si="9"/>
        <v>-4.0256235827664355</v>
      </c>
      <c r="U37" s="15">
        <f t="shared" si="10"/>
        <v>2.0363764172335763</v>
      </c>
      <c r="V37" s="12">
        <f t="shared" si="11"/>
        <v>62.713623582766424</v>
      </c>
      <c r="W37" s="9">
        <f t="shared" si="12"/>
        <v>1.5945498647199807E-2</v>
      </c>
      <c r="X37" s="9">
        <f t="shared" si="13"/>
        <v>0.34400790292399319</v>
      </c>
    </row>
    <row r="38" spans="1:24" hidden="1" x14ac:dyDescent="0.25">
      <c r="A38" t="s">
        <v>36</v>
      </c>
      <c r="B38" s="3" t="s">
        <v>83</v>
      </c>
      <c r="C38" t="s">
        <v>84</v>
      </c>
      <c r="D38" s="8">
        <v>45481</v>
      </c>
      <c r="E38" s="2">
        <v>9.9999999999999998E-20</v>
      </c>
      <c r="F38" s="1">
        <v>64.349999999999994</v>
      </c>
      <c r="G38" s="1">
        <f t="shared" si="0"/>
        <v>6.4349999999999993E-18</v>
      </c>
      <c r="H38" s="13">
        <v>0.15</v>
      </c>
      <c r="I38" s="11">
        <v>0.67300000000000004</v>
      </c>
      <c r="J38" s="9">
        <f t="shared" si="1"/>
        <v>0.22288261515601782</v>
      </c>
      <c r="K38" s="9">
        <f t="shared" si="2"/>
        <v>5.6923299113112495E-2</v>
      </c>
      <c r="L38" s="9">
        <f t="shared" si="3"/>
        <v>4.3307549999999997E-18</v>
      </c>
      <c r="M38" s="12">
        <f t="shared" si="14"/>
        <v>74.002499999999984</v>
      </c>
      <c r="N38" s="12">
        <f t="shared" si="4"/>
        <v>7.4002499999999988E-18</v>
      </c>
      <c r="O38" s="46">
        <f t="shared" si="15"/>
        <v>64.349999999999994</v>
      </c>
      <c r="P38" s="12">
        <f t="shared" si="5"/>
        <v>6.4349999999999993E-18</v>
      </c>
      <c r="Q38" s="12">
        <f t="shared" si="6"/>
        <v>0</v>
      </c>
      <c r="R38" s="12">
        <f t="shared" si="7"/>
        <v>42.252133946158892</v>
      </c>
      <c r="S38" s="12">
        <f t="shared" si="8"/>
        <v>9.6524999999999892</v>
      </c>
      <c r="T38" s="12">
        <f t="shared" si="9"/>
        <v>-11.048933026920551</v>
      </c>
      <c r="U38" s="15">
        <f t="shared" si="10"/>
        <v>-1.3964330269205618</v>
      </c>
      <c r="V38" s="12">
        <f t="shared" si="11"/>
        <v>66.146433026920562</v>
      </c>
      <c r="W38" s="9">
        <f t="shared" si="12"/>
        <v>1.5117973173141711E-2</v>
      </c>
      <c r="X38" s="9">
        <f t="shared" si="13"/>
        <v>0.36283815878478926</v>
      </c>
    </row>
    <row r="39" spans="1:24" hidden="1" x14ac:dyDescent="0.25">
      <c r="A39" t="s">
        <v>71</v>
      </c>
      <c r="B39" s="5" t="s">
        <v>72</v>
      </c>
      <c r="C39" t="s">
        <v>73</v>
      </c>
      <c r="D39" s="8">
        <v>45562</v>
      </c>
      <c r="E39" s="2">
        <v>9.9999999999999998E-20</v>
      </c>
      <c r="F39" s="1">
        <v>56</v>
      </c>
      <c r="G39" s="1">
        <f t="shared" si="0"/>
        <v>5.5999999999999995E-18</v>
      </c>
      <c r="H39" s="13">
        <v>7.0000000000000007E-2</v>
      </c>
      <c r="I39" s="11">
        <v>0.19</v>
      </c>
      <c r="J39" s="9">
        <f t="shared" si="1"/>
        <v>0.36842105263157898</v>
      </c>
      <c r="K39" s="9">
        <f t="shared" si="2"/>
        <v>9.409321477960457E-2</v>
      </c>
      <c r="L39" s="9">
        <f t="shared" si="3"/>
        <v>1.0639999999999999E-18</v>
      </c>
      <c r="M39" s="12">
        <f t="shared" si="14"/>
        <v>59.92</v>
      </c>
      <c r="N39" s="12">
        <f t="shared" si="4"/>
        <v>5.9920000000000002E-18</v>
      </c>
      <c r="O39" s="46">
        <f t="shared" si="15"/>
        <v>56</v>
      </c>
      <c r="P39" s="12">
        <f t="shared" si="5"/>
        <v>5.5999999999999995E-18</v>
      </c>
      <c r="Q39" s="12">
        <f t="shared" si="6"/>
        <v>0</v>
      </c>
      <c r="R39" s="12">
        <f t="shared" si="7"/>
        <v>50.000000000000007</v>
      </c>
      <c r="S39" s="12">
        <f t="shared" si="8"/>
        <v>3.9200000000000017</v>
      </c>
      <c r="T39" s="12">
        <f t="shared" si="9"/>
        <v>-2.9999999999999964</v>
      </c>
      <c r="U39" s="15">
        <f t="shared" si="10"/>
        <v>0.92000000000000526</v>
      </c>
      <c r="V39" s="12">
        <f t="shared" si="11"/>
        <v>63.83</v>
      </c>
      <c r="W39" s="9">
        <f t="shared" si="12"/>
        <v>1.5666614444618518E-2</v>
      </c>
      <c r="X39" s="9">
        <f t="shared" si="13"/>
        <v>0.3501316490612178</v>
      </c>
    </row>
    <row r="40" spans="1:24" hidden="1" x14ac:dyDescent="0.25">
      <c r="A40" t="s">
        <v>39</v>
      </c>
      <c r="B40" s="6" t="s">
        <v>57</v>
      </c>
      <c r="C40" t="s">
        <v>56</v>
      </c>
      <c r="D40" s="8">
        <v>45574</v>
      </c>
      <c r="E40" s="2">
        <v>9.9999999999999998E-20</v>
      </c>
      <c r="F40" s="1">
        <v>47.42</v>
      </c>
      <c r="G40" s="1">
        <f t="shared" si="0"/>
        <v>4.7419999999999999E-18</v>
      </c>
      <c r="H40" s="13">
        <v>7.0000000000000007E-2</v>
      </c>
      <c r="I40" s="11">
        <v>0.4</v>
      </c>
      <c r="J40" s="9">
        <f t="shared" si="1"/>
        <v>0.17500000000000002</v>
      </c>
      <c r="K40" s="9">
        <f t="shared" si="2"/>
        <v>4.4694277020312166E-2</v>
      </c>
      <c r="L40" s="9">
        <f t="shared" si="3"/>
        <v>1.8968000000000002E-18</v>
      </c>
      <c r="M40" s="12">
        <f t="shared" si="14"/>
        <v>50.739400000000003</v>
      </c>
      <c r="N40" s="12">
        <f t="shared" si="4"/>
        <v>5.0739400000000001E-18</v>
      </c>
      <c r="O40" s="46">
        <f t="shared" si="15"/>
        <v>47.42</v>
      </c>
      <c r="P40" s="12">
        <f t="shared" si="5"/>
        <v>4.7419999999999999E-18</v>
      </c>
      <c r="Q40" s="12">
        <f t="shared" si="6"/>
        <v>0</v>
      </c>
      <c r="R40" s="12">
        <f t="shared" si="7"/>
        <v>35.654135338345867</v>
      </c>
      <c r="S40" s="12">
        <f t="shared" si="8"/>
        <v>3.3194000000000017</v>
      </c>
      <c r="T40" s="12">
        <f t="shared" si="9"/>
        <v>-5.8829323308270673</v>
      </c>
      <c r="U40" s="15">
        <f t="shared" si="10"/>
        <v>-2.5635323308270657</v>
      </c>
      <c r="V40" s="12">
        <f t="shared" si="11"/>
        <v>67.313532330827059</v>
      </c>
      <c r="W40" s="9">
        <f t="shared" si="12"/>
        <v>1.4855853873264019E-2</v>
      </c>
      <c r="X40" s="9">
        <f t="shared" si="13"/>
        <v>0.36924013910587622</v>
      </c>
    </row>
    <row r="41" spans="1:24" x14ac:dyDescent="0.25">
      <c r="A41" t="s">
        <v>40</v>
      </c>
      <c r="B41" s="7" t="s">
        <v>93</v>
      </c>
      <c r="C41" s="32" t="s">
        <v>92</v>
      </c>
      <c r="D41" s="8">
        <v>45627</v>
      </c>
      <c r="E41" s="2">
        <v>9.9999999999999998E-20</v>
      </c>
      <c r="F41" s="1">
        <v>26.63</v>
      </c>
      <c r="G41" s="1">
        <f t="shared" si="0"/>
        <v>2.663E-18</v>
      </c>
      <c r="H41" s="13">
        <v>0.1</v>
      </c>
      <c r="I41" s="11">
        <v>0.22550000000000001</v>
      </c>
      <c r="J41" s="9">
        <f t="shared" si="1"/>
        <v>0.44345898004434592</v>
      </c>
      <c r="K41" s="9">
        <f t="shared" si="2"/>
        <v>0.11325759143569761</v>
      </c>
      <c r="L41" s="9">
        <f t="shared" si="3"/>
        <v>6.0050650000000001E-19</v>
      </c>
      <c r="M41" s="12">
        <f t="shared" si="14"/>
        <v>29.293000000000003</v>
      </c>
      <c r="N41" s="12">
        <f t="shared" si="4"/>
        <v>2.9293000000000003E-18</v>
      </c>
      <c r="O41" s="46">
        <f t="shared" si="15"/>
        <v>26.63</v>
      </c>
      <c r="P41" s="12">
        <f t="shared" si="5"/>
        <v>2.663E-18</v>
      </c>
      <c r="Q41" s="12">
        <f t="shared" si="6"/>
        <v>0</v>
      </c>
      <c r="R41" s="12">
        <f t="shared" si="7"/>
        <v>23.660595290981785</v>
      </c>
      <c r="S41" s="12">
        <f t="shared" si="8"/>
        <v>2.6630000000000038</v>
      </c>
      <c r="T41" s="12">
        <f t="shared" si="9"/>
        <v>-1.4847023545091069</v>
      </c>
      <c r="U41" s="15">
        <f t="shared" si="10"/>
        <v>1.1782976454908969</v>
      </c>
      <c r="V41" s="12">
        <f t="shared" si="11"/>
        <v>63.5717023545091</v>
      </c>
      <c r="W41" s="9">
        <f t="shared" si="12"/>
        <v>1.5730269333098498E-2</v>
      </c>
      <c r="X41" s="9">
        <f t="shared" si="13"/>
        <v>0.34871478895524322</v>
      </c>
    </row>
    <row r="42" spans="1:24" x14ac:dyDescent="0.25">
      <c r="A42" t="s">
        <v>40</v>
      </c>
      <c r="B42" s="7" t="s">
        <v>49</v>
      </c>
      <c r="C42" s="14" t="s">
        <v>48</v>
      </c>
      <c r="D42" s="8">
        <v>45511</v>
      </c>
      <c r="E42" s="2">
        <v>9.9999999999999998E-20</v>
      </c>
      <c r="F42" s="1">
        <v>20.82</v>
      </c>
      <c r="G42" s="1">
        <f t="shared" si="0"/>
        <v>2.0820000000000002E-18</v>
      </c>
      <c r="H42" s="13">
        <v>0.05</v>
      </c>
      <c r="I42" s="11">
        <v>0.66810000000000003</v>
      </c>
      <c r="J42" s="9">
        <f t="shared" si="1"/>
        <v>7.4839095943720998E-2</v>
      </c>
      <c r="K42" s="9">
        <f t="shared" si="2"/>
        <v>1.911359592033364E-2</v>
      </c>
      <c r="L42" s="9">
        <f t="shared" si="3"/>
        <v>1.3909842000000001E-18</v>
      </c>
      <c r="M42" s="12">
        <f t="shared" si="14"/>
        <v>21.861000000000001</v>
      </c>
      <c r="N42" s="12">
        <f t="shared" si="4"/>
        <v>2.1860999999999999E-18</v>
      </c>
      <c r="O42" s="46">
        <f t="shared" si="15"/>
        <v>20.82</v>
      </c>
      <c r="P42" s="12">
        <f t="shared" si="5"/>
        <v>2.0820000000000002E-18</v>
      </c>
      <c r="Q42" s="12">
        <f t="shared" si="6"/>
        <v>0</v>
      </c>
      <c r="R42" s="12">
        <f t="shared" si="7"/>
        <v>12.866942710586491</v>
      </c>
      <c r="S42" s="12">
        <f t="shared" si="8"/>
        <v>1.0410000000000004</v>
      </c>
      <c r="T42" s="12">
        <f t="shared" si="9"/>
        <v>-3.9765286447067547</v>
      </c>
      <c r="U42" s="15">
        <f t="shared" si="10"/>
        <v>-2.9355286447067543</v>
      </c>
      <c r="V42" s="12">
        <f t="shared" si="11"/>
        <v>67.68552864470675</v>
      </c>
      <c r="W42" s="9">
        <f t="shared" si="12"/>
        <v>1.47742068359867E-2</v>
      </c>
      <c r="X42" s="9">
        <f t="shared" si="13"/>
        <v>0.37128067933497522</v>
      </c>
    </row>
    <row r="43" spans="1:24" hidden="1" x14ac:dyDescent="0.25">
      <c r="A43" t="s">
        <v>74</v>
      </c>
      <c r="B43" s="5" t="s">
        <v>75</v>
      </c>
      <c r="C43" t="s">
        <v>76</v>
      </c>
      <c r="D43" s="8">
        <v>45580</v>
      </c>
      <c r="E43" s="2">
        <v>9.9999999999999998E-20</v>
      </c>
      <c r="F43" s="1">
        <v>17</v>
      </c>
      <c r="G43" s="1">
        <f t="shared" si="0"/>
        <v>1.7E-18</v>
      </c>
      <c r="H43" s="13">
        <v>0.1</v>
      </c>
      <c r="I43" s="11">
        <v>0.15</v>
      </c>
      <c r="J43" s="9">
        <f t="shared" si="1"/>
        <v>0.66666666666666674</v>
      </c>
      <c r="K43" s="9">
        <f t="shared" si="2"/>
        <v>0.17026391245833208</v>
      </c>
      <c r="L43" s="9">
        <f t="shared" si="3"/>
        <v>2.5499999999999999E-19</v>
      </c>
      <c r="M43" s="12">
        <v>21.2</v>
      </c>
      <c r="N43" s="12">
        <f t="shared" si="4"/>
        <v>2.1199999999999999E-18</v>
      </c>
      <c r="O43" s="46">
        <f t="shared" si="15"/>
        <v>17</v>
      </c>
      <c r="P43" s="12">
        <f t="shared" si="5"/>
        <v>1.7E-18</v>
      </c>
      <c r="Q43" s="12">
        <f t="shared" si="6"/>
        <v>0</v>
      </c>
      <c r="R43" s="12">
        <f t="shared" si="7"/>
        <v>16.190476190476193</v>
      </c>
      <c r="S43" s="12">
        <f t="shared" si="8"/>
        <v>4.1999999999999993</v>
      </c>
      <c r="T43" s="12">
        <f t="shared" si="9"/>
        <v>-0.40476190476190332</v>
      </c>
      <c r="U43" s="15">
        <f t="shared" si="10"/>
        <v>3.795238095238096</v>
      </c>
      <c r="V43" s="12">
        <f t="shared" si="11"/>
        <v>60.954761904761902</v>
      </c>
      <c r="W43" s="9">
        <f t="shared" si="12"/>
        <v>1.6405609155892349E-2</v>
      </c>
      <c r="X43" s="9">
        <f t="shared" si="13"/>
        <v>0.33435988256067967</v>
      </c>
    </row>
    <row r="44" spans="1:24" x14ac:dyDescent="0.25">
      <c r="A44" t="s">
        <v>40</v>
      </c>
      <c r="B44" s="7" t="s">
        <v>52</v>
      </c>
      <c r="C44" t="s">
        <v>53</v>
      </c>
      <c r="D44" s="8">
        <v>45511</v>
      </c>
      <c r="E44" s="2">
        <v>9.9999999999999998E-20</v>
      </c>
      <c r="F44" s="1">
        <v>13.04</v>
      </c>
      <c r="G44" s="1">
        <f t="shared" si="0"/>
        <v>1.304E-18</v>
      </c>
      <c r="H44" s="13">
        <v>0.28999999999999998</v>
      </c>
      <c r="I44" s="11">
        <v>0.35510000000000003</v>
      </c>
      <c r="J44" s="9">
        <f t="shared" si="1"/>
        <v>0.81667136018023079</v>
      </c>
      <c r="K44" s="9">
        <f t="shared" si="2"/>
        <v>0.20857449146543067</v>
      </c>
      <c r="L44" s="9">
        <f t="shared" si="3"/>
        <v>4.6305040000000003E-19</v>
      </c>
      <c r="M44" s="12">
        <f>F44/(1-(F44*(1+H44)-F44)/(F44*(1+H44)))</f>
        <v>16.8216</v>
      </c>
      <c r="N44" s="12">
        <f t="shared" si="4"/>
        <v>1.6821599999999999E-18</v>
      </c>
      <c r="O44" s="46">
        <f t="shared" si="15"/>
        <v>13.04</v>
      </c>
      <c r="P44" s="12">
        <f t="shared" si="5"/>
        <v>1.304E-18</v>
      </c>
      <c r="Q44" s="12">
        <f t="shared" si="6"/>
        <v>0</v>
      </c>
      <c r="R44" s="12">
        <f t="shared" si="7"/>
        <v>12.242981879635716</v>
      </c>
      <c r="S44" s="12">
        <f t="shared" si="8"/>
        <v>3.781600000000001</v>
      </c>
      <c r="T44" s="12">
        <f t="shared" si="9"/>
        <v>-0.39850906018214172</v>
      </c>
      <c r="U44" s="15">
        <f t="shared" si="10"/>
        <v>3.3830909398178592</v>
      </c>
      <c r="V44" s="12">
        <f t="shared" si="11"/>
        <v>61.366909060182138</v>
      </c>
      <c r="W44" s="9">
        <f t="shared" si="12"/>
        <v>1.6295427215004529E-2</v>
      </c>
      <c r="X44" s="9">
        <f t="shared" si="13"/>
        <v>0.33662066531460694</v>
      </c>
    </row>
    <row r="45" spans="1:24" x14ac:dyDescent="0.25">
      <c r="A45" t="s">
        <v>40</v>
      </c>
      <c r="B45" s="7" t="s">
        <v>45</v>
      </c>
      <c r="C45" t="s">
        <v>44</v>
      </c>
      <c r="D45" s="8">
        <v>45511</v>
      </c>
      <c r="E45" s="2">
        <v>9.9999999999999998E-20</v>
      </c>
      <c r="F45" s="1">
        <v>11.05</v>
      </c>
      <c r="G45" s="1">
        <f t="shared" si="0"/>
        <v>1.1050000000000001E-18</v>
      </c>
      <c r="H45" s="13">
        <v>0.05</v>
      </c>
      <c r="I45" s="11">
        <v>0.72170000000000001</v>
      </c>
      <c r="J45" s="9">
        <f t="shared" si="1"/>
        <v>6.9280864625190522E-2</v>
      </c>
      <c r="K45" s="9">
        <f t="shared" si="2"/>
        <v>1.7694046604371488E-2</v>
      </c>
      <c r="L45" s="9">
        <f t="shared" si="3"/>
        <v>7.9747850000000009E-19</v>
      </c>
      <c r="M45" s="12">
        <f>F45/(1-(F45*(1+H45)-F45)/(F45*(1+H45)))</f>
        <v>11.602500000000001</v>
      </c>
      <c r="N45" s="12">
        <f t="shared" si="4"/>
        <v>1.16025E-18</v>
      </c>
      <c r="O45" s="46">
        <f t="shared" si="15"/>
        <v>11.05</v>
      </c>
      <c r="P45" s="12">
        <f t="shared" si="5"/>
        <v>1.1050000000000001E-18</v>
      </c>
      <c r="Q45" s="12">
        <f t="shared" si="6"/>
        <v>0</v>
      </c>
      <c r="R45" s="12">
        <f t="shared" si="7"/>
        <v>6.6100376861877139</v>
      </c>
      <c r="S45" s="12">
        <f t="shared" si="8"/>
        <v>0.55250000000000021</v>
      </c>
      <c r="T45" s="12">
        <f t="shared" si="9"/>
        <v>-2.2199811569061434</v>
      </c>
      <c r="U45" s="15">
        <f t="shared" si="10"/>
        <v>-1.6674811569061432</v>
      </c>
      <c r="V45" s="12">
        <f t="shared" si="11"/>
        <v>66.417481156906149</v>
      </c>
      <c r="W45" s="9">
        <f t="shared" si="12"/>
        <v>1.5056277091231109E-2</v>
      </c>
      <c r="X45" s="9">
        <f t="shared" si="13"/>
        <v>0.36432496011217158</v>
      </c>
    </row>
    <row r="46" spans="1:24" x14ac:dyDescent="0.25">
      <c r="A46" t="s">
        <v>40</v>
      </c>
      <c r="B46" s="7" t="s">
        <v>51</v>
      </c>
      <c r="C46" s="14" t="s">
        <v>50</v>
      </c>
      <c r="D46" s="8">
        <v>45511</v>
      </c>
      <c r="E46" s="2">
        <v>9.9999999999999998E-20</v>
      </c>
      <c r="F46" s="1">
        <v>10.92</v>
      </c>
      <c r="G46" s="1">
        <f t="shared" si="0"/>
        <v>1.092E-18</v>
      </c>
      <c r="H46" s="13">
        <v>0</v>
      </c>
      <c r="I46" s="13">
        <v>1.8652</v>
      </c>
      <c r="J46" s="9">
        <f t="shared" si="1"/>
        <v>0</v>
      </c>
      <c r="K46" s="9">
        <f t="shared" si="2"/>
        <v>0</v>
      </c>
      <c r="L46" s="9">
        <f t="shared" si="3"/>
        <v>2.0367984000000001E-18</v>
      </c>
      <c r="M46" s="12">
        <f>F46/(1-(F46*(1+H46)-F46)/(F46*(1+H46)))</f>
        <v>10.92</v>
      </c>
      <c r="N46" s="12">
        <f t="shared" si="4"/>
        <v>1.092E-18</v>
      </c>
      <c r="O46" s="46">
        <f t="shared" si="15"/>
        <v>10.92</v>
      </c>
      <c r="P46" s="12">
        <f t="shared" si="5"/>
        <v>1.092E-18</v>
      </c>
      <c r="Q46" s="12">
        <f t="shared" si="6"/>
        <v>0</v>
      </c>
      <c r="R46" s="12">
        <f t="shared" si="7"/>
        <v>3.8112522686025412</v>
      </c>
      <c r="S46" s="12">
        <f t="shared" si="8"/>
        <v>0</v>
      </c>
      <c r="T46" s="12">
        <f t="shared" si="9"/>
        <v>-3.5543738656987296</v>
      </c>
      <c r="U46" s="15">
        <f t="shared" si="10"/>
        <v>-3.5543738656987296</v>
      </c>
      <c r="V46" s="12">
        <f t="shared" si="11"/>
        <v>68.304373865698736</v>
      </c>
      <c r="W46" s="9">
        <f t="shared" si="12"/>
        <v>1.4640350879523728E-2</v>
      </c>
      <c r="X46" s="9">
        <f t="shared" si="13"/>
        <v>0.37467527901756303</v>
      </c>
    </row>
    <row r="49" spans="4:4" x14ac:dyDescent="0.25">
      <c r="D49" s="44"/>
    </row>
  </sheetData>
  <autoFilter ref="A1:X46" xr:uid="{00000000-0001-0000-0000-000000000000}">
    <filterColumn colId="0">
      <filters>
        <filter val="Energy"/>
      </filters>
    </filterColumn>
    <sortState xmlns:xlrd2="http://schemas.microsoft.com/office/spreadsheetml/2017/richdata2" ref="A2:X46">
      <sortCondition descending="1" ref="G1:G45"/>
    </sortState>
  </autoFilter>
  <conditionalFormatting sqref="W2:W44">
    <cfRule type="iconSet" priority="19">
      <iconSet iconSet="3Symbols">
        <cfvo type="percent" val="0"/>
        <cfvo type="percent" val="33"/>
        <cfvo type="percent" val="67"/>
      </iconSet>
    </cfRule>
  </conditionalFormatting>
  <conditionalFormatting sqref="W46">
    <cfRule type="iconSet" priority="1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1" id="{2048185B-3E19-4351-A3A9-6DB74B32B9C2}">
            <x14:iconSet iconSet="5Arrows" custom="1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  <x14:cfIcon iconSet="3Arrows" iconId="2"/>
              <x14:cfIcon iconSet="4Arrows" iconId="2"/>
              <x14:cfIcon iconSet="3Arrows" iconId="1"/>
              <x14:cfIcon iconSet="4Arrows" iconId="1"/>
              <x14:cfIcon iconSet="3Arrows" iconId="0"/>
            </x14:iconSet>
          </x14:cfRule>
          <xm:sqref>X2:X44</xm:sqref>
        </x14:conditionalFormatting>
        <x14:conditionalFormatting xmlns:xm="http://schemas.microsoft.com/office/excel/2006/main">
          <x14:cfRule type="iconSet" priority="2" id="{412D5546-B893-48A5-8CC5-7082D8A5B855}">
            <x14:iconSet iconSet="5Arrows" custom="1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  <x14:cfIcon iconSet="3Arrows" iconId="2"/>
              <x14:cfIcon iconSet="4Arrows" iconId="2"/>
              <x14:cfIcon iconSet="3Arrows" iconId="1"/>
              <x14:cfIcon iconSet="4Arrows" iconId="1"/>
              <x14:cfIcon iconSet="3Arrows" iconId="0"/>
            </x14:iconSet>
          </x14:cfRule>
          <xm:sqref>X46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F4B0C-3879-4A30-880B-B04980CC1636}">
  <dimension ref="A1:DJ31"/>
  <sheetViews>
    <sheetView zoomScale="115" zoomScaleNormal="115" workbookViewId="0">
      <selection activeCell="D8" sqref="D8"/>
    </sheetView>
  </sheetViews>
  <sheetFormatPr defaultRowHeight="15" outlineLevelCol="2" x14ac:dyDescent="0.25"/>
  <cols>
    <col min="1" max="1" width="18.5703125" bestFit="1" customWidth="1"/>
    <col min="2" max="2" width="15.140625" bestFit="1" customWidth="1"/>
    <col min="3" max="3" width="6" bestFit="1" customWidth="1"/>
    <col min="4" max="4" width="9.140625" customWidth="1"/>
    <col min="5" max="5" width="9.140625" bestFit="1" customWidth="1"/>
    <col min="6" max="6" width="9.7109375" bestFit="1" customWidth="1"/>
    <col min="7" max="7" width="9.140625" bestFit="1" customWidth="1"/>
    <col min="8" max="8" width="10.28515625" bestFit="1" customWidth="1"/>
    <col min="9" max="10" width="11" customWidth="1"/>
    <col min="11" max="11" width="14.28515625" customWidth="1" outlineLevel="1"/>
    <col min="12" max="12" width="15.140625" customWidth="1" outlineLevel="1"/>
    <col min="13" max="13" width="5.5703125" customWidth="1" outlineLevel="1"/>
    <col min="14" max="14" width="10.140625" hidden="1" customWidth="1" outlineLevel="2"/>
    <col min="15" max="15" width="12" hidden="1" customWidth="1" outlineLevel="2"/>
    <col min="16" max="16" width="15.5703125" hidden="1" customWidth="1" outlineLevel="2"/>
    <col min="17" max="17" width="6" customWidth="1" outlineLevel="1" collapsed="1"/>
    <col min="18" max="18" width="15.140625" customWidth="1" outlineLevel="1"/>
    <col min="19" max="19" width="5.5703125" customWidth="1" outlineLevel="1"/>
    <col min="20" max="20" width="9.140625" customWidth="1" outlineLevel="1"/>
    <col min="21" max="21" width="14.28515625" customWidth="1" outlineLevel="1"/>
    <col min="22" max="22" width="15.140625" customWidth="1" outlineLevel="1"/>
    <col min="23" max="23" width="5.5703125" customWidth="1" outlineLevel="1"/>
    <col min="24" max="24" width="15.140625" hidden="1" customWidth="1" outlineLevel="2"/>
    <col min="25" max="25" width="10.5703125" hidden="1" customWidth="1" outlineLevel="2"/>
    <col min="26" max="26" width="15" hidden="1" customWidth="1" outlineLevel="2"/>
    <col min="27" max="27" width="9.140625" customWidth="1" outlineLevel="1" collapsed="1"/>
    <col min="28" max="28" width="14.28515625" customWidth="1" outlineLevel="1"/>
    <col min="29" max="29" width="15.140625" customWidth="1" outlineLevel="1"/>
    <col min="30" max="30" width="5.5703125" customWidth="1" outlineLevel="1"/>
    <col min="31" max="31" width="15.140625" hidden="1" customWidth="1" outlineLevel="2"/>
    <col min="32" max="32" width="10.5703125" hidden="1" customWidth="1" outlineLevel="2"/>
    <col min="33" max="33" width="15.5703125" hidden="1" customWidth="1" outlineLevel="2"/>
    <col min="34" max="34" width="9.140625" customWidth="1" outlineLevel="1" collapsed="1"/>
    <col min="35" max="35" width="14.28515625" customWidth="1" outlineLevel="1"/>
    <col min="36" max="36" width="15.140625" customWidth="1" outlineLevel="1"/>
    <col min="37" max="37" width="5.5703125" customWidth="1" outlineLevel="1"/>
    <col min="38" max="38" width="15.140625" hidden="1" customWidth="1" outlineLevel="2"/>
    <col min="39" max="39" width="10.5703125" hidden="1" customWidth="1" outlineLevel="2"/>
    <col min="40" max="40" width="15.5703125" hidden="1" customWidth="1" outlineLevel="2"/>
    <col min="41" max="41" width="9.140625" customWidth="1" outlineLevel="1" collapsed="1"/>
    <col min="42" max="42" width="14.28515625" customWidth="1" outlineLevel="1"/>
    <col min="43" max="43" width="10.5703125" customWidth="1" outlineLevel="1"/>
    <col min="44" max="44" width="9.140625" customWidth="1" outlineLevel="1"/>
    <col min="45" max="48" width="9.140625" customWidth="1" outlineLevel="2"/>
    <col min="49" max="49" width="9.140625" customWidth="1" outlineLevel="1"/>
    <col min="50" max="50" width="14.28515625" customWidth="1" outlineLevel="1"/>
    <col min="51" max="51" width="15.140625" customWidth="1" outlineLevel="1"/>
    <col min="52" max="52" width="6" bestFit="1" customWidth="1" outlineLevel="1"/>
    <col min="53" max="54" width="9.140625" bestFit="1" customWidth="1" outlineLevel="2"/>
    <col min="55" max="55" width="9.7109375" bestFit="1" customWidth="1" outlineLevel="2"/>
    <col min="56" max="56" width="9.140625" bestFit="1" customWidth="1" outlineLevel="2"/>
    <col min="57" max="57" width="8.5703125" bestFit="1" customWidth="1" outlineLevel="2"/>
    <col min="58" max="58" width="8.5703125" bestFit="1" customWidth="1" outlineLevel="1"/>
    <col min="59" max="59" width="7.28515625" bestFit="1" customWidth="1" outlineLevel="1"/>
    <col min="60" max="60" width="9.140625" customWidth="1" outlineLevel="1" collapsed="1"/>
    <col min="61" max="61" width="14.28515625" bestFit="1" customWidth="1" outlineLevel="1"/>
    <col min="62" max="62" width="15.140625" customWidth="1" outlineLevel="1"/>
    <col min="63" max="63" width="6" bestFit="1" customWidth="1" outlineLevel="1"/>
    <col min="64" max="64" width="9.140625" customWidth="1" outlineLevel="1"/>
    <col min="65" max="65" width="9.140625" bestFit="1" customWidth="1" outlineLevel="1"/>
    <col min="66" max="66" width="9.7109375" customWidth="1" outlineLevel="1"/>
    <col min="67" max="67" width="9.140625" bestFit="1" customWidth="1" outlineLevel="1"/>
    <col min="68" max="69" width="9.140625" customWidth="1"/>
    <col min="70" max="70" width="11" bestFit="1" customWidth="1"/>
    <col min="71" max="71" width="7.28515625" bestFit="1" customWidth="1"/>
    <col min="72" max="72" width="14.28515625" bestFit="1" customWidth="1"/>
    <col min="73" max="73" width="15.140625" bestFit="1" customWidth="1"/>
    <col min="74" max="74" width="6" bestFit="1" customWidth="1"/>
    <col min="77" max="77" width="9.7109375" bestFit="1" customWidth="1"/>
    <col min="80" max="80" width="8.140625" bestFit="1" customWidth="1"/>
    <col min="81" max="81" width="11" bestFit="1" customWidth="1"/>
    <col min="82" max="82" width="9.28515625" bestFit="1" customWidth="1"/>
    <col min="83" max="83" width="14.28515625" bestFit="1" customWidth="1"/>
    <col min="84" max="84" width="15.140625" bestFit="1" customWidth="1"/>
    <col min="85" max="85" width="6" bestFit="1" customWidth="1"/>
    <col min="88" max="88" width="9.7109375" bestFit="1" customWidth="1"/>
    <col min="92" max="92" width="10.140625" bestFit="1" customWidth="1"/>
    <col min="94" max="94" width="14.28515625" bestFit="1" customWidth="1"/>
    <col min="95" max="95" width="15.140625" bestFit="1" customWidth="1"/>
    <col min="96" max="96" width="6" bestFit="1" customWidth="1"/>
    <col min="99" max="99" width="9.7109375" bestFit="1" customWidth="1"/>
    <col min="102" max="102" width="8.5703125" bestFit="1" customWidth="1"/>
    <col min="103" max="103" width="7.7109375" customWidth="1"/>
    <col min="104" max="104" width="9.85546875" bestFit="1" customWidth="1"/>
    <col min="105" max="105" width="14.28515625" bestFit="1" customWidth="1"/>
    <col min="106" max="106" width="15.140625" customWidth="1"/>
    <col min="107" max="107" width="6" bestFit="1" customWidth="1"/>
    <col min="110" max="110" width="9.7109375" hidden="1" customWidth="1"/>
  </cols>
  <sheetData>
    <row r="1" spans="1:114" x14ac:dyDescent="0.25">
      <c r="A1" s="20" t="s">
        <v>157</v>
      </c>
      <c r="B1" t="s">
        <v>158</v>
      </c>
      <c r="L1" s="69" t="s">
        <v>114</v>
      </c>
      <c r="M1" s="69"/>
      <c r="N1" s="69"/>
      <c r="O1" s="69"/>
      <c r="P1" s="69"/>
      <c r="Q1" s="26"/>
      <c r="R1" s="69" t="s">
        <v>109</v>
      </c>
      <c r="S1" s="69"/>
      <c r="V1" s="69" t="s">
        <v>108</v>
      </c>
      <c r="W1" s="69"/>
      <c r="X1" s="69"/>
      <c r="Y1" s="69"/>
      <c r="Z1" s="69"/>
      <c r="AC1" s="69" t="s">
        <v>108</v>
      </c>
      <c r="AD1" s="69"/>
      <c r="AE1" s="69"/>
      <c r="AF1" s="69"/>
      <c r="AG1" s="69"/>
      <c r="AJ1" s="69" t="s">
        <v>131</v>
      </c>
      <c r="AK1" s="69"/>
      <c r="AL1" s="69"/>
      <c r="AM1" s="69"/>
      <c r="AN1" s="69"/>
      <c r="AQ1" s="69" t="s">
        <v>139</v>
      </c>
      <c r="AR1" s="69"/>
      <c r="AS1" s="69"/>
      <c r="AT1" s="69"/>
      <c r="AU1" s="69"/>
      <c r="AV1" s="69"/>
      <c r="AY1" s="69" t="s">
        <v>142</v>
      </c>
      <c r="AZ1" s="69"/>
      <c r="BA1" s="69"/>
      <c r="BB1" s="69"/>
      <c r="BC1" s="69"/>
      <c r="BD1" s="69"/>
      <c r="BE1" s="69"/>
      <c r="BF1" s="69"/>
      <c r="BG1" t="s">
        <v>159</v>
      </c>
      <c r="BH1" t="s">
        <v>160</v>
      </c>
      <c r="BJ1" s="69" t="s">
        <v>144</v>
      </c>
      <c r="BK1" s="69"/>
      <c r="BL1" s="69"/>
      <c r="BM1" s="69"/>
      <c r="BN1" s="69"/>
      <c r="BO1" s="69"/>
      <c r="BP1" s="69"/>
      <c r="BQ1" s="69"/>
      <c r="BR1" s="10" t="s">
        <v>161</v>
      </c>
      <c r="BS1" s="10" t="s">
        <v>162</v>
      </c>
      <c r="BU1" s="69" t="s">
        <v>144</v>
      </c>
      <c r="BV1" s="69"/>
      <c r="BW1" s="69"/>
      <c r="BX1" s="69"/>
      <c r="BY1" s="69"/>
      <c r="BZ1" s="69"/>
      <c r="CA1" s="69"/>
      <c r="CB1" s="69"/>
      <c r="CC1" s="10" t="s">
        <v>161</v>
      </c>
      <c r="CD1" s="10" t="s">
        <v>162</v>
      </c>
      <c r="CF1" s="69" t="s">
        <v>164</v>
      </c>
      <c r="CG1" s="69"/>
      <c r="CH1" s="69"/>
      <c r="CI1" s="69"/>
      <c r="CJ1" s="69"/>
      <c r="CK1" s="69"/>
      <c r="CL1" s="69"/>
      <c r="CM1" s="69"/>
      <c r="CN1" s="10" t="s">
        <v>161</v>
      </c>
      <c r="CO1" s="10" t="s">
        <v>162</v>
      </c>
      <c r="CQ1" s="69" t="s">
        <v>163</v>
      </c>
      <c r="CR1" s="69"/>
      <c r="CS1" s="69"/>
      <c r="CT1" s="69"/>
      <c r="CU1" s="69"/>
      <c r="CV1" s="69"/>
      <c r="CW1" s="69"/>
      <c r="CX1" s="69"/>
      <c r="CY1" s="10" t="s">
        <v>161</v>
      </c>
      <c r="CZ1" s="10" t="s">
        <v>162</v>
      </c>
      <c r="DB1" s="69" t="s">
        <v>168</v>
      </c>
      <c r="DC1" s="69"/>
      <c r="DD1" s="69"/>
      <c r="DE1" s="69"/>
      <c r="DF1" s="69"/>
      <c r="DG1" s="69"/>
      <c r="DH1" s="69"/>
      <c r="DI1" s="69"/>
    </row>
    <row r="2" spans="1:114" x14ac:dyDescent="0.25">
      <c r="L2" s="70">
        <v>46000</v>
      </c>
      <c r="M2" s="70"/>
      <c r="N2" s="70"/>
      <c r="O2" s="70"/>
      <c r="P2" s="70"/>
      <c r="Q2" s="27"/>
      <c r="R2" s="70">
        <v>45684</v>
      </c>
      <c r="S2" s="69"/>
      <c r="V2" s="70">
        <v>45685</v>
      </c>
      <c r="W2" s="70"/>
      <c r="X2" s="70"/>
      <c r="Y2" s="70"/>
      <c r="Z2" s="70"/>
      <c r="AC2" s="70">
        <v>45688</v>
      </c>
      <c r="AD2" s="70"/>
      <c r="AE2" s="70"/>
      <c r="AF2" s="70"/>
      <c r="AG2" s="70"/>
      <c r="AJ2" s="70">
        <v>45695</v>
      </c>
      <c r="AK2" s="70"/>
      <c r="AL2" s="70"/>
      <c r="AM2" s="70"/>
      <c r="AN2" s="70"/>
      <c r="AQ2" s="70">
        <v>45702</v>
      </c>
      <c r="AR2" s="70"/>
      <c r="AS2" s="70"/>
      <c r="AT2" s="70"/>
      <c r="AU2" s="70"/>
      <c r="AV2" s="70"/>
      <c r="AY2" s="70">
        <v>45711</v>
      </c>
      <c r="AZ2" s="70"/>
      <c r="BA2" s="70"/>
      <c r="BB2" s="70"/>
      <c r="BC2" s="70"/>
      <c r="BD2" s="70"/>
      <c r="BE2" s="70"/>
      <c r="BF2" s="70"/>
      <c r="BG2" s="56">
        <f>((AY14+BF14)/AY14)^(1/((AY2-AQ2)/7))-1</f>
        <v>7.8250579652632268E-3</v>
      </c>
      <c r="BH2" s="9">
        <f>(1+BG2)^(36)-1</f>
        <v>0.32393138919216002</v>
      </c>
      <c r="BJ2" s="70">
        <v>45716</v>
      </c>
      <c r="BK2" s="70"/>
      <c r="BL2" s="70"/>
      <c r="BM2" s="70"/>
      <c r="BN2" s="70"/>
      <c r="BO2" s="70"/>
      <c r="BP2" s="70"/>
      <c r="BQ2" s="70"/>
      <c r="BR2" s="56">
        <f>((BJ14+BQ14)/BJ14)^(1/((BJ2-AY2)/7))-1</f>
        <v>-3.6296067687099143E-2</v>
      </c>
      <c r="BS2" s="9">
        <f>(1+BR2)^(36)-1</f>
        <v>-0.73577693917594722</v>
      </c>
      <c r="BU2" s="70">
        <v>45723</v>
      </c>
      <c r="BV2" s="70"/>
      <c r="BW2" s="70"/>
      <c r="BX2" s="70"/>
      <c r="BY2" s="70"/>
      <c r="BZ2" s="70"/>
      <c r="CA2" s="70"/>
      <c r="CB2" s="70"/>
      <c r="CC2" s="56">
        <f>((BU14+CB14)/BU14)^(1/((BU2-BJ2)/7))-1</f>
        <v>1.7693849525515226E-3</v>
      </c>
      <c r="CD2" s="9">
        <f>(1+CC2)^(36)-1</f>
        <v>6.5710349506775456E-2</v>
      </c>
      <c r="CF2" s="70">
        <v>45730</v>
      </c>
      <c r="CG2" s="70"/>
      <c r="CH2" s="70"/>
      <c r="CI2" s="70"/>
      <c r="CJ2" s="70"/>
      <c r="CK2" s="70"/>
      <c r="CL2" s="70"/>
      <c r="CM2" s="70"/>
      <c r="CN2" s="56">
        <f>((CF14+CM14)/CF14)^(1/((CF2-BU2)/7))-1</f>
        <v>-2.4417601324878913E-2</v>
      </c>
      <c r="CO2" s="9">
        <f>(1+CN2)^(36)-1</f>
        <v>-0.58932106766148507</v>
      </c>
      <c r="CQ2" s="70">
        <v>45736</v>
      </c>
      <c r="CR2" s="70"/>
      <c r="CS2" s="70"/>
      <c r="CT2" s="70"/>
      <c r="CU2" s="70"/>
      <c r="CV2" s="70"/>
      <c r="CW2" s="70"/>
      <c r="CX2" s="70"/>
      <c r="CY2" s="57">
        <f>((CQ14+CX14)/CQ14)^(1/((CQ2-CF2)/7))-1</f>
        <v>1.6751468666117653E-2</v>
      </c>
      <c r="CZ2" s="57">
        <f>(1+CY2)^(36)-1</f>
        <v>0.81858289724574784</v>
      </c>
      <c r="DB2" s="70">
        <v>45751</v>
      </c>
      <c r="DC2" s="70"/>
      <c r="DD2" s="70"/>
      <c r="DE2" s="70"/>
      <c r="DF2" s="70"/>
      <c r="DG2" s="70"/>
      <c r="DH2" s="70"/>
      <c r="DI2" s="70"/>
    </row>
    <row r="3" spans="1:114" ht="32.25" customHeight="1" x14ac:dyDescent="0.25">
      <c r="A3" s="20" t="s">
        <v>104</v>
      </c>
      <c r="B3" s="10" t="s">
        <v>106</v>
      </c>
      <c r="C3" s="10" t="s">
        <v>107</v>
      </c>
      <c r="D3" s="16" t="s">
        <v>141</v>
      </c>
      <c r="E3" s="16" t="s">
        <v>111</v>
      </c>
      <c r="F3" s="16" t="s">
        <v>112</v>
      </c>
      <c r="G3" s="16" t="s">
        <v>137</v>
      </c>
      <c r="H3" s="16" t="s">
        <v>138</v>
      </c>
      <c r="K3" s="28" t="s">
        <v>104</v>
      </c>
      <c r="L3" s="23" t="s">
        <v>106</v>
      </c>
      <c r="M3" s="23" t="s">
        <v>107</v>
      </c>
      <c r="N3" s="28" t="s">
        <v>111</v>
      </c>
      <c r="O3" s="28" t="s">
        <v>112</v>
      </c>
      <c r="P3" s="28" t="s">
        <v>113</v>
      </c>
      <c r="R3" s="23" t="s">
        <v>106</v>
      </c>
      <c r="S3" s="23" t="s">
        <v>107</v>
      </c>
      <c r="U3" s="28" t="s">
        <v>104</v>
      </c>
      <c r="V3" s="23" t="s">
        <v>106</v>
      </c>
      <c r="W3" s="23" t="s">
        <v>107</v>
      </c>
      <c r="X3" s="28" t="s">
        <v>111</v>
      </c>
      <c r="Y3" s="28" t="s">
        <v>112</v>
      </c>
      <c r="Z3" s="28" t="s">
        <v>113</v>
      </c>
      <c r="AB3" s="28" t="s">
        <v>104</v>
      </c>
      <c r="AC3" s="23" t="s">
        <v>106</v>
      </c>
      <c r="AD3" s="23" t="s">
        <v>107</v>
      </c>
      <c r="AE3" s="28" t="s">
        <v>111</v>
      </c>
      <c r="AF3" s="28" t="s">
        <v>112</v>
      </c>
      <c r="AG3" s="28" t="s">
        <v>113</v>
      </c>
      <c r="AI3" s="28" t="s">
        <v>104</v>
      </c>
      <c r="AJ3" s="23" t="s">
        <v>106</v>
      </c>
      <c r="AK3" s="23" t="s">
        <v>107</v>
      </c>
      <c r="AL3" s="28" t="s">
        <v>111</v>
      </c>
      <c r="AM3" s="28" t="s">
        <v>112</v>
      </c>
      <c r="AN3" s="28" t="s">
        <v>113</v>
      </c>
      <c r="AP3" s="28" t="s">
        <v>104</v>
      </c>
      <c r="AQ3" s="45" t="s">
        <v>106</v>
      </c>
      <c r="AR3" s="45" t="s">
        <v>107</v>
      </c>
      <c r="AS3" s="45" t="s">
        <v>111</v>
      </c>
      <c r="AT3" s="45" t="s">
        <v>112</v>
      </c>
      <c r="AU3" s="45" t="s">
        <v>137</v>
      </c>
      <c r="AV3" s="45" t="s">
        <v>138</v>
      </c>
      <c r="AX3" s="28" t="s">
        <v>104</v>
      </c>
      <c r="AY3" s="23" t="s">
        <v>106</v>
      </c>
      <c r="AZ3" s="23" t="s">
        <v>107</v>
      </c>
      <c r="BA3" s="45" t="s">
        <v>141</v>
      </c>
      <c r="BB3" s="45" t="s">
        <v>111</v>
      </c>
      <c r="BC3" s="45" t="s">
        <v>112</v>
      </c>
      <c r="BD3" s="45" t="s">
        <v>137</v>
      </c>
      <c r="BE3" s="45" t="s">
        <v>138</v>
      </c>
      <c r="BF3" s="47" t="s">
        <v>143</v>
      </c>
      <c r="BG3" s="47" t="s">
        <v>153</v>
      </c>
      <c r="BI3" s="28" t="s">
        <v>104</v>
      </c>
      <c r="BJ3" s="23" t="s">
        <v>106</v>
      </c>
      <c r="BK3" s="23" t="s">
        <v>107</v>
      </c>
      <c r="BL3" s="45" t="s">
        <v>141</v>
      </c>
      <c r="BM3" s="45" t="s">
        <v>111</v>
      </c>
      <c r="BN3" s="45" t="s">
        <v>112</v>
      </c>
      <c r="BO3" s="45" t="s">
        <v>137</v>
      </c>
      <c r="BP3" s="45" t="s">
        <v>138</v>
      </c>
      <c r="BQ3" s="47" t="s">
        <v>143</v>
      </c>
      <c r="BR3" s="47" t="s">
        <v>154</v>
      </c>
      <c r="BT3" s="28" t="s">
        <v>104</v>
      </c>
      <c r="BU3" s="23" t="s">
        <v>106</v>
      </c>
      <c r="BV3" s="23" t="s">
        <v>107</v>
      </c>
      <c r="BW3" s="45" t="s">
        <v>141</v>
      </c>
      <c r="BX3" s="45" t="s">
        <v>111</v>
      </c>
      <c r="BY3" s="45" t="s">
        <v>112</v>
      </c>
      <c r="BZ3" s="45" t="s">
        <v>137</v>
      </c>
      <c r="CA3" s="45" t="s">
        <v>138</v>
      </c>
      <c r="CB3" s="47" t="s">
        <v>143</v>
      </c>
      <c r="CC3" s="47" t="s">
        <v>154</v>
      </c>
      <c r="CE3" s="28" t="s">
        <v>104</v>
      </c>
      <c r="CF3" s="23" t="s">
        <v>106</v>
      </c>
      <c r="CG3" s="23" t="s">
        <v>107</v>
      </c>
      <c r="CH3" s="45" t="s">
        <v>141</v>
      </c>
      <c r="CI3" s="45" t="s">
        <v>111</v>
      </c>
      <c r="CJ3" s="45" t="s">
        <v>112</v>
      </c>
      <c r="CK3" s="45" t="s">
        <v>137</v>
      </c>
      <c r="CL3" s="45" t="s">
        <v>138</v>
      </c>
      <c r="CM3" s="47" t="s">
        <v>143</v>
      </c>
      <c r="CN3" s="47" t="s">
        <v>154</v>
      </c>
      <c r="CP3" s="28" t="s">
        <v>104</v>
      </c>
      <c r="CQ3" s="23" t="s">
        <v>106</v>
      </c>
      <c r="CR3" s="23" t="s">
        <v>107</v>
      </c>
      <c r="CS3" s="45" t="s">
        <v>141</v>
      </c>
      <c r="CT3" s="45" t="s">
        <v>111</v>
      </c>
      <c r="CU3" s="45" t="s">
        <v>112</v>
      </c>
      <c r="CV3" s="45" t="s">
        <v>137</v>
      </c>
      <c r="CW3" s="45" t="s">
        <v>138</v>
      </c>
      <c r="CX3" s="47" t="s">
        <v>143</v>
      </c>
      <c r="CY3" s="47" t="s">
        <v>165</v>
      </c>
      <c r="DA3" s="58" t="s">
        <v>104</v>
      </c>
      <c r="DB3" s="59" t="s">
        <v>106</v>
      </c>
      <c r="DC3" s="59" t="s">
        <v>107</v>
      </c>
      <c r="DD3" s="60" t="s">
        <v>141</v>
      </c>
      <c r="DE3" s="60" t="s">
        <v>111</v>
      </c>
      <c r="DF3" s="60" t="s">
        <v>112</v>
      </c>
      <c r="DG3" s="60" t="s">
        <v>137</v>
      </c>
      <c r="DH3" s="60" t="s">
        <v>138</v>
      </c>
      <c r="DI3" s="47" t="s">
        <v>143</v>
      </c>
      <c r="DJ3" s="47" t="s">
        <v>165</v>
      </c>
    </row>
    <row r="4" spans="1:114" x14ac:dyDescent="0.25">
      <c r="A4" s="21" t="s">
        <v>115</v>
      </c>
      <c r="B4" s="12">
        <v>405.18200000000002</v>
      </c>
      <c r="C4" s="22">
        <v>0.26577877359715768</v>
      </c>
      <c r="D4" s="29">
        <v>0.17020346412229564</v>
      </c>
      <c r="E4" s="29">
        <v>6.2412372711522224E-2</v>
      </c>
      <c r="F4" s="12">
        <v>25.288369999999986</v>
      </c>
      <c r="G4" s="29">
        <v>-7.4144458539619304E-2</v>
      </c>
      <c r="H4" s="12">
        <v>-30.04200000000003</v>
      </c>
      <c r="I4" s="12"/>
      <c r="J4" s="12"/>
      <c r="K4" s="21" t="s">
        <v>36</v>
      </c>
      <c r="L4" s="12">
        <v>238.614968</v>
      </c>
      <c r="M4" s="22">
        <v>0.38101621514787376</v>
      </c>
      <c r="N4" s="29">
        <v>0.15967772461784535</v>
      </c>
      <c r="O4" s="12">
        <v>38.101495149999977</v>
      </c>
      <c r="P4" s="12">
        <v>1.7999999999999998</v>
      </c>
      <c r="R4" s="12">
        <v>233.65908899999999</v>
      </c>
      <c r="S4" s="22">
        <v>0.30679033555941537</v>
      </c>
      <c r="U4" s="21" t="s">
        <v>38</v>
      </c>
      <c r="V4" s="12">
        <v>210.14336800000001</v>
      </c>
      <c r="W4" s="22">
        <v>0.29827679581416749</v>
      </c>
      <c r="X4" s="29">
        <v>0.11801519297244734</v>
      </c>
      <c r="Y4" s="12">
        <v>24.8001101264</v>
      </c>
      <c r="Z4" s="12"/>
      <c r="AB4" s="40" t="s">
        <v>115</v>
      </c>
      <c r="AC4" s="41">
        <v>218.85600000000002</v>
      </c>
      <c r="AD4" s="42">
        <v>0.23199208873650332</v>
      </c>
      <c r="AE4" s="43">
        <v>3.586522645026835E-2</v>
      </c>
      <c r="AF4" s="41">
        <v>7.849319999999949</v>
      </c>
      <c r="AG4" s="12"/>
      <c r="AI4" s="40" t="s">
        <v>38</v>
      </c>
      <c r="AJ4" s="41">
        <v>262.48183799999998</v>
      </c>
      <c r="AK4" s="42">
        <v>0.2578025874699007</v>
      </c>
      <c r="AL4" s="43">
        <v>0.11840756019698384</v>
      </c>
      <c r="AM4" s="41">
        <v>31.07983403359998</v>
      </c>
      <c r="AN4" s="12"/>
      <c r="AP4" s="40" t="s">
        <v>38</v>
      </c>
      <c r="AQ4" s="41">
        <v>262.48183799999998</v>
      </c>
      <c r="AR4" s="42">
        <v>0.25445195244463964</v>
      </c>
      <c r="AS4" s="43">
        <v>0.11840756019698384</v>
      </c>
      <c r="AT4" s="41">
        <v>31.07983403359998</v>
      </c>
      <c r="AU4" s="43">
        <v>-2.8863414161249615E-2</v>
      </c>
      <c r="AV4" s="41">
        <v>-7.576121999999998</v>
      </c>
      <c r="AX4" s="40" t="s">
        <v>38</v>
      </c>
      <c r="AY4" s="41">
        <v>283.12183800000003</v>
      </c>
      <c r="AZ4" s="42">
        <v>0.2587041174008915</v>
      </c>
      <c r="BA4" s="43">
        <v>0.18558395637569999</v>
      </c>
      <c r="BB4" s="43">
        <v>0.12435576952421434</v>
      </c>
      <c r="BC4" s="41">
        <v>35.207834033599966</v>
      </c>
      <c r="BD4" s="43">
        <v>1.4576339392088756E-2</v>
      </c>
      <c r="BE4" s="41">
        <v>4.1268799999999715</v>
      </c>
      <c r="BF4" s="41">
        <f>BE4-VLOOKUP(AX4,AP:AV,7,0)</f>
        <v>11.703001999999969</v>
      </c>
      <c r="BG4" s="54">
        <f>BD4-VLOOKUP(AX4,AP:AU,6,0)</f>
        <v>4.3439753553338373E-2</v>
      </c>
      <c r="BI4" s="40" t="s">
        <v>38</v>
      </c>
      <c r="BJ4" s="41">
        <v>283.12183800000003</v>
      </c>
      <c r="BK4" s="42">
        <v>0.23616253887321553</v>
      </c>
      <c r="BL4" s="43">
        <v>0.18558395637569997</v>
      </c>
      <c r="BM4" s="43">
        <v>0.12435576952421434</v>
      </c>
      <c r="BN4" s="41">
        <v>35.207834033599966</v>
      </c>
      <c r="BO4" s="43">
        <v>2.5706091947594521E-2</v>
      </c>
      <c r="BP4" s="41">
        <v>7.2779559999999606</v>
      </c>
      <c r="BQ4" s="41">
        <f>BP4-VLOOKUP(BI4,AX:BF,8,0)</f>
        <v>3.1510759999999891</v>
      </c>
      <c r="BR4" s="54">
        <f>BO4-VLOOKUP(BI4,AX:BF,7,0)</f>
        <v>1.1129752555505764E-2</v>
      </c>
      <c r="BT4" s="40" t="s">
        <v>38</v>
      </c>
      <c r="BU4" s="41">
        <v>283.12183800000003</v>
      </c>
      <c r="BV4" s="42">
        <v>0.23616253887321559</v>
      </c>
      <c r="BW4" s="43">
        <v>0.18558395637569999</v>
      </c>
      <c r="BX4" s="43">
        <v>0.12435576952421434</v>
      </c>
      <c r="BY4" s="41">
        <v>35.207834033599966</v>
      </c>
      <c r="BZ4" s="43">
        <v>4.7817109749054225E-2</v>
      </c>
      <c r="CA4" s="41">
        <v>13.538067999999953</v>
      </c>
      <c r="CB4" s="41">
        <f>CA4-VLOOKUP(BT4,BI:BQ,8,0)</f>
        <v>6.2601119999999923</v>
      </c>
      <c r="CC4" s="54">
        <f>BZ4-VLOOKUP(BT4,BI:BQ,7,0)</f>
        <v>2.2111017801459704E-2</v>
      </c>
      <c r="CE4" s="40" t="s">
        <v>40</v>
      </c>
      <c r="CF4" s="41">
        <v>305.87361500000003</v>
      </c>
      <c r="CG4" s="42">
        <v>0.25541731962011527</v>
      </c>
      <c r="CH4" s="43">
        <v>0.36471984556039588</v>
      </c>
      <c r="CI4" s="43">
        <v>0.16855939797226371</v>
      </c>
      <c r="CJ4" s="41">
        <v>51.557872399999951</v>
      </c>
      <c r="CK4" s="43">
        <v>-0.1022216283676512</v>
      </c>
      <c r="CL4" s="41">
        <v>-31.266899000000024</v>
      </c>
      <c r="CM4" s="41">
        <f>CL4-VLOOKUP(CE4,BT:CB,8,0)</f>
        <v>-1.9105559999999855</v>
      </c>
      <c r="CN4" s="54">
        <f>CK4-VLOOKUP(CE4,BT:CB,7,0)</f>
        <v>6.1512168215401425E-3</v>
      </c>
      <c r="CP4" s="40" t="s">
        <v>40</v>
      </c>
      <c r="CQ4" s="41">
        <v>316.867864</v>
      </c>
      <c r="CR4" s="42">
        <v>0.257926072933645</v>
      </c>
      <c r="CS4" s="43">
        <v>0.37044757162247294</v>
      </c>
      <c r="CT4" s="43">
        <v>0.18127728282347988</v>
      </c>
      <c r="CU4" s="41">
        <v>57.440945399999976</v>
      </c>
      <c r="CV4" s="43">
        <v>-9.0676153262421177E-2</v>
      </c>
      <c r="CW4" s="41">
        <v>-28.732359000000031</v>
      </c>
      <c r="CX4" s="41">
        <f>CW4-VLOOKUP(CP4,CE:CM,8,0)</f>
        <v>2.5345399999999927</v>
      </c>
      <c r="CY4" s="54">
        <f>CV4-VLOOKUP(CP4,CE:CM,7,0)</f>
        <v>1.1545475105230019E-2</v>
      </c>
      <c r="DA4" s="61" t="s">
        <v>115</v>
      </c>
      <c r="DB4" s="62">
        <v>405.18200000000002</v>
      </c>
      <c r="DC4" s="63">
        <v>0.26577877359715768</v>
      </c>
      <c r="DD4" s="64">
        <v>0.17020346412229564</v>
      </c>
      <c r="DE4" s="64">
        <v>6.2412372711522224E-2</v>
      </c>
      <c r="DF4" s="62">
        <v>25.288369999999986</v>
      </c>
      <c r="DG4" s="64">
        <v>-7.4144458539619304E-2</v>
      </c>
      <c r="DH4" s="62">
        <v>-30.04200000000003</v>
      </c>
      <c r="DI4" s="41">
        <f>DH4-VLOOKUP(DA4,CP:CX,8,0)</f>
        <v>-23.934800000000024</v>
      </c>
      <c r="DJ4" s="54">
        <f>DG4-VLOOKUP(DA4,CP:CX,7,0)</f>
        <v>-4.5346691743436848E-2</v>
      </c>
    </row>
    <row r="5" spans="1:114" x14ac:dyDescent="0.25">
      <c r="A5" s="21" t="s">
        <v>40</v>
      </c>
      <c r="B5" s="12">
        <v>326.87035699999996</v>
      </c>
      <c r="C5" s="22">
        <v>0.21441032081564604</v>
      </c>
      <c r="D5" s="29">
        <v>0.37316652662664063</v>
      </c>
      <c r="E5" s="29">
        <v>0.19741585927903538</v>
      </c>
      <c r="F5" s="12">
        <v>64.529392400000063</v>
      </c>
      <c r="G5" s="29">
        <v>-0.17242383652427659</v>
      </c>
      <c r="H5" s="12">
        <v>-56.360240999999917</v>
      </c>
      <c r="I5" s="12"/>
      <c r="J5" s="12"/>
      <c r="K5" s="21" t="s">
        <v>38</v>
      </c>
      <c r="L5" s="12">
        <v>159.887845</v>
      </c>
      <c r="M5" s="22">
        <v>0.25530611956434301</v>
      </c>
      <c r="N5" s="29">
        <v>0.1083576745186603</v>
      </c>
      <c r="O5" s="12">
        <v>17.32507506799999</v>
      </c>
      <c r="P5" s="12"/>
      <c r="R5" s="12">
        <v>210.14336800000001</v>
      </c>
      <c r="S5" s="22">
        <v>0.27591460131176709</v>
      </c>
      <c r="U5" s="21" t="s">
        <v>36</v>
      </c>
      <c r="V5" s="12">
        <v>177.40437299999999</v>
      </c>
      <c r="W5" s="22">
        <v>0.25180717547965348</v>
      </c>
      <c r="X5" s="29">
        <v>0.17124807148919596</v>
      </c>
      <c r="Y5" s="12">
        <v>30.380156749999998</v>
      </c>
      <c r="Z5" s="12"/>
      <c r="AB5" s="40" t="s">
        <v>38</v>
      </c>
      <c r="AC5" s="41">
        <v>210.14336800000001</v>
      </c>
      <c r="AD5" s="42">
        <v>0.22275651056605106</v>
      </c>
      <c r="AE5" s="43">
        <v>0.11801519297244734</v>
      </c>
      <c r="AF5" s="41">
        <v>24.8001101264</v>
      </c>
      <c r="AG5" s="12"/>
      <c r="AI5" s="40" t="s">
        <v>115</v>
      </c>
      <c r="AJ5" s="41">
        <v>218.85600000000002</v>
      </c>
      <c r="AK5" s="42">
        <v>0.21495446509069555</v>
      </c>
      <c r="AL5" s="43">
        <v>3.586522645026835E-2</v>
      </c>
      <c r="AM5" s="41">
        <v>7.849319999999949</v>
      </c>
      <c r="AN5" s="12"/>
      <c r="AP5" s="40" t="s">
        <v>115</v>
      </c>
      <c r="AQ5" s="41">
        <v>218.85400000000001</v>
      </c>
      <c r="AR5" s="42">
        <v>0.21215878410726144</v>
      </c>
      <c r="AS5" s="43">
        <v>3.5865142972027142E-2</v>
      </c>
      <c r="AT5" s="41">
        <v>7.8492300000000057</v>
      </c>
      <c r="AU5" s="43">
        <v>1.3728787228015007E-2</v>
      </c>
      <c r="AV5" s="41">
        <v>3.0045999999999822</v>
      </c>
      <c r="AX5" s="40" t="s">
        <v>40</v>
      </c>
      <c r="AY5" s="41">
        <v>245.91161700000001</v>
      </c>
      <c r="AZ5" s="42">
        <v>0.22470307583483215</v>
      </c>
      <c r="BA5" s="43">
        <v>0.34646737756110157</v>
      </c>
      <c r="BB5" s="43">
        <v>0.13136960341324588</v>
      </c>
      <c r="BC5" s="41">
        <v>32.30531160000001</v>
      </c>
      <c r="BD5" s="43">
        <v>-3.414214465516701E-2</v>
      </c>
      <c r="BE5" s="41">
        <v>-8.3959500000000276</v>
      </c>
      <c r="BF5" s="41">
        <f t="shared" ref="BF5:BF14" si="0">BE5-VLOOKUP(AX5,AP:AV,7,0)</f>
        <v>0.18132199999999443</v>
      </c>
      <c r="BG5" s="54">
        <f t="shared" ref="BG5:BG14" si="1">BD5-VLOOKUP(AX5,AP:AU,6,0)</f>
        <v>8.5452192337185373E-3</v>
      </c>
      <c r="BI5" s="40" t="s">
        <v>40</v>
      </c>
      <c r="BJ5" s="41">
        <v>270.88283000000001</v>
      </c>
      <c r="BK5" s="42">
        <v>0.22595352347903885</v>
      </c>
      <c r="BL5" s="43">
        <v>0.34729981743139637</v>
      </c>
      <c r="BM5" s="43">
        <v>0.13908261885775475</v>
      </c>
      <c r="BN5" s="41">
        <v>37.67509339999998</v>
      </c>
      <c r="BO5" s="43">
        <v>-8.6924043875353796E-2</v>
      </c>
      <c r="BP5" s="41">
        <v>-23.546231000000006</v>
      </c>
      <c r="BQ5" s="41">
        <f t="shared" ref="BQ5:BQ14" si="2">BP5-VLOOKUP(BI5,AX:BF,8,0)</f>
        <v>-15.150280999999978</v>
      </c>
      <c r="BR5" s="54">
        <f t="shared" ref="BR5:BR14" si="3">BO5-VLOOKUP(BI5,AX:BF,7,0)</f>
        <v>-5.2781899220186786E-2</v>
      </c>
      <c r="BT5" s="40" t="s">
        <v>40</v>
      </c>
      <c r="BU5" s="41">
        <v>270.88283000000001</v>
      </c>
      <c r="BV5" s="42">
        <v>0.22595352347903888</v>
      </c>
      <c r="BW5" s="43">
        <v>0.34729981743139643</v>
      </c>
      <c r="BX5" s="43">
        <v>0.13908261885775475</v>
      </c>
      <c r="BY5" s="41">
        <v>37.67509339999998</v>
      </c>
      <c r="BZ5" s="43">
        <v>-0.10837284518919134</v>
      </c>
      <c r="CA5" s="41">
        <v>-29.356343000000038</v>
      </c>
      <c r="CB5" s="41">
        <f t="shared" ref="CB5:CB14" si="4">CA5-VLOOKUP(BT5,BI:BQ,8,0)</f>
        <v>-5.8101120000000321</v>
      </c>
      <c r="CC5" s="54">
        <f t="shared" ref="CC5:CC14" si="5">BZ5-VLOOKUP(BT5,BI:BQ,7,0)</f>
        <v>-2.1448801313837543E-2</v>
      </c>
      <c r="CE5" s="40" t="s">
        <v>38</v>
      </c>
      <c r="CF5" s="41">
        <v>283.12183800000003</v>
      </c>
      <c r="CG5" s="42">
        <v>0.23641862992295198</v>
      </c>
      <c r="CH5" s="43">
        <v>0.18558395637569999</v>
      </c>
      <c r="CI5" s="43">
        <v>0.12435576952421434</v>
      </c>
      <c r="CJ5" s="41">
        <v>35.207834033599966</v>
      </c>
      <c r="CK5" s="43">
        <v>3.074675574831482E-2</v>
      </c>
      <c r="CL5" s="41">
        <v>8.7050779999999577</v>
      </c>
      <c r="CM5" s="41">
        <f t="shared" ref="CM5:CM14" si="6">CL5-VLOOKUP(CE5,BT:CB,8,0)</f>
        <v>-4.8329899999999952</v>
      </c>
      <c r="CN5" s="54">
        <f t="shared" ref="CN5:CN14" si="7">CK5-VLOOKUP(CE5,BT:CB,7,0)</f>
        <v>-1.7070354000739404E-2</v>
      </c>
      <c r="CP5" s="40" t="s">
        <v>38</v>
      </c>
      <c r="CQ5" s="41">
        <v>283.12183800000003</v>
      </c>
      <c r="CR5" s="42">
        <v>0.23045727299470053</v>
      </c>
      <c r="CS5" s="43">
        <v>0.18558395637569999</v>
      </c>
      <c r="CT5" s="43">
        <v>0.12435576952421434</v>
      </c>
      <c r="CU5" s="41">
        <v>35.207834033599966</v>
      </c>
      <c r="CV5" s="43">
        <v>2.6709228978656119E-2</v>
      </c>
      <c r="CW5" s="41">
        <v>7.561965999999984</v>
      </c>
      <c r="CX5" s="41">
        <f t="shared" ref="CX5:CX14" si="8">CW5-VLOOKUP(CP5,CE:CM,8,0)</f>
        <v>-1.1431119999999737</v>
      </c>
      <c r="CY5" s="54">
        <f t="shared" ref="CY5:CY14" si="9">CV5-VLOOKUP(CP5,CE:CM,7,0)</f>
        <v>-4.037526769658701E-3</v>
      </c>
      <c r="DA5" s="61" t="s">
        <v>40</v>
      </c>
      <c r="DB5" s="62">
        <v>326.87035700000001</v>
      </c>
      <c r="DC5" s="63">
        <v>0.21441032081564609</v>
      </c>
      <c r="DD5" s="64">
        <v>0.37316652662664057</v>
      </c>
      <c r="DE5" s="64">
        <v>0.19741585927903493</v>
      </c>
      <c r="DF5" s="62">
        <v>64.529392399999949</v>
      </c>
      <c r="DG5" s="64">
        <v>-0.13036696227550557</v>
      </c>
      <c r="DH5" s="62">
        <v>-42.613095500000043</v>
      </c>
      <c r="DI5" s="41">
        <f t="shared" ref="DI5:DI14" si="10">DH5-VLOOKUP(DA5,CP:CX,8,0)</f>
        <v>-13.880736500000012</v>
      </c>
      <c r="DJ5" s="54">
        <f t="shared" ref="DJ5:DJ14" si="11">DG5-VLOOKUP(DA5,CP:CX,7,0)</f>
        <v>-3.9690809013084388E-2</v>
      </c>
    </row>
    <row r="6" spans="1:114" x14ac:dyDescent="0.25">
      <c r="A6" s="71" t="s">
        <v>47</v>
      </c>
      <c r="B6" s="12">
        <v>90.904544000000001</v>
      </c>
      <c r="C6" s="22">
        <v>0.27810580572162441</v>
      </c>
      <c r="D6" s="29">
        <v>0.52980000000000005</v>
      </c>
      <c r="E6" s="29">
        <v>0.23859471755339312</v>
      </c>
      <c r="F6" s="12">
        <v>21.689344000000006</v>
      </c>
      <c r="G6" s="29">
        <v>-0.18684443321117142</v>
      </c>
      <c r="H6" s="12">
        <v>-16.985007999999993</v>
      </c>
      <c r="I6" s="12"/>
      <c r="J6" s="12"/>
      <c r="K6" s="21" t="s">
        <v>37</v>
      </c>
      <c r="L6" s="12">
        <v>84.915515999999997</v>
      </c>
      <c r="M6" s="22">
        <v>0.13559161348859186</v>
      </c>
      <c r="N6" s="29">
        <v>0.28530609176301791</v>
      </c>
      <c r="O6" s="12">
        <v>24.226914000000008</v>
      </c>
      <c r="P6" s="12"/>
      <c r="R6" s="12">
        <v>149.810948</v>
      </c>
      <c r="S6" s="22">
        <v>0.19669917915067334</v>
      </c>
      <c r="U6" s="21" t="s">
        <v>40</v>
      </c>
      <c r="V6" s="12">
        <v>162.11427700000002</v>
      </c>
      <c r="W6" s="22">
        <v>0.23010446420222211</v>
      </c>
      <c r="X6" s="29">
        <v>0.13072196842971429</v>
      </c>
      <c r="Y6" s="12">
        <v>21.191897399999959</v>
      </c>
      <c r="Z6" s="12"/>
      <c r="AB6" s="40" t="s">
        <v>36</v>
      </c>
      <c r="AC6" s="41">
        <v>177.40437299999999</v>
      </c>
      <c r="AD6" s="42">
        <v>0.18805246848731463</v>
      </c>
      <c r="AE6" s="43">
        <v>0.17124807148919596</v>
      </c>
      <c r="AF6" s="41">
        <v>30.380156749999998</v>
      </c>
      <c r="AG6" s="12"/>
      <c r="AI6" s="40" t="s">
        <v>36</v>
      </c>
      <c r="AJ6" s="41">
        <v>196.93234799999999</v>
      </c>
      <c r="AK6" s="42">
        <v>0.19342164493271694</v>
      </c>
      <c r="AL6" s="43">
        <v>0.17126296386818063</v>
      </c>
      <c r="AM6" s="41">
        <v>33.727217599999989</v>
      </c>
      <c r="AN6" s="12"/>
      <c r="AP6" s="40" t="s">
        <v>40</v>
      </c>
      <c r="AQ6" s="41">
        <v>200.93234200000001</v>
      </c>
      <c r="AR6" s="42">
        <v>0.19478538827960382</v>
      </c>
      <c r="AS6" s="43">
        <v>0.12945570305451382</v>
      </c>
      <c r="AT6" s="41">
        <v>26.011837600000035</v>
      </c>
      <c r="AU6" s="43">
        <v>-4.2687363888885548E-2</v>
      </c>
      <c r="AV6" s="41">
        <v>-8.577272000000022</v>
      </c>
      <c r="AX6" s="40" t="s">
        <v>115</v>
      </c>
      <c r="AY6" s="41">
        <v>218.852</v>
      </c>
      <c r="AZ6" s="42">
        <v>0.19997720381223261</v>
      </c>
      <c r="BA6" s="43">
        <v>0.14808573830716651</v>
      </c>
      <c r="BB6" s="43">
        <v>6.1035677078573602E-2</v>
      </c>
      <c r="BC6" s="41">
        <v>13.357779999999991</v>
      </c>
      <c r="BD6" s="43">
        <v>3.4507338292544827E-2</v>
      </c>
      <c r="BE6" s="41">
        <v>7.5520000000000209</v>
      </c>
      <c r="BF6" s="41">
        <f t="shared" si="0"/>
        <v>4.5474000000000387</v>
      </c>
      <c r="BG6" s="54">
        <f t="shared" si="1"/>
        <v>2.0778551064529818E-2</v>
      </c>
      <c r="BI6" s="40" t="s">
        <v>115</v>
      </c>
      <c r="BJ6" s="41">
        <v>263.35200000000003</v>
      </c>
      <c r="BK6" s="42">
        <v>0.21967177585693359</v>
      </c>
      <c r="BL6" s="43">
        <v>0.1514507579209575</v>
      </c>
      <c r="BM6" s="43">
        <v>6.4747106534220222E-2</v>
      </c>
      <c r="BN6" s="41">
        <v>17.051279999999963</v>
      </c>
      <c r="BO6" s="43">
        <v>-2.1568091375801447E-2</v>
      </c>
      <c r="BP6" s="41">
        <v>-5.6800000000000637</v>
      </c>
      <c r="BQ6" s="41">
        <f t="shared" si="2"/>
        <v>-13.232000000000085</v>
      </c>
      <c r="BR6" s="54">
        <f t="shared" si="3"/>
        <v>-5.6075429668346277E-2</v>
      </c>
      <c r="BT6" s="40" t="s">
        <v>115</v>
      </c>
      <c r="BU6" s="41">
        <v>263.35199999999998</v>
      </c>
      <c r="BV6" s="42">
        <v>0.21967177585693357</v>
      </c>
      <c r="BW6" s="43">
        <v>0.15145075792095752</v>
      </c>
      <c r="BX6" s="43">
        <v>6.4747106534220444E-2</v>
      </c>
      <c r="BY6" s="41">
        <v>17.05128000000002</v>
      </c>
      <c r="BZ6" s="43">
        <v>-2.2054132871593888E-2</v>
      </c>
      <c r="CA6" s="41">
        <v>-5.8079999999999927</v>
      </c>
      <c r="CB6" s="41">
        <f t="shared" si="4"/>
        <v>-0.12799999999992906</v>
      </c>
      <c r="CC6" s="54">
        <f t="shared" si="5"/>
        <v>-4.8604149579244138E-4</v>
      </c>
      <c r="CE6" s="40" t="s">
        <v>115</v>
      </c>
      <c r="CF6" s="41">
        <v>212.072</v>
      </c>
      <c r="CG6" s="42">
        <v>0.17708903007693907</v>
      </c>
      <c r="CH6" s="43">
        <v>0.17428939228186655</v>
      </c>
      <c r="CI6" s="43">
        <v>7.0005658455618791E-2</v>
      </c>
      <c r="CJ6" s="41">
        <v>14.846239999999995</v>
      </c>
      <c r="CK6" s="43">
        <v>-5.7942585536987487E-2</v>
      </c>
      <c r="CL6" s="41">
        <v>-12.288000000000011</v>
      </c>
      <c r="CM6" s="41">
        <f t="shared" si="6"/>
        <v>-6.4800000000000182</v>
      </c>
      <c r="CN6" s="54">
        <f t="shared" si="7"/>
        <v>-3.5888452665393603E-2</v>
      </c>
      <c r="CP6" s="40" t="s">
        <v>36</v>
      </c>
      <c r="CQ6" s="41">
        <v>225.57201800000001</v>
      </c>
      <c r="CR6" s="42">
        <v>0.18361251290051139</v>
      </c>
      <c r="CS6" s="43">
        <v>0.30432884582076136</v>
      </c>
      <c r="CT6" s="43">
        <v>0.1949079823367097</v>
      </c>
      <c r="CU6" s="41">
        <v>43.965786899999955</v>
      </c>
      <c r="CV6" s="43">
        <v>-4.9341581011169658E-2</v>
      </c>
      <c r="CW6" s="41">
        <v>-11.130080000000021</v>
      </c>
      <c r="CX6" s="41">
        <f t="shared" si="8"/>
        <v>5.8058300000000145</v>
      </c>
      <c r="CY6" s="54">
        <f t="shared" si="9"/>
        <v>3.3036023220376895E-2</v>
      </c>
      <c r="DA6" s="61" t="s">
        <v>38</v>
      </c>
      <c r="DB6" s="62">
        <v>289.90281599999997</v>
      </c>
      <c r="DC6" s="63">
        <v>0.19016149507836591</v>
      </c>
      <c r="DD6" s="64">
        <v>0.18629770618302655</v>
      </c>
      <c r="DE6" s="64">
        <v>0.12853694904709045</v>
      </c>
      <c r="DF6" s="62">
        <v>37.263223488800008</v>
      </c>
      <c r="DG6" s="64">
        <v>2.5912994235971806E-2</v>
      </c>
      <c r="DH6" s="62">
        <v>7.5122499999999945</v>
      </c>
      <c r="DI6" s="41">
        <f t="shared" si="10"/>
        <v>-4.9715999999989435E-2</v>
      </c>
      <c r="DJ6" s="54">
        <f t="shared" si="11"/>
        <v>-7.9623474268431318E-4</v>
      </c>
    </row>
    <row r="7" spans="1:114" x14ac:dyDescent="0.25">
      <c r="A7" s="71" t="s">
        <v>94</v>
      </c>
      <c r="B7" s="12">
        <v>89.968879000000001</v>
      </c>
      <c r="C7" s="22">
        <v>0.2752433099952224</v>
      </c>
      <c r="D7" s="29">
        <v>0.45929999999999999</v>
      </c>
      <c r="E7" s="29">
        <v>0.31389026198714776</v>
      </c>
      <c r="F7" s="12">
        <v>28.240354999999994</v>
      </c>
      <c r="G7" s="29">
        <v>-0.24962926347009395</v>
      </c>
      <c r="H7" s="12">
        <v>-22.458865000000003</v>
      </c>
      <c r="I7" s="12"/>
      <c r="J7" s="12"/>
      <c r="K7" s="21" t="s">
        <v>39</v>
      </c>
      <c r="L7" s="12">
        <v>76.938714000000004</v>
      </c>
      <c r="M7" s="22">
        <v>0.12285439531448307</v>
      </c>
      <c r="N7" s="29">
        <v>7.9955036025166626E-2</v>
      </c>
      <c r="O7" s="12">
        <v>6.1516376495999907</v>
      </c>
      <c r="P7" s="12">
        <v>-4.4000000000000004</v>
      </c>
      <c r="R7" s="12">
        <v>108.030807</v>
      </c>
      <c r="S7" s="22">
        <v>0.14184257788612895</v>
      </c>
      <c r="U7" s="21" t="s">
        <v>37</v>
      </c>
      <c r="V7" s="12">
        <v>94.882213999999991</v>
      </c>
      <c r="W7" s="22">
        <v>0.13467549816596705</v>
      </c>
      <c r="X7" s="29">
        <v>0.28159743932619463</v>
      </c>
      <c r="Y7" s="12">
        <v>26.71858850000001</v>
      </c>
      <c r="Z7" s="12">
        <v>10.31</v>
      </c>
      <c r="AB7" s="40" t="s">
        <v>40</v>
      </c>
      <c r="AC7" s="41">
        <v>172.11133100000001</v>
      </c>
      <c r="AD7" s="42">
        <v>0.18244172960261401</v>
      </c>
      <c r="AE7" s="43">
        <v>0.1289374887235053</v>
      </c>
      <c r="AF7" s="41">
        <v>22.191602799999998</v>
      </c>
      <c r="AG7" s="12">
        <v>0</v>
      </c>
      <c r="AI7" s="40" t="s">
        <v>40</v>
      </c>
      <c r="AJ7" s="41">
        <v>188.97588910000002</v>
      </c>
      <c r="AK7" s="42">
        <v>0.18560702542552684</v>
      </c>
      <c r="AL7" s="43">
        <v>0.14271594343831007</v>
      </c>
      <c r="AM7" s="41">
        <v>26.969872299999963</v>
      </c>
      <c r="AN7" s="12">
        <v>0</v>
      </c>
      <c r="AP7" s="40" t="s">
        <v>36</v>
      </c>
      <c r="AQ7" s="41">
        <v>198.38494800000001</v>
      </c>
      <c r="AR7" s="42">
        <v>0.19231592455638136</v>
      </c>
      <c r="AS7" s="43">
        <v>0.16268682642193188</v>
      </c>
      <c r="AT7" s="41">
        <v>32.274617599999971</v>
      </c>
      <c r="AU7" s="43">
        <v>3.5134338921721006E-2</v>
      </c>
      <c r="AV7" s="41">
        <v>6.9701239999999984</v>
      </c>
      <c r="AX7" s="40" t="s">
        <v>36</v>
      </c>
      <c r="AY7" s="41">
        <v>155.61477000000002</v>
      </c>
      <c r="AZ7" s="42">
        <v>0.14219384139273894</v>
      </c>
      <c r="BA7" s="43">
        <v>0.28791727261236194</v>
      </c>
      <c r="BB7" s="43">
        <v>0.16617375651424315</v>
      </c>
      <c r="BC7" s="41">
        <v>25.859090899999956</v>
      </c>
      <c r="BD7" s="43">
        <v>6.8824508110635644E-3</v>
      </c>
      <c r="BE7" s="41">
        <v>1.0710109999999702</v>
      </c>
      <c r="BF7" s="41">
        <f t="shared" si="0"/>
        <v>-5.8991130000000283</v>
      </c>
      <c r="BG7" s="54">
        <f t="shared" si="1"/>
        <v>-2.8251888110657441E-2</v>
      </c>
      <c r="BI7" s="40" t="s">
        <v>36</v>
      </c>
      <c r="BJ7" s="41">
        <v>190.59815000000003</v>
      </c>
      <c r="BK7" s="42">
        <v>0.15898506214323874</v>
      </c>
      <c r="BL7" s="43">
        <v>0.30298316513880119</v>
      </c>
      <c r="BM7" s="43">
        <v>0.1857343888175198</v>
      </c>
      <c r="BN7" s="41">
        <v>35.400630899999953</v>
      </c>
      <c r="BO7" s="43">
        <v>-4.331625464360505E-2</v>
      </c>
      <c r="BP7" s="41">
        <v>-8.2559980000000337</v>
      </c>
      <c r="BQ7" s="41">
        <f t="shared" si="2"/>
        <v>-9.3270090000000039</v>
      </c>
      <c r="BR7" s="54">
        <f t="shared" si="3"/>
        <v>-5.0198705454668612E-2</v>
      </c>
      <c r="BT7" s="40" t="s">
        <v>36</v>
      </c>
      <c r="BU7" s="41">
        <v>190.59815000000003</v>
      </c>
      <c r="BV7" s="42">
        <v>0.15898506214323876</v>
      </c>
      <c r="BW7" s="43">
        <v>0.30298316513880119</v>
      </c>
      <c r="BX7" s="43">
        <v>0.1857343888175198</v>
      </c>
      <c r="BY7" s="41">
        <v>35.400630899999953</v>
      </c>
      <c r="BZ7" s="43">
        <v>-5.704223781815309E-2</v>
      </c>
      <c r="CA7" s="41">
        <v>-10.872145000000017</v>
      </c>
      <c r="CB7" s="41">
        <f t="shared" si="4"/>
        <v>-2.6161469999999838</v>
      </c>
      <c r="CC7" s="54">
        <f t="shared" si="5"/>
        <v>-1.372598317454804E-2</v>
      </c>
      <c r="CE7" s="40" t="s">
        <v>36</v>
      </c>
      <c r="CF7" s="41">
        <v>205.58876600000002</v>
      </c>
      <c r="CG7" s="42">
        <v>0.17167525729777997</v>
      </c>
      <c r="CH7" s="43">
        <v>0.30786973387738509</v>
      </c>
      <c r="CI7" s="43">
        <v>0.19583771858429233</v>
      </c>
      <c r="CJ7" s="41">
        <v>40.262034899999946</v>
      </c>
      <c r="CK7" s="43">
        <v>-8.2377604231546553E-2</v>
      </c>
      <c r="CL7" s="41">
        <v>-16.935910000000035</v>
      </c>
      <c r="CM7" s="41">
        <f t="shared" si="6"/>
        <v>-6.0637650000000178</v>
      </c>
      <c r="CN7" s="54">
        <f t="shared" si="7"/>
        <v>-2.5335366413393463E-2</v>
      </c>
      <c r="CP7" s="40" t="s">
        <v>115</v>
      </c>
      <c r="CQ7" s="41">
        <v>212.072</v>
      </c>
      <c r="CR7" s="42">
        <v>0.17262368436069608</v>
      </c>
      <c r="CS7" s="43">
        <v>0.17428939228186655</v>
      </c>
      <c r="CT7" s="43">
        <v>7.0005658455618791E-2</v>
      </c>
      <c r="CU7" s="41">
        <v>14.846239999999995</v>
      </c>
      <c r="CV7" s="43">
        <v>-2.8797766796182456E-2</v>
      </c>
      <c r="CW7" s="41">
        <v>-6.107200000000006</v>
      </c>
      <c r="CX7" s="41">
        <f t="shared" si="8"/>
        <v>6.180800000000005</v>
      </c>
      <c r="CY7" s="54">
        <f t="shared" si="9"/>
        <v>2.9144818740805031E-2</v>
      </c>
      <c r="DA7" s="61" t="s">
        <v>36</v>
      </c>
      <c r="DB7" s="62">
        <v>280.56123500000001</v>
      </c>
      <c r="DC7" s="63">
        <v>0.1840338933052405</v>
      </c>
      <c r="DD7" s="64">
        <v>0.3172002082803777</v>
      </c>
      <c r="DE7" s="64">
        <v>0.25314434440666789</v>
      </c>
      <c r="DF7" s="62">
        <v>71.022489900000096</v>
      </c>
      <c r="DG7" s="64">
        <v>-0.103198437232428</v>
      </c>
      <c r="DH7" s="62">
        <v>-28.953480999999982</v>
      </c>
      <c r="DI7" s="41">
        <f t="shared" si="10"/>
        <v>-17.823400999999961</v>
      </c>
      <c r="DJ7" s="54">
        <f t="shared" si="11"/>
        <v>-5.385685622125834E-2</v>
      </c>
    </row>
    <row r="8" spans="1:114" x14ac:dyDescent="0.25">
      <c r="A8" s="71" t="s">
        <v>103</v>
      </c>
      <c r="B8" s="12">
        <v>60.019999999999996</v>
      </c>
      <c r="C8" s="22">
        <v>0.18362019900140411</v>
      </c>
      <c r="D8" s="29">
        <v>0.2</v>
      </c>
      <c r="E8" s="29">
        <v>9.9999999999999867E-2</v>
      </c>
      <c r="F8" s="12">
        <v>6.0019999999999953</v>
      </c>
      <c r="G8" s="29">
        <v>-0.24999999999999994</v>
      </c>
      <c r="H8" s="12">
        <v>-15.004999999999995</v>
      </c>
      <c r="I8" s="12"/>
      <c r="J8" s="12"/>
      <c r="K8" s="21" t="s">
        <v>40</v>
      </c>
      <c r="L8" s="12">
        <v>65.902309000000002</v>
      </c>
      <c r="M8" s="22">
        <v>0.10523165648470827</v>
      </c>
      <c r="N8" s="29">
        <v>0.29383162280399011</v>
      </c>
      <c r="O8" s="12">
        <v>19.364182400000004</v>
      </c>
      <c r="P8" s="12"/>
      <c r="R8" s="12">
        <v>59.980460999999991</v>
      </c>
      <c r="S8" s="22">
        <v>7.875330609201521E-2</v>
      </c>
      <c r="U8" s="21" t="s">
        <v>39</v>
      </c>
      <c r="V8" s="12">
        <v>59.980460999999991</v>
      </c>
      <c r="W8" s="22">
        <v>8.5136066337989938E-2</v>
      </c>
      <c r="X8" s="29">
        <v>9.1757028336277635E-2</v>
      </c>
      <c r="Y8" s="12">
        <v>5.5036288595999991</v>
      </c>
      <c r="Z8" s="12"/>
      <c r="AB8" s="40" t="s">
        <v>37</v>
      </c>
      <c r="AC8" s="41">
        <v>94.882213999999991</v>
      </c>
      <c r="AD8" s="42">
        <v>0.10057719692310878</v>
      </c>
      <c r="AE8" s="43">
        <v>0.28159743932619463</v>
      </c>
      <c r="AF8" s="41">
        <v>26.71858850000001</v>
      </c>
      <c r="AG8" s="12"/>
      <c r="AI8" s="40" t="s">
        <v>37</v>
      </c>
      <c r="AJ8" s="41">
        <v>94.882213999999991</v>
      </c>
      <c r="AK8" s="42">
        <v>9.3190753541099625E-2</v>
      </c>
      <c r="AL8" s="43">
        <v>0.28159743932619463</v>
      </c>
      <c r="AM8" s="41">
        <v>26.71858850000001</v>
      </c>
      <c r="AN8" s="12"/>
      <c r="AP8" s="40" t="s">
        <v>37</v>
      </c>
      <c r="AQ8" s="41">
        <v>94.882213999999991</v>
      </c>
      <c r="AR8" s="42">
        <v>9.197956242812548E-2</v>
      </c>
      <c r="AS8" s="43">
        <v>0.28159743932619463</v>
      </c>
      <c r="AT8" s="41">
        <v>26.71858850000001</v>
      </c>
      <c r="AU8" s="43">
        <v>0.12357189514991723</v>
      </c>
      <c r="AV8" s="41">
        <v>11.724775000000008</v>
      </c>
      <c r="AX8" s="40" t="s">
        <v>37</v>
      </c>
      <c r="AY8" s="41">
        <v>114.87946399999998</v>
      </c>
      <c r="AZ8" s="42">
        <v>0.10497173425953628</v>
      </c>
      <c r="BA8" s="43">
        <v>0.33977481277941901</v>
      </c>
      <c r="BB8" s="43">
        <v>0.29350438125303246</v>
      </c>
      <c r="BC8" s="41">
        <v>33.717626000000024</v>
      </c>
      <c r="BD8" s="43">
        <v>9.2931230946551174E-2</v>
      </c>
      <c r="BE8" s="41">
        <v>10.67589000000001</v>
      </c>
      <c r="BF8" s="41">
        <f t="shared" si="0"/>
        <v>-1.0488849999999985</v>
      </c>
      <c r="BG8" s="54">
        <f t="shared" si="1"/>
        <v>-3.0640664203366058E-2</v>
      </c>
      <c r="BI8" s="40" t="s">
        <v>37</v>
      </c>
      <c r="BJ8" s="41">
        <v>114.87946399999998</v>
      </c>
      <c r="BK8" s="42">
        <v>9.5825267574852907E-2</v>
      </c>
      <c r="BL8" s="43">
        <v>0.33977481277941901</v>
      </c>
      <c r="BM8" s="43">
        <v>0.29350438125303246</v>
      </c>
      <c r="BN8" s="41">
        <v>33.717626000000024</v>
      </c>
      <c r="BO8" s="43">
        <v>0.12785503595316242</v>
      </c>
      <c r="BP8" s="41">
        <v>14.687918000000025</v>
      </c>
      <c r="BQ8" s="41">
        <f t="shared" si="2"/>
        <v>4.012028000000015</v>
      </c>
      <c r="BR8" s="54">
        <f t="shared" si="3"/>
        <v>3.4923805006611242E-2</v>
      </c>
      <c r="BT8" s="40" t="s">
        <v>37</v>
      </c>
      <c r="BU8" s="41">
        <v>114.87946399999998</v>
      </c>
      <c r="BV8" s="42">
        <v>9.5825267574852935E-2</v>
      </c>
      <c r="BW8" s="43">
        <v>0.33977481277941901</v>
      </c>
      <c r="BX8" s="43">
        <v>0.29350438125303246</v>
      </c>
      <c r="BY8" s="41">
        <v>33.717626000000024</v>
      </c>
      <c r="BZ8" s="43">
        <v>0.1785252236204726</v>
      </c>
      <c r="CA8" s="41">
        <v>20.508882000000028</v>
      </c>
      <c r="CB8" s="41">
        <f t="shared" si="4"/>
        <v>5.8209640000000036</v>
      </c>
      <c r="CC8" s="54">
        <f t="shared" si="5"/>
        <v>5.0670187667310185E-2</v>
      </c>
      <c r="CE8" s="40" t="s">
        <v>37</v>
      </c>
      <c r="CF8" s="41">
        <v>114.87946399999998</v>
      </c>
      <c r="CG8" s="42">
        <v>9.5929179031265965E-2</v>
      </c>
      <c r="CH8" s="43">
        <v>0.33977481277941901</v>
      </c>
      <c r="CI8" s="43">
        <v>0.29350438125303246</v>
      </c>
      <c r="CJ8" s="41">
        <v>33.717626000000024</v>
      </c>
      <c r="CK8" s="43">
        <v>0.12259087490171451</v>
      </c>
      <c r="CL8" s="41">
        <v>14.083174000000014</v>
      </c>
      <c r="CM8" s="41">
        <f t="shared" si="6"/>
        <v>-6.4257080000000144</v>
      </c>
      <c r="CN8" s="54">
        <f t="shared" si="7"/>
        <v>-5.593434871875809E-2</v>
      </c>
      <c r="CP8" s="40" t="s">
        <v>37</v>
      </c>
      <c r="CQ8" s="41">
        <v>114.87946399999998</v>
      </c>
      <c r="CR8" s="42">
        <v>9.351029995973982E-2</v>
      </c>
      <c r="CS8" s="43">
        <v>0.33977481277941901</v>
      </c>
      <c r="CT8" s="43">
        <v>0.29350438125303246</v>
      </c>
      <c r="CU8" s="41">
        <v>33.717626000000024</v>
      </c>
      <c r="CV8" s="43">
        <v>0.14711167176058565</v>
      </c>
      <c r="CW8" s="41">
        <v>16.900110000000012</v>
      </c>
      <c r="CX8" s="41">
        <f t="shared" si="8"/>
        <v>2.8169359999999983</v>
      </c>
      <c r="CY8" s="54">
        <f t="shared" si="9"/>
        <v>2.4520796858871138E-2</v>
      </c>
      <c r="DA8" s="61" t="s">
        <v>37</v>
      </c>
      <c r="DB8" s="62">
        <v>145.98324300000002</v>
      </c>
      <c r="DC8" s="63">
        <v>9.575757879243367E-2</v>
      </c>
      <c r="DD8" s="64">
        <v>0.34942833661463457</v>
      </c>
      <c r="DE8" s="64">
        <v>0.10057388070355455</v>
      </c>
      <c r="DF8" s="62">
        <v>14.682101266200021</v>
      </c>
      <c r="DG8" s="64">
        <v>4.138954496304758E-2</v>
      </c>
      <c r="DH8" s="62">
        <v>6.0421800000000019</v>
      </c>
      <c r="DI8" s="41">
        <f t="shared" si="10"/>
        <v>-10.85793000000001</v>
      </c>
      <c r="DJ8" s="54">
        <f t="shared" si="11"/>
        <v>-0.10572212679753806</v>
      </c>
    </row>
    <row r="9" spans="1:114" x14ac:dyDescent="0.25">
      <c r="A9" s="71" t="s">
        <v>26</v>
      </c>
      <c r="B9" s="12">
        <v>54.987569999999998</v>
      </c>
      <c r="C9" s="22">
        <v>0.16822440096640517</v>
      </c>
      <c r="D9" s="29">
        <v>0.25990000000000002</v>
      </c>
      <c r="E9" s="29">
        <v>0.10000000000000009</v>
      </c>
      <c r="F9" s="12">
        <v>5.4987570000000048</v>
      </c>
      <c r="G9" s="29">
        <v>-9.2130257801899679E-2</v>
      </c>
      <c r="H9" s="12">
        <v>-5.0660190000000043</v>
      </c>
      <c r="I9" s="12"/>
      <c r="J9" s="12"/>
      <c r="K9" s="21" t="s">
        <v>74</v>
      </c>
      <c r="L9" s="12">
        <v>2.9170551999999998E-16</v>
      </c>
      <c r="M9" s="22">
        <v>4.657902817234096E-19</v>
      </c>
      <c r="N9" s="29">
        <v>9.799364235548258E-2</v>
      </c>
      <c r="O9" s="12">
        <v>2.8585286400000075E-17</v>
      </c>
      <c r="P9" s="12"/>
      <c r="R9" s="12">
        <v>2.9170551999999998E-16</v>
      </c>
      <c r="S9" s="22">
        <v>3.830042937697739E-19</v>
      </c>
      <c r="U9" s="21" t="s">
        <v>74</v>
      </c>
      <c r="V9" s="12">
        <v>2.9170551999999998E-16</v>
      </c>
      <c r="W9" s="22">
        <v>4.1404584239320622E-19</v>
      </c>
      <c r="X9" s="29">
        <v>9.799364235548258E-2</v>
      </c>
      <c r="Y9" s="12">
        <v>2.8585286400000075E-17</v>
      </c>
      <c r="Z9" s="12"/>
      <c r="AB9" s="40" t="s">
        <v>39</v>
      </c>
      <c r="AC9" s="41">
        <v>59.980460999999991</v>
      </c>
      <c r="AD9" s="42">
        <v>6.35805846345011E-2</v>
      </c>
      <c r="AE9" s="43">
        <v>9.1757028336277635E-2</v>
      </c>
      <c r="AF9" s="41">
        <v>5.5036288595999991</v>
      </c>
      <c r="AG9" s="12"/>
      <c r="AI9" s="40" t="s">
        <v>39</v>
      </c>
      <c r="AJ9" s="41">
        <v>46.022978999999999</v>
      </c>
      <c r="AK9" s="42">
        <v>4.5202529667111309E-2</v>
      </c>
      <c r="AL9" s="43">
        <v>0.12015729349462578</v>
      </c>
      <c r="AM9" s="41">
        <v>5.5299965951999965</v>
      </c>
      <c r="AN9" s="12">
        <v>2.76</v>
      </c>
      <c r="AP9" s="40" t="s">
        <v>39</v>
      </c>
      <c r="AQ9" s="41">
        <v>46.022978999999999</v>
      </c>
      <c r="AR9" s="42">
        <v>4.4615036808255848E-2</v>
      </c>
      <c r="AS9" s="43">
        <v>0.12015729349462578</v>
      </c>
      <c r="AT9" s="41">
        <v>5.5299965951999965</v>
      </c>
      <c r="AU9" s="43">
        <v>-3.8592156322605695E-2</v>
      </c>
      <c r="AV9" s="41">
        <v>-1.7761259999999979</v>
      </c>
      <c r="AX9" s="40" t="s">
        <v>39</v>
      </c>
      <c r="AY9" s="41">
        <v>66.005799999999994</v>
      </c>
      <c r="AZ9" s="42">
        <v>6.0313158295969248E-2</v>
      </c>
      <c r="BA9" s="43">
        <v>0.35603887350051061</v>
      </c>
      <c r="BB9" s="43">
        <v>0.10497250340424635</v>
      </c>
      <c r="BC9" s="41">
        <v>6.9287940652000088</v>
      </c>
      <c r="BD9" s="43">
        <v>-1.2304873208111702E-2</v>
      </c>
      <c r="BE9" s="41">
        <v>-0.81219299999997929</v>
      </c>
      <c r="BF9" s="41">
        <f t="shared" si="0"/>
        <v>0.96393300000001858</v>
      </c>
      <c r="BG9" s="54">
        <f t="shared" si="1"/>
        <v>2.6287283114493992E-2</v>
      </c>
      <c r="BI9" s="40" t="s">
        <v>39</v>
      </c>
      <c r="BJ9" s="41">
        <v>66.009600999999989</v>
      </c>
      <c r="BK9" s="42">
        <v>5.5061082791388008E-2</v>
      </c>
      <c r="BL9" s="43">
        <v>0.35602771752551582</v>
      </c>
      <c r="BM9" s="43">
        <v>0.10497048959893007</v>
      </c>
      <c r="BN9" s="41">
        <v>6.9290601352000181</v>
      </c>
      <c r="BO9" s="43">
        <v>-2.4279028743106196E-2</v>
      </c>
      <c r="BP9" s="41">
        <v>-1.6026489999999711</v>
      </c>
      <c r="BQ9" s="41">
        <f t="shared" si="2"/>
        <v>-0.79045599999999183</v>
      </c>
      <c r="BR9" s="54">
        <f t="shared" si="3"/>
        <v>-1.1974155534994493E-2</v>
      </c>
      <c r="BT9" s="40" t="s">
        <v>39</v>
      </c>
      <c r="BU9" s="41">
        <v>66.009600999999989</v>
      </c>
      <c r="BV9" s="42">
        <v>5.5061082791388022E-2</v>
      </c>
      <c r="BW9" s="43">
        <v>0.35602771752551582</v>
      </c>
      <c r="BX9" s="43">
        <v>0.10497048959893007</v>
      </c>
      <c r="BY9" s="41">
        <v>6.9290601352000181</v>
      </c>
      <c r="BZ9" s="43">
        <v>-3.102580486738566E-2</v>
      </c>
      <c r="CA9" s="41">
        <v>-2.0480009999999851</v>
      </c>
      <c r="CB9" s="41">
        <f t="shared" si="4"/>
        <v>-0.44535200000001396</v>
      </c>
      <c r="CC9" s="54">
        <f t="shared" si="5"/>
        <v>-6.7467761242794647E-3</v>
      </c>
      <c r="CE9" s="40" t="s">
        <v>39</v>
      </c>
      <c r="CF9" s="41">
        <v>66.009600999999989</v>
      </c>
      <c r="CG9" s="42">
        <v>5.5120790188500815E-2</v>
      </c>
      <c r="CH9" s="43">
        <v>0.35602771752551582</v>
      </c>
      <c r="CI9" s="43">
        <v>0.10497048959893007</v>
      </c>
      <c r="CJ9" s="41">
        <v>6.9290601352000181</v>
      </c>
      <c r="CK9" s="43">
        <v>-8.447478723587476E-2</v>
      </c>
      <c r="CL9" s="41">
        <v>-5.5761469999999846</v>
      </c>
      <c r="CM9" s="41">
        <f t="shared" si="6"/>
        <v>-3.5281459999999996</v>
      </c>
      <c r="CN9" s="54">
        <f t="shared" si="7"/>
        <v>-5.3448982368489099E-2</v>
      </c>
      <c r="CP9" s="40" t="s">
        <v>39</v>
      </c>
      <c r="CQ9" s="41">
        <v>66.009600999999989</v>
      </c>
      <c r="CR9" s="42">
        <v>5.3730905201061364E-2</v>
      </c>
      <c r="CS9" s="43">
        <v>0.35602771752551582</v>
      </c>
      <c r="CT9" s="43">
        <v>0.10497048959893007</v>
      </c>
      <c r="CU9" s="41">
        <v>6.9290601352000181</v>
      </c>
      <c r="CV9" s="43">
        <v>-6.0642708626582734E-2</v>
      </c>
      <c r="CW9" s="41">
        <v>-4.0030009999999834</v>
      </c>
      <c r="CX9" s="41">
        <f t="shared" si="8"/>
        <v>1.5731460000000013</v>
      </c>
      <c r="CY9" s="54">
        <f t="shared" si="9"/>
        <v>2.3832078609292026E-2</v>
      </c>
      <c r="DA9" s="61" t="s">
        <v>39</v>
      </c>
      <c r="DB9" s="62">
        <v>66.009600999999989</v>
      </c>
      <c r="DC9" s="63">
        <v>4.3298939240681254E-2</v>
      </c>
      <c r="DD9" s="64">
        <v>0.35602771752551582</v>
      </c>
      <c r="DE9" s="64">
        <v>0.10497048959893007</v>
      </c>
      <c r="DF9" s="62">
        <v>6.9290601352000181</v>
      </c>
      <c r="DG9" s="64">
        <v>-5.5669568431416197E-2</v>
      </c>
      <c r="DH9" s="62">
        <v>-3.6747259999999784</v>
      </c>
      <c r="DI9" s="41">
        <f t="shared" si="10"/>
        <v>0.32827500000000498</v>
      </c>
      <c r="DJ9" s="54">
        <f t="shared" si="11"/>
        <v>4.9731401951665366E-3</v>
      </c>
    </row>
    <row r="10" spans="1:114" x14ac:dyDescent="0.25">
      <c r="A10" s="71" t="s">
        <v>90</v>
      </c>
      <c r="B10" s="12">
        <v>30.989363999999998</v>
      </c>
      <c r="C10" s="22">
        <v>9.4806284315344033E-2</v>
      </c>
      <c r="D10" s="29">
        <v>0.2</v>
      </c>
      <c r="E10" s="29">
        <v>0.10000000000000009</v>
      </c>
      <c r="F10" s="12">
        <v>3.098936400000003</v>
      </c>
      <c r="G10" s="29">
        <v>0.1017978620019438</v>
      </c>
      <c r="H10" s="12">
        <v>3.1546510000000048</v>
      </c>
      <c r="I10" s="12"/>
      <c r="J10" s="12"/>
      <c r="K10" s="21" t="s">
        <v>96</v>
      </c>
      <c r="L10" s="12">
        <v>3.8291999999999999E-17</v>
      </c>
      <c r="M10" s="22">
        <v>6.1143997095950747E-20</v>
      </c>
      <c r="N10" s="29">
        <v>0.19999999999999996</v>
      </c>
      <c r="O10" s="12">
        <v>7.6584000000000023E-18</v>
      </c>
      <c r="P10" s="12"/>
      <c r="R10" s="12">
        <v>3.8291999999999999E-17</v>
      </c>
      <c r="S10" s="22">
        <v>5.0276732565884192E-20</v>
      </c>
      <c r="U10" s="21" t="s">
        <v>96</v>
      </c>
      <c r="V10" s="12">
        <v>3.8291999999999999E-17</v>
      </c>
      <c r="W10" s="22">
        <v>5.4351537114966676E-20</v>
      </c>
      <c r="X10" s="29">
        <v>0.19999999999999996</v>
      </c>
      <c r="Y10" s="12">
        <v>7.6584000000000023E-18</v>
      </c>
      <c r="Z10" s="12"/>
      <c r="AB10" s="40" t="s">
        <v>96</v>
      </c>
      <c r="AC10" s="41">
        <v>9.99925</v>
      </c>
      <c r="AD10" s="42">
        <v>1.0599421049907156E-2</v>
      </c>
      <c r="AE10" s="43">
        <v>0.19999999999999996</v>
      </c>
      <c r="AF10" s="41">
        <v>1.9998499999999986</v>
      </c>
      <c r="AG10" s="12"/>
      <c r="AI10" s="40" t="s">
        <v>96</v>
      </c>
      <c r="AJ10" s="41">
        <v>9.99925</v>
      </c>
      <c r="AK10" s="42">
        <v>9.8209938729490499E-3</v>
      </c>
      <c r="AL10" s="43">
        <v>0.19999999999999996</v>
      </c>
      <c r="AM10" s="41">
        <v>1.9998499999999986</v>
      </c>
      <c r="AN10" s="12"/>
      <c r="AP10" s="40" t="s">
        <v>96</v>
      </c>
      <c r="AQ10" s="41">
        <v>9.99925</v>
      </c>
      <c r="AR10" s="42">
        <v>9.6933513757323769E-3</v>
      </c>
      <c r="AS10" s="43">
        <v>0.19999999999999996</v>
      </c>
      <c r="AT10" s="41">
        <v>1.9998499999999986</v>
      </c>
      <c r="AU10" s="43">
        <v>-4.4853364002300271E-2</v>
      </c>
      <c r="AV10" s="41">
        <v>-0.44850000000000101</v>
      </c>
      <c r="AX10" s="40" t="s">
        <v>96</v>
      </c>
      <c r="AY10" s="41">
        <v>9.99925</v>
      </c>
      <c r="AZ10" s="42">
        <v>9.1368690037992202E-3</v>
      </c>
      <c r="BA10" s="43">
        <v>0.2</v>
      </c>
      <c r="BB10" s="43">
        <v>0.19999999999999996</v>
      </c>
      <c r="BC10" s="41">
        <v>1.9998499999999986</v>
      </c>
      <c r="BD10" s="43">
        <v>1.2650948821161415E-2</v>
      </c>
      <c r="BE10" s="41">
        <v>0.12649999999999828</v>
      </c>
      <c r="BF10" s="41">
        <f t="shared" si="0"/>
        <v>0.57499999999999929</v>
      </c>
      <c r="BG10" s="54">
        <f t="shared" si="1"/>
        <v>5.750431282346169E-2</v>
      </c>
      <c r="BI10" s="40" t="s">
        <v>96</v>
      </c>
      <c r="BJ10" s="41">
        <v>9.99925</v>
      </c>
      <c r="BK10" s="42">
        <v>8.3407492813323721E-3</v>
      </c>
      <c r="BL10" s="43">
        <v>0.2</v>
      </c>
      <c r="BM10" s="43">
        <v>0.19999999999999996</v>
      </c>
      <c r="BN10" s="41">
        <v>1.9998499999999986</v>
      </c>
      <c r="BO10" s="43">
        <v>2.1851638872915351E-2</v>
      </c>
      <c r="BP10" s="41">
        <v>0.21849999999999881</v>
      </c>
      <c r="BQ10" s="41">
        <f t="shared" si="2"/>
        <v>9.2000000000000526E-2</v>
      </c>
      <c r="BR10" s="54">
        <f t="shared" si="3"/>
        <v>9.2006900517539354E-3</v>
      </c>
      <c r="BT10" s="40" t="s">
        <v>96</v>
      </c>
      <c r="BU10" s="41">
        <v>9.99925</v>
      </c>
      <c r="BV10" s="42">
        <v>8.3407492813323738E-3</v>
      </c>
      <c r="BW10" s="43">
        <v>0.2</v>
      </c>
      <c r="BX10" s="43">
        <v>0.19999999999999996</v>
      </c>
      <c r="BY10" s="41">
        <v>1.9998499999999986</v>
      </c>
      <c r="BZ10" s="43">
        <v>-7.418056354226564E-2</v>
      </c>
      <c r="CA10" s="41">
        <v>-0.74174999999999969</v>
      </c>
      <c r="CB10" s="41">
        <f t="shared" si="4"/>
        <v>-0.96024999999999849</v>
      </c>
      <c r="CC10" s="54">
        <f t="shared" si="5"/>
        <v>-9.6032202415180984E-2</v>
      </c>
      <c r="CE10" s="40" t="s">
        <v>96</v>
      </c>
      <c r="CF10" s="41">
        <v>9.99925</v>
      </c>
      <c r="CG10" s="42">
        <v>8.3497938624468721E-3</v>
      </c>
      <c r="CH10" s="43">
        <v>0.2</v>
      </c>
      <c r="CI10" s="43">
        <v>0.19999999999999996</v>
      </c>
      <c r="CJ10" s="41">
        <v>1.9998499999999986</v>
      </c>
      <c r="CK10" s="43">
        <v>-7.418056354226564E-2</v>
      </c>
      <c r="CL10" s="41">
        <v>-0.74174999999999969</v>
      </c>
      <c r="CM10" s="41">
        <f t="shared" si="6"/>
        <v>0</v>
      </c>
      <c r="CN10" s="54">
        <f t="shared" si="7"/>
        <v>0</v>
      </c>
      <c r="CP10" s="40" t="s">
        <v>96</v>
      </c>
      <c r="CQ10" s="41">
        <v>9.99925</v>
      </c>
      <c r="CR10" s="42">
        <v>8.1392516496458286E-3</v>
      </c>
      <c r="CS10" s="43">
        <v>0.2</v>
      </c>
      <c r="CT10" s="43">
        <v>0.19999999999999996</v>
      </c>
      <c r="CU10" s="41">
        <v>1.9998499999999986</v>
      </c>
      <c r="CV10" s="43">
        <v>-8.9131684876365844E-2</v>
      </c>
      <c r="CW10" s="41">
        <v>-0.89125000000000121</v>
      </c>
      <c r="CX10" s="41">
        <f t="shared" si="8"/>
        <v>-0.14950000000000152</v>
      </c>
      <c r="CY10" s="54">
        <f t="shared" si="9"/>
        <v>-1.4951121334100204E-2</v>
      </c>
      <c r="DA10" s="61" t="s">
        <v>96</v>
      </c>
      <c r="DB10" s="62">
        <v>9.99925</v>
      </c>
      <c r="DC10" s="63">
        <v>6.5589991704749443E-3</v>
      </c>
      <c r="DD10" s="64">
        <v>0.2</v>
      </c>
      <c r="DE10" s="64">
        <v>0.19999999999999996</v>
      </c>
      <c r="DF10" s="62">
        <v>1.9998499999999986</v>
      </c>
      <c r="DG10" s="64">
        <v>-0.23361127084531341</v>
      </c>
      <c r="DH10" s="62">
        <v>-2.3359375</v>
      </c>
      <c r="DI10" s="41">
        <f t="shared" si="10"/>
        <v>-1.4446874999999988</v>
      </c>
      <c r="DJ10" s="54">
        <f t="shared" si="11"/>
        <v>-0.14447958596894755</v>
      </c>
    </row>
    <row r="11" spans="1:114" x14ac:dyDescent="0.25">
      <c r="A11" s="71" t="s">
        <v>31</v>
      </c>
      <c r="B11" s="12">
        <v>1.1357999999999999E-17</v>
      </c>
      <c r="C11" s="22">
        <v>3.4747721097266708E-20</v>
      </c>
      <c r="D11" s="29">
        <v>0.17389999999999997</v>
      </c>
      <c r="E11" s="29">
        <v>6.6649057932735012E-2</v>
      </c>
      <c r="F11" s="12">
        <v>7.5700000000000298E-19</v>
      </c>
      <c r="G11" s="29">
        <v>4.7103363268181077E-2</v>
      </c>
      <c r="H11" s="12">
        <v>5.3500000000000062E-19</v>
      </c>
      <c r="I11" s="12"/>
      <c r="J11" s="12"/>
      <c r="K11" s="21" t="s">
        <v>87</v>
      </c>
      <c r="L11" s="12">
        <v>1.3353E-17</v>
      </c>
      <c r="M11" s="22">
        <v>2.1321837282519334E-20</v>
      </c>
      <c r="N11" s="29">
        <v>7.0000000000000062E-2</v>
      </c>
      <c r="O11" s="12">
        <v>9.3470999999999986E-19</v>
      </c>
      <c r="P11" s="12"/>
      <c r="R11" s="12">
        <v>1.3353E-17</v>
      </c>
      <c r="S11" s="22">
        <v>1.7532257650481865E-20</v>
      </c>
      <c r="U11" s="21" t="s">
        <v>87</v>
      </c>
      <c r="V11" s="12">
        <v>1.3353E-17</v>
      </c>
      <c r="W11" s="22">
        <v>1.8953203674296199E-20</v>
      </c>
      <c r="X11" s="29">
        <v>7.0000000000000062E-2</v>
      </c>
      <c r="Y11" s="12">
        <v>9.3470999999999986E-19</v>
      </c>
      <c r="Z11" s="12"/>
      <c r="AB11" s="40" t="s">
        <v>74</v>
      </c>
      <c r="AC11" s="41">
        <v>2.9170551999999998E-16</v>
      </c>
      <c r="AD11" s="42">
        <v>3.0921415396775884E-19</v>
      </c>
      <c r="AE11" s="43">
        <v>9.799364235548258E-2</v>
      </c>
      <c r="AF11" s="41">
        <v>2.8585286400000075E-17</v>
      </c>
      <c r="AG11" s="12"/>
      <c r="AI11" s="40" t="s">
        <v>74</v>
      </c>
      <c r="AJ11" s="41">
        <v>2.9170551999999998E-16</v>
      </c>
      <c r="AK11" s="42">
        <v>2.8650530036006862E-19</v>
      </c>
      <c r="AL11" s="43">
        <v>9.799364235548258E-2</v>
      </c>
      <c r="AM11" s="41">
        <v>2.8585286400000075E-17</v>
      </c>
      <c r="AN11" s="12"/>
      <c r="AP11" s="40" t="s">
        <v>74</v>
      </c>
      <c r="AQ11" s="41">
        <v>2.9136552000000001E-16</v>
      </c>
      <c r="AR11" s="42">
        <v>2.8245202031482155E-19</v>
      </c>
      <c r="AS11" s="43">
        <v>9.9274912144717842E-2</v>
      </c>
      <c r="AT11" s="41">
        <v>2.8925286400000047E-17</v>
      </c>
      <c r="AU11" s="43">
        <v>-0.94049398844448029</v>
      </c>
      <c r="AV11" s="41">
        <v>-2.7402751999999999E-16</v>
      </c>
      <c r="AX11" s="40" t="s">
        <v>74</v>
      </c>
      <c r="AY11" s="41">
        <v>2.9136552000000001E-16</v>
      </c>
      <c r="AZ11" s="42">
        <v>2.6623682660837979E-19</v>
      </c>
      <c r="BA11" s="43">
        <v>0.48159901967810059</v>
      </c>
      <c r="BB11" s="43">
        <v>9.9274912144717842E-2</v>
      </c>
      <c r="BC11" s="41">
        <v>2.8925286400000047E-17</v>
      </c>
      <c r="BD11" s="43">
        <v>-0.94150045619673872</v>
      </c>
      <c r="BE11" s="41">
        <v>-2.7432077E-16</v>
      </c>
      <c r="BF11" s="41">
        <f t="shared" si="0"/>
        <v>-2.9325000000000728E-19</v>
      </c>
      <c r="BG11" s="54">
        <f t="shared" si="1"/>
        <v>-1.0064677522584331E-3</v>
      </c>
      <c r="BI11" s="40" t="s">
        <v>74</v>
      </c>
      <c r="BJ11" s="41">
        <v>2.9136552000000001E-16</v>
      </c>
      <c r="BK11" s="42">
        <v>2.430389030722337E-19</v>
      </c>
      <c r="BL11" s="43">
        <v>0.48159901967810059</v>
      </c>
      <c r="BM11" s="43">
        <v>9.9274912144717842E-2</v>
      </c>
      <c r="BN11" s="41">
        <v>2.8925286400000047E-17</v>
      </c>
      <c r="BO11" s="43">
        <v>-0.94102184774643205</v>
      </c>
      <c r="BP11" s="41">
        <v>-2.7418132000000001E-16</v>
      </c>
      <c r="BQ11" s="41">
        <f t="shared" si="2"/>
        <v>1.3944999999998888E-19</v>
      </c>
      <c r="BR11" s="54">
        <f t="shared" si="3"/>
        <v>4.7860845030667232E-4</v>
      </c>
      <c r="BT11" s="40" t="s">
        <v>74</v>
      </c>
      <c r="BU11" s="41">
        <v>2.9136552000000001E-16</v>
      </c>
      <c r="BV11" s="42">
        <v>2.4303890307223375E-19</v>
      </c>
      <c r="BW11" s="43">
        <v>0.48159901967810059</v>
      </c>
      <c r="BX11" s="43">
        <v>9.9274912144717842E-2</v>
      </c>
      <c r="BY11" s="41">
        <v>2.8925286400000047E-17</v>
      </c>
      <c r="BZ11" s="43">
        <v>-0.94205463982148607</v>
      </c>
      <c r="CA11" s="41">
        <v>-2.7448224000000002E-16</v>
      </c>
      <c r="CB11" s="41">
        <f t="shared" si="4"/>
        <v>-3.0092000000000687E-19</v>
      </c>
      <c r="CC11" s="54">
        <f t="shared" si="5"/>
        <v>-1.0327920750540232E-3</v>
      </c>
      <c r="CE11" s="40" t="s">
        <v>74</v>
      </c>
      <c r="CF11" s="41">
        <v>2.9136552000000001E-16</v>
      </c>
      <c r="CG11" s="42">
        <v>2.4330245074627008E-19</v>
      </c>
      <c r="CH11" s="43">
        <v>0.48159901967810059</v>
      </c>
      <c r="CI11" s="43">
        <v>9.9274912144717842E-2</v>
      </c>
      <c r="CJ11" s="41">
        <v>2.8925286400000047E-17</v>
      </c>
      <c r="CK11" s="43">
        <v>0</v>
      </c>
      <c r="CL11" s="41">
        <v>0</v>
      </c>
      <c r="CM11" s="41">
        <f t="shared" si="6"/>
        <v>2.7448224000000002E-16</v>
      </c>
      <c r="CN11" s="54">
        <f t="shared" si="7"/>
        <v>0.94205463982148607</v>
      </c>
      <c r="CP11" s="40" t="s">
        <v>74</v>
      </c>
      <c r="CQ11" s="41">
        <v>2.9136552000000001E-16</v>
      </c>
      <c r="CR11" s="42">
        <v>2.3716751649472856E-19</v>
      </c>
      <c r="CS11" s="43">
        <v>0.48159901967810059</v>
      </c>
      <c r="CT11" s="43">
        <v>9.9274912144717842E-2</v>
      </c>
      <c r="CU11" s="41">
        <v>2.8925286400000047E-17</v>
      </c>
      <c r="CV11" s="43">
        <v>0</v>
      </c>
      <c r="CW11" s="41">
        <v>0</v>
      </c>
      <c r="CX11" s="41">
        <f t="shared" si="8"/>
        <v>0</v>
      </c>
      <c r="CY11" s="54">
        <f t="shared" si="9"/>
        <v>0</v>
      </c>
      <c r="DA11" s="61" t="s">
        <v>74</v>
      </c>
      <c r="DB11" s="62">
        <v>2.9136552000000001E-16</v>
      </c>
      <c r="DC11" s="63">
        <v>1.9112095447008535E-19</v>
      </c>
      <c r="DD11" s="64">
        <v>0.48159901967810059</v>
      </c>
      <c r="DE11" s="64">
        <v>9.9274912144717842E-2</v>
      </c>
      <c r="DF11" s="62">
        <v>2.8925286400000047E-17</v>
      </c>
      <c r="DG11" s="64">
        <v>0</v>
      </c>
      <c r="DH11" s="62">
        <v>0</v>
      </c>
      <c r="DI11" s="41">
        <f t="shared" si="10"/>
        <v>0</v>
      </c>
      <c r="DJ11" s="54">
        <f t="shared" si="11"/>
        <v>0</v>
      </c>
    </row>
    <row r="12" spans="1:114" x14ac:dyDescent="0.25">
      <c r="A12" s="71" t="s">
        <v>93</v>
      </c>
      <c r="B12" s="12">
        <v>2.663E-18</v>
      </c>
      <c r="C12" s="22">
        <v>8.1469608453971864E-21</v>
      </c>
      <c r="D12" s="29">
        <v>0.2</v>
      </c>
      <c r="E12" s="29">
        <v>0.10000000000000009</v>
      </c>
      <c r="F12" s="12">
        <v>2.6630000000000027E-19</v>
      </c>
      <c r="G12" s="29">
        <v>0</v>
      </c>
      <c r="H12" s="12">
        <v>0</v>
      </c>
      <c r="I12" s="12"/>
      <c r="J12" s="12"/>
      <c r="K12" s="21" t="s">
        <v>71</v>
      </c>
      <c r="L12" s="12">
        <v>5.5999999999999995E-18</v>
      </c>
      <c r="M12" s="22">
        <v>8.9419822348616982E-21</v>
      </c>
      <c r="N12" s="29">
        <v>7.0000000000000062E-2</v>
      </c>
      <c r="O12" s="12">
        <v>3.9200000000000069E-19</v>
      </c>
      <c r="P12" s="12"/>
      <c r="R12" s="12">
        <v>5.5999999999999995E-18</v>
      </c>
      <c r="S12" s="22">
        <v>7.3527029763123223E-21</v>
      </c>
      <c r="U12" s="21" t="s">
        <v>71</v>
      </c>
      <c r="V12" s="12">
        <v>5.5999999999999995E-18</v>
      </c>
      <c r="W12" s="22">
        <v>7.9486213267474501E-21</v>
      </c>
      <c r="X12" s="29">
        <v>7.0000000000000062E-2</v>
      </c>
      <c r="Y12" s="12">
        <v>3.9200000000000069E-19</v>
      </c>
      <c r="Z12" s="12"/>
      <c r="AB12" s="40" t="s">
        <v>87</v>
      </c>
      <c r="AC12" s="41">
        <v>1.3353E-17</v>
      </c>
      <c r="AD12" s="42">
        <v>1.4154468513079507E-20</v>
      </c>
      <c r="AE12" s="43">
        <v>7.0000000000000062E-2</v>
      </c>
      <c r="AF12" s="41">
        <v>9.3470999999999986E-19</v>
      </c>
      <c r="AG12" s="12"/>
      <c r="AI12" s="40" t="s">
        <v>87</v>
      </c>
      <c r="AJ12" s="41">
        <v>1.3353E-17</v>
      </c>
      <c r="AK12" s="42">
        <v>1.3114956740304389E-20</v>
      </c>
      <c r="AL12" s="43">
        <v>7.0000000000000062E-2</v>
      </c>
      <c r="AM12" s="41">
        <v>9.3470999999999986E-19</v>
      </c>
      <c r="AN12" s="12"/>
      <c r="AP12" s="40" t="s">
        <v>87</v>
      </c>
      <c r="AQ12" s="41">
        <v>1.3353E-17</v>
      </c>
      <c r="AR12" s="42">
        <v>1.2944502929735173E-20</v>
      </c>
      <c r="AS12" s="43">
        <v>7.0000000000000062E-2</v>
      </c>
      <c r="AT12" s="41">
        <v>9.3470999999999986E-19</v>
      </c>
      <c r="AU12" s="43">
        <v>0.11300831273871043</v>
      </c>
      <c r="AV12" s="41">
        <v>1.5090000000000002E-18</v>
      </c>
      <c r="AX12" s="40" t="s">
        <v>87</v>
      </c>
      <c r="AY12" s="41">
        <v>1.3353E-17</v>
      </c>
      <c r="AZ12" s="42">
        <v>1.2201376283994398E-20</v>
      </c>
      <c r="BA12" s="43">
        <v>0.2</v>
      </c>
      <c r="BB12" s="43">
        <v>7.0000000000000062E-2</v>
      </c>
      <c r="BC12" s="41">
        <v>9.3470999999999986E-19</v>
      </c>
      <c r="BD12" s="43">
        <v>8.5748520931625716E-2</v>
      </c>
      <c r="BE12" s="41">
        <v>1.1449999999999981E-18</v>
      </c>
      <c r="BF12" s="41">
        <f t="shared" si="0"/>
        <v>-3.6400000000000207E-19</v>
      </c>
      <c r="BG12" s="54">
        <f t="shared" si="1"/>
        <v>-2.725979180708471E-2</v>
      </c>
      <c r="BI12" s="40" t="s">
        <v>87</v>
      </c>
      <c r="BJ12" s="41">
        <v>1.3353E-17</v>
      </c>
      <c r="BK12" s="42">
        <v>1.1138237883204356E-20</v>
      </c>
      <c r="BL12" s="43">
        <v>0.2</v>
      </c>
      <c r="BM12" s="43">
        <v>7.0000000000000062E-2</v>
      </c>
      <c r="BN12" s="41">
        <v>9.3470999999999986E-19</v>
      </c>
      <c r="BO12" s="43">
        <v>0.16168651239421847</v>
      </c>
      <c r="BP12" s="41">
        <v>2.1589999999999991E-18</v>
      </c>
      <c r="BQ12" s="41">
        <f t="shared" si="2"/>
        <v>1.0140000000000009E-18</v>
      </c>
      <c r="BR12" s="54">
        <f t="shared" si="3"/>
        <v>7.5937991462592752E-2</v>
      </c>
      <c r="BT12" s="40" t="s">
        <v>87</v>
      </c>
      <c r="BU12" s="41">
        <v>1.3353E-17</v>
      </c>
      <c r="BV12" s="42">
        <v>1.1138237883204359E-20</v>
      </c>
      <c r="BW12" s="43">
        <v>0.2</v>
      </c>
      <c r="BX12" s="43">
        <v>7.0000000000000062E-2</v>
      </c>
      <c r="BY12" s="41">
        <v>9.3470999999999986E-19</v>
      </c>
      <c r="BZ12" s="43">
        <v>9.5633939938590595E-2</v>
      </c>
      <c r="CA12" s="41">
        <v>1.2770000000000002E-18</v>
      </c>
      <c r="CB12" s="41">
        <f t="shared" si="4"/>
        <v>-8.8199999999999885E-19</v>
      </c>
      <c r="CC12" s="54">
        <f t="shared" si="5"/>
        <v>-6.6052572455627873E-2</v>
      </c>
      <c r="CE12" s="40" t="s">
        <v>87</v>
      </c>
      <c r="CF12" s="41">
        <v>1.3353E-17</v>
      </c>
      <c r="CG12" s="42">
        <v>1.1150316018226674E-20</v>
      </c>
      <c r="CH12" s="43">
        <v>0.2</v>
      </c>
      <c r="CI12" s="43">
        <v>7.0000000000000062E-2</v>
      </c>
      <c r="CJ12" s="41">
        <v>9.3470999999999986E-19</v>
      </c>
      <c r="CK12" s="43">
        <v>0</v>
      </c>
      <c r="CL12" s="41">
        <v>0</v>
      </c>
      <c r="CM12" s="41">
        <f t="shared" si="6"/>
        <v>-1.2770000000000002E-18</v>
      </c>
      <c r="CN12" s="54">
        <f t="shared" si="7"/>
        <v>-9.5633939938590595E-2</v>
      </c>
      <c r="CP12" s="40" t="s">
        <v>87</v>
      </c>
      <c r="CQ12" s="41">
        <v>1.3353E-17</v>
      </c>
      <c r="CR12" s="42">
        <v>1.0869157914615671E-20</v>
      </c>
      <c r="CS12" s="43">
        <v>0.2</v>
      </c>
      <c r="CT12" s="43">
        <v>7.0000000000000062E-2</v>
      </c>
      <c r="CU12" s="41">
        <v>9.3470999999999986E-19</v>
      </c>
      <c r="CV12" s="43">
        <v>0</v>
      </c>
      <c r="CW12" s="41">
        <v>0</v>
      </c>
      <c r="CX12" s="41">
        <f t="shared" si="8"/>
        <v>0</v>
      </c>
      <c r="CY12" s="54">
        <f t="shared" si="9"/>
        <v>0</v>
      </c>
      <c r="DA12" s="61" t="s">
        <v>87</v>
      </c>
      <c r="DB12" s="62">
        <v>1.3353E-17</v>
      </c>
      <c r="DC12" s="63">
        <v>8.7588885089733664E-21</v>
      </c>
      <c r="DD12" s="64">
        <v>0.2</v>
      </c>
      <c r="DE12" s="64">
        <v>7.0000000000000062E-2</v>
      </c>
      <c r="DF12" s="62">
        <v>9.3470999999999986E-19</v>
      </c>
      <c r="DG12" s="64">
        <v>0</v>
      </c>
      <c r="DH12" s="62">
        <v>0</v>
      </c>
      <c r="DI12" s="41">
        <f t="shared" si="10"/>
        <v>0</v>
      </c>
      <c r="DJ12" s="54">
        <f t="shared" si="11"/>
        <v>0</v>
      </c>
    </row>
    <row r="13" spans="1:114" x14ac:dyDescent="0.25">
      <c r="A13" s="71" t="s">
        <v>49</v>
      </c>
      <c r="B13" s="12">
        <v>2.0820000000000002E-18</v>
      </c>
      <c r="C13" s="22">
        <v>6.3694977394355783E-21</v>
      </c>
      <c r="D13" s="29">
        <v>0.7389</v>
      </c>
      <c r="E13" s="29">
        <v>4.9999999999999822E-2</v>
      </c>
      <c r="F13" s="12">
        <v>1.040999999999997E-19</v>
      </c>
      <c r="G13" s="29">
        <v>0</v>
      </c>
      <c r="H13" s="12">
        <v>0</v>
      </c>
      <c r="I13" s="12"/>
      <c r="J13" s="12"/>
      <c r="K13" s="31" t="s">
        <v>105</v>
      </c>
      <c r="L13" s="24">
        <v>626.25935200000004</v>
      </c>
      <c r="M13" s="25">
        <v>1</v>
      </c>
      <c r="N13" s="30">
        <v>0.16793250900243595</v>
      </c>
      <c r="O13" s="24">
        <v>105.16930426759973</v>
      </c>
      <c r="P13" s="24">
        <f>SUM(P4:P12)</f>
        <v>-2.6000000000000005</v>
      </c>
      <c r="R13" s="24">
        <v>761.62467300000003</v>
      </c>
      <c r="S13" s="25">
        <v>1</v>
      </c>
      <c r="U13" s="31" t="s">
        <v>105</v>
      </c>
      <c r="V13" s="24">
        <v>704.52469299999996</v>
      </c>
      <c r="W13" s="25">
        <v>1</v>
      </c>
      <c r="X13" s="30">
        <v>0.15413850318515387</v>
      </c>
      <c r="Y13" s="24">
        <v>108.59438163600009</v>
      </c>
      <c r="Z13" s="24">
        <f>SUM(Z4:Z12)</f>
        <v>10.31</v>
      </c>
      <c r="AB13" s="40" t="s">
        <v>71</v>
      </c>
      <c r="AC13" s="41">
        <v>5.5999999999999995E-18</v>
      </c>
      <c r="AD13" s="42">
        <v>5.9361209970227834E-21</v>
      </c>
      <c r="AE13" s="43">
        <v>7.0000000000000062E-2</v>
      </c>
      <c r="AF13" s="41">
        <v>3.9200000000000069E-19</v>
      </c>
      <c r="AI13" s="40" t="s">
        <v>71</v>
      </c>
      <c r="AJ13" s="41">
        <v>5.5999999999999995E-18</v>
      </c>
      <c r="AK13" s="42">
        <v>5.5001690815325816E-21</v>
      </c>
      <c r="AL13" s="43">
        <v>7.0000000000000062E-2</v>
      </c>
      <c r="AM13" s="41">
        <v>3.9200000000000069E-19</v>
      </c>
      <c r="AP13" s="40" t="s">
        <v>71</v>
      </c>
      <c r="AQ13" s="41">
        <v>5.5999999999999995E-18</v>
      </c>
      <c r="AR13" s="42">
        <v>5.4286839217042587E-21</v>
      </c>
      <c r="AS13" s="43">
        <v>7.0000000000000062E-2</v>
      </c>
      <c r="AT13" s="41">
        <v>3.9200000000000069E-19</v>
      </c>
      <c r="AU13" s="43">
        <v>0.19642857142857151</v>
      </c>
      <c r="AV13" s="41">
        <v>1.1000000000000003E-18</v>
      </c>
      <c r="AX13" s="40" t="s">
        <v>71</v>
      </c>
      <c r="AY13" s="41">
        <v>5.5999999999999995E-18</v>
      </c>
      <c r="AZ13" s="42">
        <v>5.1170304194090184E-21</v>
      </c>
      <c r="BA13" s="43">
        <v>0.19</v>
      </c>
      <c r="BB13" s="43">
        <v>7.0000000000000062E-2</v>
      </c>
      <c r="BC13" s="41">
        <v>3.9200000000000069E-19</v>
      </c>
      <c r="BD13" s="43">
        <v>0.19071428571428586</v>
      </c>
      <c r="BE13" s="41">
        <v>1.0680000000000008E-18</v>
      </c>
      <c r="BF13" s="41">
        <f t="shared" si="0"/>
        <v>-3.1999999999999522E-20</v>
      </c>
      <c r="BG13" s="54">
        <f t="shared" si="1"/>
        <v>-5.714285714285644E-3</v>
      </c>
      <c r="BI13" s="40" t="s">
        <v>71</v>
      </c>
      <c r="BJ13" s="41">
        <v>5.5999999999999995E-18</v>
      </c>
      <c r="BK13" s="42">
        <v>4.6711699352912745E-21</v>
      </c>
      <c r="BL13" s="43">
        <v>0.19</v>
      </c>
      <c r="BM13" s="43">
        <v>7.0000000000000062E-2</v>
      </c>
      <c r="BN13" s="41">
        <v>3.9200000000000069E-19</v>
      </c>
      <c r="BO13" s="43">
        <v>0.16285714285714306</v>
      </c>
      <c r="BP13" s="41">
        <v>9.12000000000001E-19</v>
      </c>
      <c r="BQ13" s="41">
        <f t="shared" si="2"/>
        <v>-1.5599999999999979E-19</v>
      </c>
      <c r="BR13" s="54">
        <f t="shared" si="3"/>
        <v>-2.7857142857142803E-2</v>
      </c>
      <c r="BT13" s="40" t="s">
        <v>71</v>
      </c>
      <c r="BU13" s="41">
        <v>5.5999999999999995E-18</v>
      </c>
      <c r="BV13" s="42">
        <v>4.6711699352912753E-21</v>
      </c>
      <c r="BW13" s="43">
        <v>0.19</v>
      </c>
      <c r="BX13" s="43">
        <v>7.0000000000000062E-2</v>
      </c>
      <c r="BY13" s="41">
        <v>3.9200000000000069E-19</v>
      </c>
      <c r="BZ13" s="43">
        <v>0.19339285714285723</v>
      </c>
      <c r="CA13" s="41">
        <v>1.0830000000000003E-18</v>
      </c>
      <c r="CB13" s="41">
        <f t="shared" si="4"/>
        <v>1.7099999999999932E-19</v>
      </c>
      <c r="CC13" s="54">
        <f t="shared" si="5"/>
        <v>3.0535714285714166E-2</v>
      </c>
      <c r="CE13" s="40" t="s">
        <v>71</v>
      </c>
      <c r="CF13" s="41">
        <v>5.5999999999999995E-18</v>
      </c>
      <c r="CG13" s="42">
        <v>4.6762352806162939E-21</v>
      </c>
      <c r="CH13" s="43">
        <v>0.19</v>
      </c>
      <c r="CI13" s="43">
        <v>7.0000000000000062E-2</v>
      </c>
      <c r="CJ13" s="41">
        <v>3.9200000000000069E-19</v>
      </c>
      <c r="CK13" s="43">
        <v>0</v>
      </c>
      <c r="CL13" s="41">
        <v>0</v>
      </c>
      <c r="CM13" s="41">
        <f t="shared" si="6"/>
        <v>-1.0830000000000003E-18</v>
      </c>
      <c r="CN13" s="54">
        <f t="shared" si="7"/>
        <v>-0.19339285714285723</v>
      </c>
      <c r="CP13" s="40" t="s">
        <v>71</v>
      </c>
      <c r="CQ13" s="41">
        <v>5.5999999999999995E-18</v>
      </c>
      <c r="CR13" s="42">
        <v>4.5583227980115143E-21</v>
      </c>
      <c r="CS13" s="43">
        <v>0.19</v>
      </c>
      <c r="CT13" s="43">
        <v>7.0000000000000062E-2</v>
      </c>
      <c r="CU13" s="41">
        <v>3.9200000000000069E-19</v>
      </c>
      <c r="CV13" s="43">
        <v>0</v>
      </c>
      <c r="CW13" s="41">
        <v>0</v>
      </c>
      <c r="CX13" s="41">
        <f t="shared" si="8"/>
        <v>0</v>
      </c>
      <c r="CY13" s="54">
        <f t="shared" si="9"/>
        <v>0</v>
      </c>
      <c r="DA13" s="61" t="s">
        <v>71</v>
      </c>
      <c r="DB13" s="62">
        <v>5.5999999999999995E-18</v>
      </c>
      <c r="DC13" s="63">
        <v>3.6733150340935256E-21</v>
      </c>
      <c r="DD13" s="64">
        <v>0.19</v>
      </c>
      <c r="DE13" s="64">
        <v>7.0000000000000062E-2</v>
      </c>
      <c r="DF13" s="62">
        <v>3.9200000000000069E-19</v>
      </c>
      <c r="DG13" s="64">
        <v>0</v>
      </c>
      <c r="DH13" s="62">
        <v>0</v>
      </c>
      <c r="DI13" s="41">
        <f t="shared" si="10"/>
        <v>0</v>
      </c>
      <c r="DJ13" s="54">
        <f t="shared" si="11"/>
        <v>0</v>
      </c>
    </row>
    <row r="14" spans="1:114" x14ac:dyDescent="0.25">
      <c r="A14" s="71" t="s">
        <v>52</v>
      </c>
      <c r="B14" s="12">
        <v>1.304E-18</v>
      </c>
      <c r="C14" s="22">
        <v>3.989349208560996E-21</v>
      </c>
      <c r="D14" s="29">
        <v>0.30159999999999998</v>
      </c>
      <c r="E14" s="29">
        <v>5.2147239263803824E-2</v>
      </c>
      <c r="F14" s="12">
        <v>6.8000000000000139E-20</v>
      </c>
      <c r="G14" s="29">
        <v>0</v>
      </c>
      <c r="H14" s="12">
        <v>0</v>
      </c>
      <c r="I14" s="12"/>
      <c r="J14" s="12"/>
      <c r="AB14" s="31" t="s">
        <v>105</v>
      </c>
      <c r="AC14" s="24">
        <v>943.37699699999996</v>
      </c>
      <c r="AD14" s="25">
        <v>1</v>
      </c>
      <c r="AE14" s="30">
        <v>0.12661243322217675</v>
      </c>
      <c r="AF14" s="24">
        <v>119.4432570360002</v>
      </c>
      <c r="AG14" s="24">
        <f>SUM(AG4:AG13)</f>
        <v>0</v>
      </c>
      <c r="AI14" s="31" t="s">
        <v>105</v>
      </c>
      <c r="AJ14" s="24">
        <v>1018.1505181</v>
      </c>
      <c r="AK14" s="25">
        <v>1</v>
      </c>
      <c r="AL14" s="30">
        <v>0.13148810185612581</v>
      </c>
      <c r="AM14" s="24">
        <v>133.87467902879996</v>
      </c>
      <c r="AN14" s="24">
        <f>SUM(AN4:AN13)</f>
        <v>2.76</v>
      </c>
      <c r="AP14" s="31" t="s">
        <v>105</v>
      </c>
      <c r="AQ14" s="24">
        <v>1031.5575710000001</v>
      </c>
      <c r="AR14" s="25">
        <v>1</v>
      </c>
      <c r="AS14" s="30">
        <v>0.12744218841936039</v>
      </c>
      <c r="AT14" s="24">
        <v>131.46395432879967</v>
      </c>
      <c r="AU14" s="30">
        <v>3.2198677934961082E-3</v>
      </c>
      <c r="AV14" s="24">
        <v>3.3214789999999539</v>
      </c>
      <c r="AX14" s="31" t="s">
        <v>105</v>
      </c>
      <c r="AY14" s="24">
        <v>1094.3847390000001</v>
      </c>
      <c r="AZ14" s="25">
        <v>1</v>
      </c>
      <c r="BA14" s="30">
        <v>0.25538540801243753</v>
      </c>
      <c r="BB14" s="30">
        <v>0.13649339329721788</v>
      </c>
      <c r="BC14" s="24">
        <v>149.37628659880011</v>
      </c>
      <c r="BD14" s="30">
        <v>1.3107034015392944E-2</v>
      </c>
      <c r="BE14" s="24">
        <v>14.34413799999993</v>
      </c>
      <c r="BF14" s="24">
        <f t="shared" si="0"/>
        <v>11.022658999999976</v>
      </c>
      <c r="BG14" s="55">
        <f t="shared" si="1"/>
        <v>9.8871662218968353E-3</v>
      </c>
      <c r="BI14" s="31" t="s">
        <v>105</v>
      </c>
      <c r="BJ14" s="24">
        <v>1198.8431330000001</v>
      </c>
      <c r="BK14" s="25">
        <v>1</v>
      </c>
      <c r="BL14" s="30">
        <v>0.25757128388614631</v>
      </c>
      <c r="BM14" s="30">
        <v>0.14011956180492247</v>
      </c>
      <c r="BN14" s="24">
        <v>167.98137446880037</v>
      </c>
      <c r="BO14" s="30">
        <v>-1.4097343960012455E-2</v>
      </c>
      <c r="BP14" s="24">
        <v>-16.900503999999955</v>
      </c>
      <c r="BQ14" s="24">
        <f t="shared" si="2"/>
        <v>-31.244641999999885</v>
      </c>
      <c r="BR14" s="55">
        <f t="shared" si="3"/>
        <v>-2.7204377975405397E-2</v>
      </c>
      <c r="BT14" s="31" t="s">
        <v>105</v>
      </c>
      <c r="BU14" s="24">
        <v>1198.8431329999999</v>
      </c>
      <c r="BV14" s="25">
        <v>1</v>
      </c>
      <c r="BW14" s="30">
        <v>0.25757128388614625</v>
      </c>
      <c r="BX14" s="30">
        <v>0.14011956180492224</v>
      </c>
      <c r="BY14" s="24">
        <v>167.98137446880014</v>
      </c>
      <c r="BZ14" s="30">
        <v>-1.2327959007460955E-2</v>
      </c>
      <c r="CA14" s="24">
        <v>-14.779289000000063</v>
      </c>
      <c r="CB14" s="24">
        <f t="shared" si="4"/>
        <v>2.1212149999998928</v>
      </c>
      <c r="CC14" s="55">
        <f t="shared" si="5"/>
        <v>1.7693849525515001E-3</v>
      </c>
      <c r="CE14" s="31" t="s">
        <v>105</v>
      </c>
      <c r="CF14" s="24">
        <v>1197.5445340000001</v>
      </c>
      <c r="CG14" s="25">
        <v>1</v>
      </c>
      <c r="CH14" s="30">
        <v>0.27463843201375254</v>
      </c>
      <c r="CI14" s="30">
        <v>0.15408238460449608</v>
      </c>
      <c r="CJ14" s="24">
        <v>184.52051746880011</v>
      </c>
      <c r="CK14" s="30">
        <v>-3.6758928582776171E-2</v>
      </c>
      <c r="CL14" s="24">
        <v>-44.020453999999972</v>
      </c>
      <c r="CM14" s="24">
        <f t="shared" si="6"/>
        <v>-29.24116499999991</v>
      </c>
      <c r="CN14" s="55">
        <f t="shared" si="7"/>
        <v>-2.4430969575315216E-2</v>
      </c>
      <c r="CP14" s="31" t="s">
        <v>105</v>
      </c>
      <c r="CQ14" s="24">
        <v>1228.522035</v>
      </c>
      <c r="CR14" s="25">
        <v>1</v>
      </c>
      <c r="CS14" s="30">
        <v>0.27681230757525643</v>
      </c>
      <c r="CT14" s="30">
        <v>0.15800070079231432</v>
      </c>
      <c r="CU14" s="24">
        <v>194.1073424688002</v>
      </c>
      <c r="CV14" s="30">
        <v>-2.1490712618760684E-2</v>
      </c>
      <c r="CW14" s="24">
        <v>-26.401814000000059</v>
      </c>
      <c r="CX14" s="24">
        <f t="shared" si="8"/>
        <v>17.618639999999914</v>
      </c>
      <c r="CY14" s="55">
        <f t="shared" si="9"/>
        <v>1.5268215964015487E-2</v>
      </c>
      <c r="DA14" s="65" t="s">
        <v>105</v>
      </c>
      <c r="DB14" s="66">
        <v>1524.5085019999999</v>
      </c>
      <c r="DC14" s="67">
        <v>1</v>
      </c>
      <c r="DD14" s="68">
        <v>0.26923729609151098</v>
      </c>
      <c r="DE14" s="68">
        <v>0.14543342126287451</v>
      </c>
      <c r="DF14" s="66">
        <v>221.71448719019986</v>
      </c>
      <c r="DG14" s="68">
        <v>-6.1701728705741442E-2</v>
      </c>
      <c r="DH14" s="66">
        <v>-94.064810000000307</v>
      </c>
      <c r="DI14" s="24">
        <f t="shared" si="10"/>
        <v>-67.662996000000248</v>
      </c>
      <c r="DJ14" s="55">
        <f t="shared" si="11"/>
        <v>-4.0211016086980758E-2</v>
      </c>
    </row>
    <row r="15" spans="1:114" x14ac:dyDescent="0.25">
      <c r="A15" s="71" t="s">
        <v>45</v>
      </c>
      <c r="B15" s="12">
        <v>1.1050000000000001E-18</v>
      </c>
      <c r="C15" s="22">
        <v>3.3805451498925618E-21</v>
      </c>
      <c r="D15" s="29">
        <v>0.72170000000000001</v>
      </c>
      <c r="E15" s="29">
        <v>5.0000000000000044E-2</v>
      </c>
      <c r="F15" s="12">
        <v>5.5249999999999956E-20</v>
      </c>
      <c r="G15" s="29">
        <v>0</v>
      </c>
      <c r="H15" s="12">
        <v>0</v>
      </c>
    </row>
    <row r="16" spans="1:114" x14ac:dyDescent="0.25">
      <c r="A16" s="71" t="s">
        <v>51</v>
      </c>
      <c r="B16" s="12">
        <v>1.092E-18</v>
      </c>
      <c r="C16" s="22">
        <v>3.3407740304820611E-21</v>
      </c>
      <c r="D16" s="29">
        <v>1.8652</v>
      </c>
      <c r="E16" s="29">
        <v>1</v>
      </c>
      <c r="F16" s="12">
        <v>1.092E-18</v>
      </c>
      <c r="G16" s="29">
        <v>0</v>
      </c>
      <c r="H16" s="12">
        <v>0</v>
      </c>
    </row>
    <row r="17" spans="1:69" x14ac:dyDescent="0.25">
      <c r="A17" s="21" t="s">
        <v>38</v>
      </c>
      <c r="B17" s="12">
        <v>289.90281599999997</v>
      </c>
      <c r="C17" s="22">
        <v>0.19016149507836591</v>
      </c>
      <c r="D17" s="29">
        <v>0.18629770618302655</v>
      </c>
      <c r="E17" s="29">
        <v>0.12853694904709045</v>
      </c>
      <c r="F17" s="12">
        <v>37.263223488800008</v>
      </c>
      <c r="G17" s="29">
        <v>1.7194555295385678E-2</v>
      </c>
      <c r="H17" s="12">
        <v>4.9847500000000196</v>
      </c>
    </row>
    <row r="18" spans="1:69" x14ac:dyDescent="0.25">
      <c r="A18" s="21" t="s">
        <v>36</v>
      </c>
      <c r="B18" s="12">
        <v>280.56123500000001</v>
      </c>
      <c r="C18" s="22">
        <v>0.1840338933052405</v>
      </c>
      <c r="D18" s="29">
        <v>0.3172002082803777</v>
      </c>
      <c r="E18" s="29">
        <v>0.25314434440666789</v>
      </c>
      <c r="F18" s="12">
        <v>71.022489900000096</v>
      </c>
      <c r="G18" s="29">
        <v>-0.15732946499184056</v>
      </c>
      <c r="H18" s="12">
        <v>-44.14054900000005</v>
      </c>
    </row>
    <row r="19" spans="1:69" x14ac:dyDescent="0.25">
      <c r="A19" s="21" t="s">
        <v>37</v>
      </c>
      <c r="B19" s="12">
        <v>145.98324300000002</v>
      </c>
      <c r="C19" s="22">
        <v>9.575757879243367E-2</v>
      </c>
      <c r="D19" s="29">
        <v>0.34942833661463457</v>
      </c>
      <c r="E19" s="29">
        <v>0.10057388070355455</v>
      </c>
      <c r="F19" s="12">
        <v>14.682101266200021</v>
      </c>
      <c r="G19" s="29">
        <v>9.7285549410627038E-3</v>
      </c>
      <c r="H19" s="12">
        <v>1.4202060000000074</v>
      </c>
      <c r="BJ19" s="70">
        <v>45715</v>
      </c>
      <c r="BK19" s="70"/>
      <c r="BL19" s="70"/>
      <c r="BM19" s="70"/>
      <c r="BN19" s="70"/>
      <c r="BO19" s="70"/>
      <c r="BP19" s="70"/>
      <c r="BQ19" s="70"/>
    </row>
    <row r="20" spans="1:69" ht="16.5" customHeight="1" x14ac:dyDescent="0.25">
      <c r="A20" s="21" t="s">
        <v>39</v>
      </c>
      <c r="B20" s="12">
        <v>66.009600999999989</v>
      </c>
      <c r="C20" s="22">
        <v>4.3298939240681254E-2</v>
      </c>
      <c r="D20" s="29">
        <v>0.35602771752551582</v>
      </c>
      <c r="E20" s="29">
        <v>0.10497048959893007</v>
      </c>
      <c r="F20" s="12">
        <v>6.9290601352000181</v>
      </c>
      <c r="G20" s="29">
        <v>-9.2975899066561313E-2</v>
      </c>
      <c r="H20" s="12">
        <v>-6.137301999999984</v>
      </c>
      <c r="BI20" s="28" t="s">
        <v>104</v>
      </c>
      <c r="BJ20" s="23" t="s">
        <v>106</v>
      </c>
      <c r="BK20" s="23" t="s">
        <v>107</v>
      </c>
      <c r="BL20" s="45" t="s">
        <v>141</v>
      </c>
      <c r="BM20" s="45" t="s">
        <v>111</v>
      </c>
      <c r="BN20" s="45" t="s">
        <v>112</v>
      </c>
      <c r="BO20" s="45" t="s">
        <v>137</v>
      </c>
      <c r="BP20" s="45" t="s">
        <v>138</v>
      </c>
    </row>
    <row r="21" spans="1:69" x14ac:dyDescent="0.25">
      <c r="A21" s="21" t="s">
        <v>96</v>
      </c>
      <c r="B21" s="12">
        <v>9.99925</v>
      </c>
      <c r="C21" s="22">
        <v>6.5589991704749443E-3</v>
      </c>
      <c r="D21" s="29">
        <v>0.2</v>
      </c>
      <c r="E21" s="29">
        <v>0.19999999999999996</v>
      </c>
      <c r="F21" s="12">
        <v>1.9998499999999986</v>
      </c>
      <c r="G21" s="29">
        <v>-0.27372052903967797</v>
      </c>
      <c r="H21" s="12">
        <v>-2.7370000000000001</v>
      </c>
      <c r="BI21" s="40" t="s">
        <v>38</v>
      </c>
      <c r="BJ21" s="41">
        <v>283.12183800000003</v>
      </c>
      <c r="BK21" s="42">
        <v>0.25636242853460389</v>
      </c>
      <c r="BL21" s="43">
        <v>0.18558395637569999</v>
      </c>
      <c r="BM21" s="43">
        <v>0.12435576952421434</v>
      </c>
      <c r="BN21" s="41">
        <v>35.207834033599966</v>
      </c>
      <c r="BO21" s="43">
        <v>1.3355239661873061E-2</v>
      </c>
      <c r="BP21" s="41">
        <v>3.7811599999999999</v>
      </c>
    </row>
    <row r="22" spans="1:69" x14ac:dyDescent="0.25">
      <c r="A22" s="21" t="s">
        <v>74</v>
      </c>
      <c r="B22" s="12">
        <v>2.9136552000000001E-16</v>
      </c>
      <c r="C22" s="22">
        <v>1.9112095447008535E-19</v>
      </c>
      <c r="D22" s="29">
        <v>0.48159901967810059</v>
      </c>
      <c r="E22" s="29">
        <v>9.9274912144717842E-2</v>
      </c>
      <c r="F22" s="12">
        <v>2.8925286400000047E-17</v>
      </c>
      <c r="G22" s="29">
        <v>0</v>
      </c>
      <c r="H22" s="12">
        <v>0</v>
      </c>
      <c r="BI22" s="40" t="s">
        <v>40</v>
      </c>
      <c r="BJ22" s="41">
        <v>255.90804500000002</v>
      </c>
      <c r="BK22" s="42">
        <v>0.23172076149683196</v>
      </c>
      <c r="BL22" s="43">
        <v>0.34074598418271684</v>
      </c>
      <c r="BM22" s="43">
        <v>0.13014422582924268</v>
      </c>
      <c r="BN22" s="41">
        <v>33.304954399999986</v>
      </c>
      <c r="BO22" s="43">
        <v>-9.4427078289000349E-2</v>
      </c>
      <c r="BP22" s="41">
        <v>-24.164649000000026</v>
      </c>
    </row>
    <row r="23" spans="1:69" x14ac:dyDescent="0.25">
      <c r="A23" s="21" t="s">
        <v>87</v>
      </c>
      <c r="B23" s="12">
        <v>1.3353E-17</v>
      </c>
      <c r="C23" s="22">
        <v>8.7588885089733664E-21</v>
      </c>
      <c r="D23" s="29">
        <v>0.2</v>
      </c>
      <c r="E23" s="29">
        <v>7.0000000000000062E-2</v>
      </c>
      <c r="F23" s="12">
        <v>9.3470999999999986E-19</v>
      </c>
      <c r="G23" s="29">
        <v>0</v>
      </c>
      <c r="H23" s="12">
        <v>0</v>
      </c>
      <c r="BI23" s="40" t="s">
        <v>115</v>
      </c>
      <c r="BJ23" s="41">
        <v>218.852</v>
      </c>
      <c r="BK23" s="42">
        <v>0.19816708808472461</v>
      </c>
      <c r="BL23" s="43">
        <v>0.14808573830716651</v>
      </c>
      <c r="BM23" s="43">
        <v>6.1035677078573602E-2</v>
      </c>
      <c r="BN23" s="41">
        <v>13.357779999999991</v>
      </c>
      <c r="BO23" s="43">
        <v>-1.0491108146144391E-2</v>
      </c>
      <c r="BP23" s="41">
        <v>-2.2959999999999923</v>
      </c>
    </row>
    <row r="24" spans="1:69" x14ac:dyDescent="0.25">
      <c r="A24" s="21" t="s">
        <v>71</v>
      </c>
      <c r="B24" s="12">
        <v>5.5999999999999995E-18</v>
      </c>
      <c r="C24" s="22">
        <v>3.6733150340935256E-21</v>
      </c>
      <c r="D24" s="29">
        <v>0.19</v>
      </c>
      <c r="E24" s="29">
        <v>7.0000000000000062E-2</v>
      </c>
      <c r="F24" s="12">
        <v>3.9200000000000069E-19</v>
      </c>
      <c r="G24" s="29">
        <v>0</v>
      </c>
      <c r="H24" s="12">
        <v>0</v>
      </c>
      <c r="BI24" s="40" t="s">
        <v>36</v>
      </c>
      <c r="BJ24" s="41">
        <v>155.61477000000002</v>
      </c>
      <c r="BK24" s="42">
        <v>0.14090675814648329</v>
      </c>
      <c r="BL24" s="43">
        <v>0.28791727261236194</v>
      </c>
      <c r="BM24" s="43">
        <v>0.16617375651424315</v>
      </c>
      <c r="BN24" s="41">
        <v>25.859090899999956</v>
      </c>
      <c r="BO24" s="43">
        <v>-5.8240834080210038E-2</v>
      </c>
      <c r="BP24" s="41">
        <v>-9.0631340000000478</v>
      </c>
    </row>
    <row r="25" spans="1:69" x14ac:dyDescent="0.25">
      <c r="A25" s="21" t="s">
        <v>105</v>
      </c>
      <c r="B25" s="12">
        <v>1524.5085019999999</v>
      </c>
      <c r="C25" s="22">
        <v>1</v>
      </c>
      <c r="D25" s="29">
        <v>0.26923729609151098</v>
      </c>
      <c r="E25" s="29">
        <v>0.14543342126287451</v>
      </c>
      <c r="F25" s="12">
        <v>221.71448719019986</v>
      </c>
      <c r="G25" s="29">
        <v>-8.7249192658159572E-2</v>
      </c>
      <c r="H25" s="12">
        <v>-133.01213600000028</v>
      </c>
      <c r="BI25" s="40" t="s">
        <v>37</v>
      </c>
      <c r="BJ25" s="41">
        <v>114.87946399999998</v>
      </c>
      <c r="BK25" s="42">
        <v>0.1040215710234037</v>
      </c>
      <c r="BL25" s="43">
        <v>0.33977481277941901</v>
      </c>
      <c r="BM25" s="43">
        <v>0.29350438125303246</v>
      </c>
      <c r="BN25" s="41">
        <v>33.717626000000024</v>
      </c>
      <c r="BO25" s="43">
        <v>0.11658635524274395</v>
      </c>
      <c r="BP25" s="41">
        <v>13.393378000000013</v>
      </c>
    </row>
    <row r="26" spans="1:69" x14ac:dyDescent="0.25">
      <c r="BI26" s="40" t="s">
        <v>39</v>
      </c>
      <c r="BJ26" s="41">
        <v>66.005799999999994</v>
      </c>
      <c r="BK26" s="42">
        <v>5.9767227088181572E-2</v>
      </c>
      <c r="BL26" s="43">
        <v>0.35603887350051061</v>
      </c>
      <c r="BM26" s="43">
        <v>0.10497250340424635</v>
      </c>
      <c r="BN26" s="41">
        <v>6.9287940652000088</v>
      </c>
      <c r="BO26" s="43">
        <v>-2.091140475533947E-2</v>
      </c>
      <c r="BP26" s="41">
        <v>-1.3802739999999858</v>
      </c>
    </row>
    <row r="27" spans="1:69" x14ac:dyDescent="0.25">
      <c r="BI27" s="40" t="s">
        <v>96</v>
      </c>
      <c r="BJ27" s="41">
        <v>9.99925</v>
      </c>
      <c r="BK27" s="42">
        <v>9.054165625770761E-3</v>
      </c>
      <c r="BL27" s="43">
        <v>0.2</v>
      </c>
      <c r="BM27" s="43">
        <v>0.19999999999999996</v>
      </c>
      <c r="BN27" s="41">
        <v>1.9998499999999986</v>
      </c>
      <c r="BO27" s="43">
        <v>-1.696377228292139E-2</v>
      </c>
      <c r="BP27" s="41">
        <v>-0.16962500000000169</v>
      </c>
    </row>
    <row r="28" spans="1:69" x14ac:dyDescent="0.25">
      <c r="BI28" s="40" t="s">
        <v>74</v>
      </c>
      <c r="BJ28" s="41">
        <v>2.9136552000000001E-16</v>
      </c>
      <c r="BK28" s="42">
        <v>2.6382695459347681E-19</v>
      </c>
      <c r="BL28" s="43">
        <v>0.48159901967810059</v>
      </c>
      <c r="BM28" s="43">
        <v>9.9274912144717842E-2</v>
      </c>
      <c r="BN28" s="41">
        <v>2.8925286400000047E-17</v>
      </c>
      <c r="BO28" s="43">
        <v>-0.94159329491011845</v>
      </c>
      <c r="BP28" s="41">
        <v>-2.7434782000000001E-16</v>
      </c>
    </row>
    <row r="29" spans="1:69" x14ac:dyDescent="0.25">
      <c r="BI29" s="40" t="s">
        <v>87</v>
      </c>
      <c r="BJ29" s="41">
        <v>1.3353E-17</v>
      </c>
      <c r="BK29" s="42">
        <v>1.2090934180155208E-20</v>
      </c>
      <c r="BL29" s="43">
        <v>0.2</v>
      </c>
      <c r="BM29" s="43">
        <v>7.0000000000000062E-2</v>
      </c>
      <c r="BN29" s="41">
        <v>9.3470999999999986E-19</v>
      </c>
      <c r="BO29" s="43">
        <v>0.1040964577248558</v>
      </c>
      <c r="BP29" s="41">
        <v>1.3899999999999995E-18</v>
      </c>
    </row>
    <row r="30" spans="1:69" x14ac:dyDescent="0.25">
      <c r="BI30" s="40" t="s">
        <v>71</v>
      </c>
      <c r="BJ30" s="41">
        <v>5.5999999999999995E-18</v>
      </c>
      <c r="BK30" s="42">
        <v>5.0707130539106685E-21</v>
      </c>
      <c r="BL30" s="43">
        <v>0.19</v>
      </c>
      <c r="BM30" s="43">
        <v>7.0000000000000062E-2</v>
      </c>
      <c r="BN30" s="41">
        <v>3.9200000000000069E-19</v>
      </c>
      <c r="BO30" s="43">
        <v>0.18250000000000008</v>
      </c>
      <c r="BP30" s="41">
        <v>1.0220000000000004E-18</v>
      </c>
    </row>
    <row r="31" spans="1:69" x14ac:dyDescent="0.25">
      <c r="BI31" s="31" t="s">
        <v>105</v>
      </c>
      <c r="BJ31" s="24">
        <v>1104.3811670000002</v>
      </c>
      <c r="BK31" s="25">
        <v>1</v>
      </c>
      <c r="BL31" s="30">
        <v>0.25488408088011155</v>
      </c>
      <c r="BM31" s="30">
        <v>0.13616306932079381</v>
      </c>
      <c r="BN31" s="24">
        <v>150.37592939880028</v>
      </c>
      <c r="BO31" s="30">
        <v>-1.8018365936151651E-2</v>
      </c>
      <c r="BP31" s="24">
        <v>-19.899144000000206</v>
      </c>
    </row>
  </sheetData>
  <mergeCells count="25">
    <mergeCell ref="CQ1:CX1"/>
    <mergeCell ref="CQ2:CX2"/>
    <mergeCell ref="CF1:CM1"/>
    <mergeCell ref="CF2:CM2"/>
    <mergeCell ref="BJ19:BQ19"/>
    <mergeCell ref="BJ1:BQ1"/>
    <mergeCell ref="BJ2:BQ2"/>
    <mergeCell ref="BU1:CB1"/>
    <mergeCell ref="BU2:CB2"/>
    <mergeCell ref="DB1:DI1"/>
    <mergeCell ref="DB2:DI2"/>
    <mergeCell ref="L1:P1"/>
    <mergeCell ref="L2:P2"/>
    <mergeCell ref="R2:S2"/>
    <mergeCell ref="R1:S1"/>
    <mergeCell ref="V2:Z2"/>
    <mergeCell ref="V1:Z1"/>
    <mergeCell ref="AC1:AG1"/>
    <mergeCell ref="AC2:AG2"/>
    <mergeCell ref="AY2:BF2"/>
    <mergeCell ref="AY1:BF1"/>
    <mergeCell ref="AQ2:AV2"/>
    <mergeCell ref="AQ1:AV1"/>
    <mergeCell ref="AJ1:AN1"/>
    <mergeCell ref="AJ2:AN2"/>
  </mergeCells>
  <conditionalFormatting sqref="K4:K1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AAED5-399A-4A09-80B4-5D3B5201A6C2}">
  <dimension ref="A1"/>
  <sheetViews>
    <sheetView workbookViewId="0">
      <selection activeCell="B3" sqref="B3:H16"/>
    </sheetView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C5064-D029-4982-9C03-6BDB75C18181}">
  <dimension ref="B2:AO44"/>
  <sheetViews>
    <sheetView topLeftCell="AC1" zoomScaleNormal="100" workbookViewId="0">
      <selection activeCell="AQ1" sqref="AQ1:BA1048576"/>
    </sheetView>
  </sheetViews>
  <sheetFormatPr defaultRowHeight="15" x14ac:dyDescent="0.25"/>
  <cols>
    <col min="2" max="2" width="13.5703125" bestFit="1" customWidth="1"/>
    <col min="3" max="3" width="8.85546875" bestFit="1" customWidth="1"/>
    <col min="4" max="4" width="9.7109375" bestFit="1" customWidth="1"/>
    <col min="5" max="5" width="9.140625" bestFit="1" customWidth="1"/>
    <col min="7" max="7" width="9.140625" bestFit="1" customWidth="1"/>
    <col min="8" max="8" width="8.85546875" bestFit="1" customWidth="1"/>
    <col min="9" max="9" width="9.7109375" bestFit="1" customWidth="1"/>
    <col min="10" max="10" width="7.85546875" bestFit="1" customWidth="1"/>
    <col min="11" max="11" width="7.42578125" bestFit="1" customWidth="1"/>
    <col min="27" max="27" width="10.140625" bestFit="1" customWidth="1"/>
    <col min="29" max="29" width="9.140625" customWidth="1"/>
    <col min="33" max="33" width="10.140625" bestFit="1" customWidth="1"/>
    <col min="36" max="36" width="10.140625" bestFit="1" customWidth="1"/>
    <col min="41" max="41" width="10.140625" bestFit="1" customWidth="1"/>
  </cols>
  <sheetData>
    <row r="2" spans="2:41" x14ac:dyDescent="0.25">
      <c r="B2" t="s">
        <v>122</v>
      </c>
      <c r="C2" t="s">
        <v>123</v>
      </c>
      <c r="D2" t="s">
        <v>120</v>
      </c>
      <c r="E2" s="29">
        <v>8.8700000000000001E-2</v>
      </c>
      <c r="G2" t="s">
        <v>122</v>
      </c>
      <c r="H2" t="s">
        <v>123</v>
      </c>
      <c r="I2" t="s">
        <v>120</v>
      </c>
      <c r="J2" s="29">
        <v>0.24129999999999999</v>
      </c>
      <c r="M2" t="s">
        <v>122</v>
      </c>
      <c r="N2" t="s">
        <v>123</v>
      </c>
      <c r="O2" t="s">
        <v>120</v>
      </c>
      <c r="P2" s="29">
        <v>0.44950000000000001</v>
      </c>
      <c r="R2" t="s">
        <v>122</v>
      </c>
      <c r="S2" t="s">
        <v>123</v>
      </c>
      <c r="T2" t="s">
        <v>120</v>
      </c>
      <c r="U2" s="29">
        <v>0.54500000000000004</v>
      </c>
      <c r="X2" t="s">
        <v>122</v>
      </c>
      <c r="Y2" t="s">
        <v>123</v>
      </c>
      <c r="Z2" t="s">
        <v>120</v>
      </c>
      <c r="AA2" s="29">
        <v>8.6900000000000005E-2</v>
      </c>
      <c r="AD2" t="s">
        <v>122</v>
      </c>
      <c r="AE2" t="s">
        <v>123</v>
      </c>
      <c r="AF2" t="s">
        <v>120</v>
      </c>
      <c r="AG2" s="29">
        <v>0.1434</v>
      </c>
      <c r="AL2" t="s">
        <v>122</v>
      </c>
      <c r="AM2" t="s">
        <v>123</v>
      </c>
      <c r="AN2" t="s">
        <v>120</v>
      </c>
      <c r="AO2" s="29">
        <v>0.23449999999999999</v>
      </c>
    </row>
    <row r="3" spans="2:41" x14ac:dyDescent="0.25">
      <c r="B3" t="s">
        <v>122</v>
      </c>
      <c r="C3" t="s">
        <v>123</v>
      </c>
      <c r="D3" t="s">
        <v>124</v>
      </c>
      <c r="E3" s="29">
        <v>0.1077</v>
      </c>
      <c r="G3" t="s">
        <v>122</v>
      </c>
      <c r="H3" t="s">
        <v>123</v>
      </c>
      <c r="I3" t="s">
        <v>124</v>
      </c>
      <c r="J3" s="29">
        <v>0.30709999999999998</v>
      </c>
      <c r="M3" t="s">
        <v>122</v>
      </c>
      <c r="N3" t="s">
        <v>123</v>
      </c>
      <c r="O3" t="s">
        <v>124</v>
      </c>
      <c r="P3" s="29">
        <v>0.46850000000000003</v>
      </c>
      <c r="R3" t="s">
        <v>122</v>
      </c>
      <c r="S3" t="s">
        <v>123</v>
      </c>
      <c r="T3" t="s">
        <v>124</v>
      </c>
      <c r="U3" s="29">
        <v>0.3967</v>
      </c>
      <c r="X3" t="s">
        <v>122</v>
      </c>
      <c r="Y3" t="s">
        <v>123</v>
      </c>
      <c r="Z3" t="s">
        <v>124</v>
      </c>
      <c r="AA3" s="29">
        <v>0.1148</v>
      </c>
      <c r="AD3" t="s">
        <v>122</v>
      </c>
      <c r="AE3" t="s">
        <v>123</v>
      </c>
      <c r="AF3" t="s">
        <v>124</v>
      </c>
      <c r="AG3" s="29">
        <v>0.15690000000000001</v>
      </c>
      <c r="AL3" t="s">
        <v>122</v>
      </c>
      <c r="AM3" t="s">
        <v>123</v>
      </c>
      <c r="AN3" t="s">
        <v>124</v>
      </c>
      <c r="AO3" s="29">
        <v>0.21890000000000001</v>
      </c>
    </row>
    <row r="4" spans="2:41" x14ac:dyDescent="0.25">
      <c r="X4" t="s">
        <v>146</v>
      </c>
      <c r="AA4" s="22">
        <v>1</v>
      </c>
      <c r="AD4" t="s">
        <v>146</v>
      </c>
      <c r="AG4" s="22">
        <v>0.65</v>
      </c>
      <c r="AL4" t="s">
        <v>146</v>
      </c>
      <c r="AO4" s="22">
        <v>1</v>
      </c>
    </row>
    <row r="5" spans="2:41" x14ac:dyDescent="0.25">
      <c r="B5" s="39" t="s">
        <v>82</v>
      </c>
      <c r="C5" s="39" t="s">
        <v>2</v>
      </c>
      <c r="D5" s="39" t="s">
        <v>121</v>
      </c>
      <c r="E5" s="39" t="s">
        <v>125</v>
      </c>
      <c r="G5" s="39" t="s">
        <v>82</v>
      </c>
      <c r="H5" s="39" t="s">
        <v>2</v>
      </c>
      <c r="I5" s="39" t="s">
        <v>121</v>
      </c>
      <c r="J5" s="39" t="s">
        <v>125</v>
      </c>
      <c r="M5" s="39" t="s">
        <v>82</v>
      </c>
      <c r="N5" s="39" t="s">
        <v>2</v>
      </c>
      <c r="O5" s="39" t="s">
        <v>121</v>
      </c>
      <c r="P5" s="39" t="s">
        <v>125</v>
      </c>
      <c r="R5" s="39" t="s">
        <v>82</v>
      </c>
      <c r="S5" s="39" t="s">
        <v>2</v>
      </c>
      <c r="T5" s="39" t="s">
        <v>121</v>
      </c>
      <c r="U5" s="39" t="s">
        <v>125</v>
      </c>
      <c r="X5" t="s">
        <v>133</v>
      </c>
      <c r="AC5" t="s">
        <v>145</v>
      </c>
      <c r="AD5" t="s">
        <v>133</v>
      </c>
      <c r="AL5" t="s">
        <v>36</v>
      </c>
    </row>
    <row r="6" spans="2:41" x14ac:dyDescent="0.25">
      <c r="B6" s="33" t="s">
        <v>94</v>
      </c>
      <c r="C6" s="34">
        <v>0.25440000000000002</v>
      </c>
      <c r="D6" s="34">
        <v>0</v>
      </c>
      <c r="E6" s="34">
        <f t="shared" ref="E6:E16" si="0">D6-C6</f>
        <v>-0.25440000000000002</v>
      </c>
      <c r="G6" s="33" t="s">
        <v>94</v>
      </c>
      <c r="H6" s="34">
        <v>0.25440000000000002</v>
      </c>
      <c r="I6" s="34">
        <v>0.2651</v>
      </c>
      <c r="J6" s="34">
        <f>I6-H6</f>
        <v>1.0699999999999987E-2</v>
      </c>
      <c r="M6" s="49" t="s">
        <v>86</v>
      </c>
      <c r="N6" s="50">
        <v>4.1399999999999999E-2</v>
      </c>
      <c r="O6" s="50">
        <v>0.59519999999999995</v>
      </c>
      <c r="P6" s="50">
        <f>O6-N6</f>
        <v>0.55379999999999996</v>
      </c>
      <c r="R6" s="33" t="s">
        <v>86</v>
      </c>
      <c r="S6" s="34">
        <v>4.1399999999999999E-2</v>
      </c>
      <c r="T6" s="34">
        <v>0</v>
      </c>
      <c r="U6" s="34">
        <f>T6-S6</f>
        <v>-4.1399999999999999E-2</v>
      </c>
      <c r="X6" s="39" t="s">
        <v>82</v>
      </c>
      <c r="Y6" s="39" t="s">
        <v>2</v>
      </c>
      <c r="Z6" s="39" t="s">
        <v>121</v>
      </c>
      <c r="AA6" s="39" t="s">
        <v>125</v>
      </c>
      <c r="AD6" s="39" t="s">
        <v>82</v>
      </c>
      <c r="AE6" s="39" t="s">
        <v>2</v>
      </c>
      <c r="AF6" s="39" t="s">
        <v>132</v>
      </c>
      <c r="AG6" s="39" t="s">
        <v>125</v>
      </c>
      <c r="AI6" s="48" t="s">
        <v>147</v>
      </c>
      <c r="AJ6" s="39" t="s">
        <v>125</v>
      </c>
      <c r="AL6" s="39" t="s">
        <v>82</v>
      </c>
      <c r="AM6" s="39" t="s">
        <v>2</v>
      </c>
      <c r="AN6" s="39" t="s">
        <v>132</v>
      </c>
      <c r="AO6" s="39" t="s">
        <v>125</v>
      </c>
    </row>
    <row r="7" spans="2:41" x14ac:dyDescent="0.25">
      <c r="B7" s="33" t="s">
        <v>50</v>
      </c>
      <c r="C7" s="34">
        <v>0</v>
      </c>
      <c r="D7" s="34">
        <v>0</v>
      </c>
      <c r="E7" s="34">
        <f t="shared" si="0"/>
        <v>0</v>
      </c>
      <c r="G7" s="33" t="s">
        <v>50</v>
      </c>
      <c r="H7" s="34">
        <v>0</v>
      </c>
      <c r="I7" s="34">
        <v>0.1207</v>
      </c>
      <c r="J7" s="34">
        <f t="shared" ref="J7:J16" si="1">I7-H7</f>
        <v>0.1207</v>
      </c>
      <c r="M7" s="33" t="s">
        <v>94</v>
      </c>
      <c r="N7" s="34">
        <v>5.6899999999999999E-2</v>
      </c>
      <c r="O7" s="34">
        <v>0</v>
      </c>
      <c r="P7" s="34">
        <f t="shared" ref="P7:P42" si="2">O7-N7</f>
        <v>-5.6899999999999999E-2</v>
      </c>
      <c r="R7" s="33" t="s">
        <v>94</v>
      </c>
      <c r="S7" s="34">
        <v>5.6899999999999999E-2</v>
      </c>
      <c r="T7" s="34">
        <v>0</v>
      </c>
      <c r="U7" s="34">
        <f t="shared" ref="U7:U42" si="3">T7-S7</f>
        <v>-5.6899999999999999E-2</v>
      </c>
      <c r="X7" s="49" t="s">
        <v>98</v>
      </c>
      <c r="Y7" s="50">
        <v>0.1174</v>
      </c>
      <c r="Z7" s="50">
        <v>5.8500000000000003E-2</v>
      </c>
      <c r="AA7" s="50">
        <f t="shared" ref="AA7:AA16" si="4">Z7-Y7</f>
        <v>-5.8900000000000001E-2</v>
      </c>
      <c r="AC7">
        <v>0</v>
      </c>
      <c r="AD7" s="33" t="s">
        <v>98</v>
      </c>
      <c r="AE7" s="34">
        <v>0.1174</v>
      </c>
      <c r="AF7" s="34">
        <v>0.20399999999999999</v>
      </c>
      <c r="AG7" s="34">
        <f t="shared" ref="AG7:AG16" si="5">AF7-AE7</f>
        <v>8.6599999999999983E-2</v>
      </c>
      <c r="AI7">
        <f>(Z7+AF7)/2</f>
        <v>0.13125000000000001</v>
      </c>
      <c r="AJ7" s="34">
        <f>AI7-AE7</f>
        <v>1.3850000000000001E-2</v>
      </c>
      <c r="AL7" s="33" t="s">
        <v>22</v>
      </c>
      <c r="AM7" s="34">
        <v>0.50090000000000001</v>
      </c>
      <c r="AN7" s="34">
        <v>0.156</v>
      </c>
      <c r="AO7" s="34">
        <f t="shared" ref="AO7:AO15" si="6">AN7-AM7</f>
        <v>-0.34489999999999998</v>
      </c>
    </row>
    <row r="8" spans="2:41" x14ac:dyDescent="0.25">
      <c r="B8" s="35" t="s">
        <v>27</v>
      </c>
      <c r="C8" s="36">
        <v>0.21579999999999999</v>
      </c>
      <c r="D8" s="36">
        <v>5.21E-2</v>
      </c>
      <c r="E8" s="36">
        <f t="shared" si="0"/>
        <v>-0.16369999999999998</v>
      </c>
      <c r="G8" s="35" t="s">
        <v>27</v>
      </c>
      <c r="H8" s="36">
        <v>0.21579999999999999</v>
      </c>
      <c r="I8" s="36">
        <v>5.4899999999999997E-2</v>
      </c>
      <c r="J8" s="36">
        <f t="shared" si="1"/>
        <v>-0.16089999999999999</v>
      </c>
      <c r="M8" s="35" t="s">
        <v>5</v>
      </c>
      <c r="N8" s="36">
        <v>0.1242</v>
      </c>
      <c r="O8" s="36">
        <v>0</v>
      </c>
      <c r="P8" s="36">
        <f t="shared" si="2"/>
        <v>-0.1242</v>
      </c>
      <c r="R8" s="33" t="s">
        <v>5</v>
      </c>
      <c r="S8" s="34">
        <v>0.1242</v>
      </c>
      <c r="T8" s="34">
        <v>0</v>
      </c>
      <c r="U8" s="34">
        <f t="shared" si="3"/>
        <v>-0.1242</v>
      </c>
      <c r="X8" s="33" t="s">
        <v>5</v>
      </c>
      <c r="Y8" s="34">
        <v>0.25779999999999997</v>
      </c>
      <c r="Z8" s="34">
        <v>0.113</v>
      </c>
      <c r="AA8" s="34">
        <f t="shared" si="4"/>
        <v>-0.14479999999999998</v>
      </c>
      <c r="AC8">
        <v>1</v>
      </c>
      <c r="AD8" s="33" t="s">
        <v>5</v>
      </c>
      <c r="AE8" s="34">
        <v>0.25779999999999997</v>
      </c>
      <c r="AF8" s="34">
        <v>0.2581</v>
      </c>
      <c r="AG8" s="34">
        <f t="shared" si="5"/>
        <v>3.0000000000002247E-4</v>
      </c>
      <c r="AI8">
        <f t="shared" ref="AI8:AI16" si="7">(Z8+AF8)/2</f>
        <v>0.18554999999999999</v>
      </c>
      <c r="AJ8" s="34">
        <f t="shared" ref="AJ8:AJ16" si="8">AI8-AE8</f>
        <v>-7.2249999999999981E-2</v>
      </c>
      <c r="AL8" s="33" t="s">
        <v>12</v>
      </c>
      <c r="AM8" s="34">
        <v>0.43469999999999998</v>
      </c>
      <c r="AN8" s="34">
        <v>0.30940000000000001</v>
      </c>
      <c r="AO8" s="34">
        <f t="shared" si="6"/>
        <v>-0.12529999999999997</v>
      </c>
    </row>
    <row r="9" spans="2:41" x14ac:dyDescent="0.25">
      <c r="B9" s="37" t="s">
        <v>103</v>
      </c>
      <c r="C9" s="38">
        <v>0.1852</v>
      </c>
      <c r="D9" s="38">
        <v>0.1951</v>
      </c>
      <c r="E9" s="38">
        <f t="shared" si="0"/>
        <v>9.8999999999999921E-3</v>
      </c>
      <c r="G9" s="37" t="s">
        <v>103</v>
      </c>
      <c r="H9" s="38">
        <v>0.1852</v>
      </c>
      <c r="I9" s="38">
        <v>0.27689999999999998</v>
      </c>
      <c r="J9" s="38">
        <f t="shared" si="1"/>
        <v>9.1699999999999976E-2</v>
      </c>
      <c r="M9" s="33" t="s">
        <v>103</v>
      </c>
      <c r="N9" s="34">
        <v>5.5199999999999999E-2</v>
      </c>
      <c r="O9" s="34">
        <v>0</v>
      </c>
      <c r="P9" s="34">
        <f t="shared" si="2"/>
        <v>-5.5199999999999999E-2</v>
      </c>
      <c r="R9" s="33" t="s">
        <v>103</v>
      </c>
      <c r="S9" s="34">
        <v>5.5199999999999999E-2</v>
      </c>
      <c r="T9" s="34">
        <v>0</v>
      </c>
      <c r="U9" s="34">
        <f t="shared" si="3"/>
        <v>-5.5199999999999999E-2</v>
      </c>
      <c r="X9" s="52" t="s">
        <v>20</v>
      </c>
      <c r="Y9" s="53">
        <v>0.2039</v>
      </c>
      <c r="Z9" s="53">
        <v>0.16420000000000001</v>
      </c>
      <c r="AA9" s="53">
        <f t="shared" si="4"/>
        <v>-3.9699999999999985E-2</v>
      </c>
      <c r="AC9">
        <v>2</v>
      </c>
      <c r="AD9" s="33" t="s">
        <v>20</v>
      </c>
      <c r="AE9" s="34">
        <v>0.2039</v>
      </c>
      <c r="AF9" s="34">
        <v>0</v>
      </c>
      <c r="AG9" s="34">
        <f t="shared" si="5"/>
        <v>-0.2039</v>
      </c>
      <c r="AI9">
        <f t="shared" si="7"/>
        <v>8.2100000000000006E-2</v>
      </c>
      <c r="AJ9" s="34">
        <f t="shared" si="8"/>
        <v>-0.12179999999999999</v>
      </c>
      <c r="AL9" s="33" t="s">
        <v>17</v>
      </c>
      <c r="AM9" s="34">
        <v>6.4199999999999993E-2</v>
      </c>
      <c r="AN9" s="34">
        <v>0.14630000000000001</v>
      </c>
      <c r="AO9" s="34">
        <f t="shared" si="6"/>
        <v>8.210000000000002E-2</v>
      </c>
    </row>
    <row r="10" spans="2:41" x14ac:dyDescent="0.25">
      <c r="B10" s="35" t="s">
        <v>46</v>
      </c>
      <c r="C10" s="36">
        <v>0.2772</v>
      </c>
      <c r="D10" s="36">
        <v>0</v>
      </c>
      <c r="E10" s="36">
        <f t="shared" si="0"/>
        <v>-0.2772</v>
      </c>
      <c r="G10" s="35" t="s">
        <v>46</v>
      </c>
      <c r="H10" s="36">
        <v>0.2772</v>
      </c>
      <c r="I10" s="36">
        <v>0</v>
      </c>
      <c r="J10" s="36">
        <f t="shared" si="1"/>
        <v>-0.2772</v>
      </c>
      <c r="M10" s="33" t="s">
        <v>27</v>
      </c>
      <c r="N10" s="34">
        <v>4.8300000000000003E-2</v>
      </c>
      <c r="O10" s="34">
        <v>0</v>
      </c>
      <c r="P10" s="34">
        <f t="shared" si="2"/>
        <v>-4.8300000000000003E-2</v>
      </c>
      <c r="R10" s="33" t="s">
        <v>27</v>
      </c>
      <c r="S10" s="34">
        <v>4.8300000000000003E-2</v>
      </c>
      <c r="T10" s="34">
        <v>0</v>
      </c>
      <c r="U10" s="34">
        <f t="shared" si="3"/>
        <v>-4.8300000000000003E-2</v>
      </c>
      <c r="X10" s="33" t="s">
        <v>16</v>
      </c>
      <c r="Y10" s="34">
        <v>0.2319</v>
      </c>
      <c r="Z10" s="34">
        <v>0.2298</v>
      </c>
      <c r="AA10" s="34">
        <f t="shared" si="4"/>
        <v>-2.0999999999999908E-3</v>
      </c>
      <c r="AC10">
        <v>3</v>
      </c>
      <c r="AD10" s="33" t="s">
        <v>16</v>
      </c>
      <c r="AE10" s="34">
        <v>0.2319</v>
      </c>
      <c r="AF10" s="34">
        <v>0</v>
      </c>
      <c r="AG10" s="34">
        <f t="shared" si="5"/>
        <v>-0.2319</v>
      </c>
      <c r="AI10">
        <f t="shared" si="7"/>
        <v>0.1149</v>
      </c>
      <c r="AJ10" s="34">
        <f t="shared" si="8"/>
        <v>-0.11699999999999999</v>
      </c>
      <c r="AL10" s="33" t="s">
        <v>13</v>
      </c>
      <c r="AM10" s="34">
        <v>1E-4</v>
      </c>
      <c r="AN10" s="34">
        <v>0.35099999999999998</v>
      </c>
      <c r="AO10" s="34">
        <f t="shared" si="6"/>
        <v>0.35089999999999999</v>
      </c>
    </row>
    <row r="11" spans="2:41" x14ac:dyDescent="0.25">
      <c r="B11" s="33" t="s">
        <v>32</v>
      </c>
      <c r="C11" s="34">
        <v>0</v>
      </c>
      <c r="D11" s="34">
        <v>0.33910000000000001</v>
      </c>
      <c r="E11" s="34">
        <f t="shared" si="0"/>
        <v>0.33910000000000001</v>
      </c>
      <c r="G11" s="33" t="s">
        <v>32</v>
      </c>
      <c r="H11" s="34">
        <v>0</v>
      </c>
      <c r="I11" s="34">
        <v>0</v>
      </c>
      <c r="J11" s="34">
        <f t="shared" si="1"/>
        <v>0</v>
      </c>
      <c r="M11" s="33" t="s">
        <v>16</v>
      </c>
      <c r="N11" s="34">
        <v>9.6600000000000005E-2</v>
      </c>
      <c r="O11" s="34">
        <v>0</v>
      </c>
      <c r="P11" s="34">
        <f t="shared" si="2"/>
        <v>-9.6600000000000005E-2</v>
      </c>
      <c r="R11" s="33" t="s">
        <v>16</v>
      </c>
      <c r="S11" s="34">
        <v>9.6600000000000005E-2</v>
      </c>
      <c r="T11" s="34">
        <v>0</v>
      </c>
      <c r="U11" s="34">
        <f t="shared" si="3"/>
        <v>-9.6600000000000005E-2</v>
      </c>
      <c r="X11" s="33" t="s">
        <v>43</v>
      </c>
      <c r="Y11" s="34">
        <v>0.13170000000000001</v>
      </c>
      <c r="Z11" s="34">
        <v>0.15509999999999999</v>
      </c>
      <c r="AA11" s="34">
        <f t="shared" si="4"/>
        <v>2.3399999999999976E-2</v>
      </c>
      <c r="AC11">
        <v>4</v>
      </c>
      <c r="AD11" s="33" t="s">
        <v>43</v>
      </c>
      <c r="AE11" s="34">
        <v>0.13170000000000001</v>
      </c>
      <c r="AF11" s="34">
        <v>3.8199999999999998E-2</v>
      </c>
      <c r="AG11" s="34">
        <f t="shared" si="5"/>
        <v>-9.3500000000000014E-2</v>
      </c>
      <c r="AI11">
        <f t="shared" si="7"/>
        <v>9.6649999999999986E-2</v>
      </c>
      <c r="AJ11" s="34">
        <f t="shared" si="8"/>
        <v>-3.5050000000000026E-2</v>
      </c>
      <c r="AL11" s="33" t="s">
        <v>9</v>
      </c>
      <c r="AM11" s="34">
        <v>0</v>
      </c>
      <c r="AN11" s="34">
        <v>0</v>
      </c>
      <c r="AO11" s="34">
        <f t="shared" si="6"/>
        <v>0</v>
      </c>
    </row>
    <row r="12" spans="2:41" x14ac:dyDescent="0.25">
      <c r="B12" s="33" t="s">
        <v>48</v>
      </c>
      <c r="C12" s="34">
        <v>0</v>
      </c>
      <c r="D12" s="34">
        <v>0</v>
      </c>
      <c r="E12" s="34">
        <f t="shared" si="0"/>
        <v>0</v>
      </c>
      <c r="G12" s="33" t="s">
        <v>48</v>
      </c>
      <c r="H12" s="34">
        <v>0</v>
      </c>
      <c r="I12" s="34">
        <v>0</v>
      </c>
      <c r="J12" s="34">
        <f t="shared" si="1"/>
        <v>0</v>
      </c>
      <c r="M12" s="33" t="s">
        <v>22</v>
      </c>
      <c r="N12" s="34">
        <v>0.1076</v>
      </c>
      <c r="O12" s="34">
        <v>0</v>
      </c>
      <c r="P12" s="34">
        <f t="shared" si="2"/>
        <v>-0.1076</v>
      </c>
      <c r="R12" s="33" t="s">
        <v>22</v>
      </c>
      <c r="S12" s="34">
        <v>0.1076</v>
      </c>
      <c r="T12" s="34">
        <v>0</v>
      </c>
      <c r="U12" s="34">
        <f t="shared" si="3"/>
        <v>-0.1076</v>
      </c>
      <c r="X12" s="49" t="s">
        <v>59</v>
      </c>
      <c r="Y12" s="50">
        <v>1E-4</v>
      </c>
      <c r="Z12" s="50">
        <v>8.1000000000000003E-2</v>
      </c>
      <c r="AA12" s="50">
        <f t="shared" si="4"/>
        <v>8.09E-2</v>
      </c>
      <c r="AC12">
        <v>5</v>
      </c>
      <c r="AD12" s="33" t="s">
        <v>59</v>
      </c>
      <c r="AE12" s="34">
        <v>1E-4</v>
      </c>
      <c r="AF12" s="34">
        <v>0</v>
      </c>
      <c r="AG12" s="34">
        <f t="shared" si="5"/>
        <v>-1E-4</v>
      </c>
      <c r="AI12">
        <f t="shared" si="7"/>
        <v>4.0500000000000001E-2</v>
      </c>
      <c r="AJ12" s="34">
        <f t="shared" si="8"/>
        <v>4.0399999999999998E-2</v>
      </c>
      <c r="AL12" s="33" t="s">
        <v>60</v>
      </c>
      <c r="AM12" s="34">
        <v>0</v>
      </c>
      <c r="AN12" s="34">
        <v>0</v>
      </c>
      <c r="AO12" s="34">
        <f t="shared" si="6"/>
        <v>0</v>
      </c>
    </row>
    <row r="13" spans="2:41" x14ac:dyDescent="0.25">
      <c r="B13" s="33" t="s">
        <v>53</v>
      </c>
      <c r="C13" s="34">
        <v>0</v>
      </c>
      <c r="D13" s="34">
        <v>0</v>
      </c>
      <c r="E13" s="34">
        <f t="shared" si="0"/>
        <v>0</v>
      </c>
      <c r="G13" s="33" t="s">
        <v>53</v>
      </c>
      <c r="H13" s="34">
        <v>0</v>
      </c>
      <c r="I13" s="34">
        <v>0</v>
      </c>
      <c r="J13" s="34">
        <f t="shared" si="1"/>
        <v>0</v>
      </c>
      <c r="M13" s="35" t="s">
        <v>20</v>
      </c>
      <c r="N13" s="36">
        <v>6.93E-2</v>
      </c>
      <c r="O13" s="36">
        <v>0</v>
      </c>
      <c r="P13" s="36">
        <f t="shared" si="2"/>
        <v>-6.93E-2</v>
      </c>
      <c r="R13" s="33" t="s">
        <v>20</v>
      </c>
      <c r="S13" s="34">
        <v>6.93E-2</v>
      </c>
      <c r="T13" s="34">
        <v>0</v>
      </c>
      <c r="U13" s="34">
        <f t="shared" si="3"/>
        <v>-6.93E-2</v>
      </c>
      <c r="X13" s="35" t="s">
        <v>34</v>
      </c>
      <c r="Y13" s="36">
        <v>0</v>
      </c>
      <c r="Z13" s="36">
        <v>0</v>
      </c>
      <c r="AA13" s="36">
        <f t="shared" si="4"/>
        <v>0</v>
      </c>
      <c r="AC13">
        <v>6</v>
      </c>
      <c r="AD13" s="33" t="s">
        <v>34</v>
      </c>
      <c r="AE13" s="34">
        <v>0</v>
      </c>
      <c r="AF13" s="34">
        <v>0.2001</v>
      </c>
      <c r="AG13" s="34">
        <f t="shared" si="5"/>
        <v>0.2001</v>
      </c>
      <c r="AI13">
        <f t="shared" si="7"/>
        <v>0.10005</v>
      </c>
      <c r="AJ13" s="34">
        <f t="shared" si="8"/>
        <v>0.10005</v>
      </c>
      <c r="AL13" s="33" t="s">
        <v>24</v>
      </c>
      <c r="AM13" s="34">
        <v>0</v>
      </c>
      <c r="AN13" s="34">
        <v>3.7400000000000003E-2</v>
      </c>
      <c r="AO13" s="34">
        <f t="shared" si="6"/>
        <v>3.7400000000000003E-2</v>
      </c>
    </row>
    <row r="14" spans="2:41" x14ac:dyDescent="0.25">
      <c r="B14" s="33" t="s">
        <v>44</v>
      </c>
      <c r="C14" s="34">
        <v>0</v>
      </c>
      <c r="D14" s="34">
        <v>0</v>
      </c>
      <c r="E14" s="34">
        <f t="shared" si="0"/>
        <v>0</v>
      </c>
      <c r="G14" s="33" t="s">
        <v>44</v>
      </c>
      <c r="H14" s="34">
        <v>0</v>
      </c>
      <c r="I14" s="34">
        <v>0</v>
      </c>
      <c r="J14" s="34">
        <f t="shared" si="1"/>
        <v>0</v>
      </c>
      <c r="M14" s="33" t="s">
        <v>100</v>
      </c>
      <c r="N14" s="34">
        <v>1.38E-2</v>
      </c>
      <c r="O14" s="34">
        <v>0</v>
      </c>
      <c r="P14" s="34">
        <f t="shared" si="2"/>
        <v>-1.38E-2</v>
      </c>
      <c r="R14" s="33" t="s">
        <v>100</v>
      </c>
      <c r="S14" s="34">
        <v>1.38E-2</v>
      </c>
      <c r="T14" s="34">
        <v>0</v>
      </c>
      <c r="U14" s="34">
        <f t="shared" si="3"/>
        <v>-1.38E-2</v>
      </c>
      <c r="X14" s="35" t="s">
        <v>55</v>
      </c>
      <c r="Y14" s="36">
        <v>0</v>
      </c>
      <c r="Z14" s="36">
        <v>0.17960000000000001</v>
      </c>
      <c r="AA14" s="36">
        <f t="shared" si="4"/>
        <v>0.17960000000000001</v>
      </c>
      <c r="AC14">
        <v>7</v>
      </c>
      <c r="AD14" s="33" t="s">
        <v>55</v>
      </c>
      <c r="AE14" s="34">
        <v>0</v>
      </c>
      <c r="AF14" s="34">
        <v>0.29949999999999999</v>
      </c>
      <c r="AG14" s="34">
        <f t="shared" si="5"/>
        <v>0.29949999999999999</v>
      </c>
      <c r="AI14">
        <f t="shared" si="7"/>
        <v>0.23954999999999999</v>
      </c>
      <c r="AJ14" s="34">
        <f t="shared" si="8"/>
        <v>0.23954999999999999</v>
      </c>
      <c r="AL14" s="33" t="s">
        <v>30</v>
      </c>
      <c r="AM14" s="34">
        <v>0</v>
      </c>
      <c r="AN14" s="34">
        <v>0</v>
      </c>
      <c r="AO14" s="34">
        <f t="shared" si="6"/>
        <v>0</v>
      </c>
    </row>
    <row r="15" spans="2:41" x14ac:dyDescent="0.25">
      <c r="B15" s="37" t="s">
        <v>91</v>
      </c>
      <c r="C15" s="38">
        <v>6.7400000000000002E-2</v>
      </c>
      <c r="D15" s="38">
        <v>0.19650000000000001</v>
      </c>
      <c r="E15" s="38">
        <f t="shared" si="0"/>
        <v>0.12909999999999999</v>
      </c>
      <c r="G15" s="37" t="s">
        <v>91</v>
      </c>
      <c r="H15" s="38">
        <v>6.7400000000000002E-2</v>
      </c>
      <c r="I15" s="38">
        <v>0.16420000000000001</v>
      </c>
      <c r="J15" s="38">
        <f t="shared" si="1"/>
        <v>9.6800000000000011E-2</v>
      </c>
      <c r="M15" s="33" t="s">
        <v>91</v>
      </c>
      <c r="N15" s="34">
        <v>1.5100000000000001E-2</v>
      </c>
      <c r="O15" s="34">
        <v>0</v>
      </c>
      <c r="P15" s="34">
        <f t="shared" si="2"/>
        <v>-1.5100000000000001E-2</v>
      </c>
      <c r="R15" s="33" t="s">
        <v>91</v>
      </c>
      <c r="S15" s="34">
        <v>1.5100000000000001E-2</v>
      </c>
      <c r="T15" s="34">
        <v>0</v>
      </c>
      <c r="U15" s="34">
        <f t="shared" si="3"/>
        <v>-1.5100000000000001E-2</v>
      </c>
      <c r="X15" s="33" t="s">
        <v>56</v>
      </c>
      <c r="Y15" s="34">
        <v>0</v>
      </c>
      <c r="Z15" s="34">
        <v>0</v>
      </c>
      <c r="AA15" s="34">
        <f t="shared" si="4"/>
        <v>0</v>
      </c>
      <c r="AC15">
        <v>8</v>
      </c>
      <c r="AD15" s="33" t="s">
        <v>56</v>
      </c>
      <c r="AE15" s="34">
        <v>0</v>
      </c>
      <c r="AF15" s="34">
        <v>0</v>
      </c>
      <c r="AG15" s="34">
        <f t="shared" si="5"/>
        <v>0</v>
      </c>
      <c r="AI15">
        <f t="shared" si="7"/>
        <v>0</v>
      </c>
      <c r="AJ15" s="34">
        <f t="shared" si="8"/>
        <v>0</v>
      </c>
      <c r="AL15" s="33" t="s">
        <v>84</v>
      </c>
      <c r="AM15" s="34">
        <v>0</v>
      </c>
      <c r="AN15" s="34">
        <v>0</v>
      </c>
      <c r="AO15" s="34">
        <f t="shared" si="6"/>
        <v>0</v>
      </c>
    </row>
    <row r="16" spans="2:41" x14ac:dyDescent="0.25">
      <c r="B16" s="37" t="s">
        <v>92</v>
      </c>
      <c r="C16" s="38">
        <v>0</v>
      </c>
      <c r="D16" s="38">
        <v>0.2172</v>
      </c>
      <c r="E16" s="38">
        <f t="shared" si="0"/>
        <v>0.2172</v>
      </c>
      <c r="G16" s="37" t="s">
        <v>92</v>
      </c>
      <c r="H16" s="38">
        <v>0</v>
      </c>
      <c r="I16" s="38">
        <v>0.1183</v>
      </c>
      <c r="J16" s="38">
        <f t="shared" si="1"/>
        <v>0.1183</v>
      </c>
      <c r="M16" s="33" t="s">
        <v>59</v>
      </c>
      <c r="N16" s="34">
        <v>4.6899999999999997E-2</v>
      </c>
      <c r="O16" s="34">
        <v>0</v>
      </c>
      <c r="P16" s="34">
        <f t="shared" si="2"/>
        <v>-4.6899999999999997E-2</v>
      </c>
      <c r="R16" s="33" t="s">
        <v>59</v>
      </c>
      <c r="S16" s="34">
        <v>4.6899999999999997E-2</v>
      </c>
      <c r="T16" s="34">
        <v>0</v>
      </c>
      <c r="U16" s="34">
        <f t="shared" si="3"/>
        <v>-4.6899999999999997E-2</v>
      </c>
      <c r="X16" s="33" t="s">
        <v>41</v>
      </c>
      <c r="Y16" s="34">
        <v>5.7200000000000001E-2</v>
      </c>
      <c r="Z16" s="34">
        <v>1.89E-2</v>
      </c>
      <c r="AA16" s="34">
        <f t="shared" si="4"/>
        <v>-3.8300000000000001E-2</v>
      </c>
      <c r="AC16">
        <v>9</v>
      </c>
      <c r="AD16" s="33" t="s">
        <v>41</v>
      </c>
      <c r="AE16" s="34">
        <v>5.7200000000000001E-2</v>
      </c>
      <c r="AF16" s="34">
        <v>0</v>
      </c>
      <c r="AG16" s="34">
        <f t="shared" si="5"/>
        <v>-5.7200000000000001E-2</v>
      </c>
      <c r="AI16">
        <f t="shared" si="7"/>
        <v>9.4500000000000001E-3</v>
      </c>
      <c r="AJ16" s="34">
        <f t="shared" si="8"/>
        <v>-4.7750000000000001E-2</v>
      </c>
    </row>
    <row r="17" spans="2:38" x14ac:dyDescent="0.25">
      <c r="M17" s="33" t="s">
        <v>46</v>
      </c>
      <c r="N17" s="34">
        <v>6.2E-2</v>
      </c>
      <c r="O17" s="34">
        <v>0</v>
      </c>
      <c r="P17" s="34">
        <f t="shared" si="2"/>
        <v>-6.2E-2</v>
      </c>
      <c r="R17" s="33" t="s">
        <v>46</v>
      </c>
      <c r="S17" s="34">
        <v>6.2E-2</v>
      </c>
      <c r="T17" s="34">
        <v>0</v>
      </c>
      <c r="U17" s="34">
        <f t="shared" si="3"/>
        <v>-6.2E-2</v>
      </c>
    </row>
    <row r="18" spans="2:38" x14ac:dyDescent="0.25">
      <c r="M18" s="33" t="s">
        <v>43</v>
      </c>
      <c r="N18" s="34">
        <v>3.5900000000000001E-2</v>
      </c>
      <c r="O18" s="34">
        <v>0</v>
      </c>
      <c r="P18" s="34">
        <f t="shared" si="2"/>
        <v>-3.5900000000000001E-2</v>
      </c>
      <c r="R18" s="33" t="s">
        <v>43</v>
      </c>
      <c r="S18" s="34">
        <v>3.5900000000000001E-2</v>
      </c>
      <c r="T18" s="34">
        <v>0</v>
      </c>
      <c r="U18" s="34">
        <f t="shared" si="3"/>
        <v>-3.5900000000000001E-2</v>
      </c>
      <c r="X18" t="s">
        <v>148</v>
      </c>
      <c r="AD18" t="s">
        <v>122</v>
      </c>
      <c r="AE18" t="s">
        <v>123</v>
      </c>
      <c r="AF18" t="s">
        <v>120</v>
      </c>
      <c r="AG18" s="29">
        <v>0.13339999999999999</v>
      </c>
      <c r="AL18" t="s">
        <v>152</v>
      </c>
    </row>
    <row r="19" spans="2:38" x14ac:dyDescent="0.25">
      <c r="B19" t="s">
        <v>122</v>
      </c>
      <c r="C19" t="s">
        <v>123</v>
      </c>
      <c r="D19" t="s">
        <v>120</v>
      </c>
      <c r="E19" s="29">
        <v>0.15629999999999999</v>
      </c>
      <c r="M19" s="33" t="s">
        <v>13</v>
      </c>
      <c r="N19" s="34">
        <v>5.91E-2</v>
      </c>
      <c r="O19" s="34">
        <v>0</v>
      </c>
      <c r="P19" s="34">
        <f t="shared" si="2"/>
        <v>-5.91E-2</v>
      </c>
      <c r="R19" s="33" t="s">
        <v>13</v>
      </c>
      <c r="S19" s="34">
        <v>5.91E-2</v>
      </c>
      <c r="T19" s="34">
        <v>0</v>
      </c>
      <c r="U19" s="34">
        <f t="shared" si="3"/>
        <v>-5.91E-2</v>
      </c>
      <c r="X19" s="39" t="s">
        <v>82</v>
      </c>
      <c r="Y19" t="s">
        <v>149</v>
      </c>
      <c r="AD19" t="s">
        <v>122</v>
      </c>
      <c r="AE19" t="s">
        <v>123</v>
      </c>
      <c r="AF19" t="s">
        <v>124</v>
      </c>
      <c r="AG19" s="29">
        <v>0.13569999999999999</v>
      </c>
    </row>
    <row r="20" spans="2:38" x14ac:dyDescent="0.25">
      <c r="B20" t="s">
        <v>122</v>
      </c>
      <c r="C20" t="s">
        <v>123</v>
      </c>
      <c r="D20" t="s">
        <v>124</v>
      </c>
      <c r="E20" s="29">
        <v>0.1726</v>
      </c>
      <c r="M20" s="33" t="s">
        <v>12</v>
      </c>
      <c r="N20" s="34">
        <v>7.8200000000000006E-2</v>
      </c>
      <c r="O20" s="34">
        <v>0</v>
      </c>
      <c r="P20" s="34">
        <f t="shared" si="2"/>
        <v>-7.8200000000000006E-2</v>
      </c>
      <c r="R20" s="33" t="s">
        <v>12</v>
      </c>
      <c r="S20" s="34">
        <v>7.8200000000000006E-2</v>
      </c>
      <c r="T20" s="34">
        <v>0</v>
      </c>
      <c r="U20" s="34">
        <f t="shared" si="3"/>
        <v>-7.8200000000000006E-2</v>
      </c>
      <c r="X20" s="33" t="s">
        <v>98</v>
      </c>
      <c r="Y20" s="29">
        <v>2.5000000000000001E-2</v>
      </c>
      <c r="AD20" t="s">
        <v>146</v>
      </c>
      <c r="AG20" s="22">
        <v>0.81</v>
      </c>
    </row>
    <row r="21" spans="2:38" x14ac:dyDescent="0.25">
      <c r="B21" t="s">
        <v>146</v>
      </c>
      <c r="E21" s="22">
        <v>0.81</v>
      </c>
      <c r="M21" s="35" t="s">
        <v>28</v>
      </c>
      <c r="N21" s="36">
        <v>8.9599999999999999E-2</v>
      </c>
      <c r="O21" s="36">
        <v>0</v>
      </c>
      <c r="P21" s="36">
        <f t="shared" si="2"/>
        <v>-8.9599999999999999E-2</v>
      </c>
      <c r="R21" s="33" t="s">
        <v>28</v>
      </c>
      <c r="S21" s="34">
        <v>8.9599999999999999E-2</v>
      </c>
      <c r="T21" s="34">
        <v>0</v>
      </c>
      <c r="U21" s="34">
        <f t="shared" si="3"/>
        <v>-8.9599999999999999E-2</v>
      </c>
      <c r="X21" s="33" t="s">
        <v>5</v>
      </c>
      <c r="Y21" s="29">
        <v>8.2000000000000003E-2</v>
      </c>
      <c r="AD21" t="s">
        <v>133</v>
      </c>
    </row>
    <row r="22" spans="2:38" x14ac:dyDescent="0.25">
      <c r="B22" t="s">
        <v>155</v>
      </c>
      <c r="M22" s="33" t="s">
        <v>50</v>
      </c>
      <c r="N22" s="34">
        <v>0</v>
      </c>
      <c r="O22" s="34">
        <v>0.1867</v>
      </c>
      <c r="P22" s="34">
        <f t="shared" si="2"/>
        <v>0.1867</v>
      </c>
      <c r="R22" s="33" t="s">
        <v>50</v>
      </c>
      <c r="S22" s="34">
        <v>0</v>
      </c>
      <c r="T22" s="34">
        <v>0</v>
      </c>
      <c r="U22" s="34">
        <f t="shared" si="3"/>
        <v>0</v>
      </c>
      <c r="X22" s="33" t="s">
        <v>20</v>
      </c>
      <c r="Y22" s="29">
        <v>3.4000000000000002E-2</v>
      </c>
      <c r="AD22" s="39" t="s">
        <v>82</v>
      </c>
      <c r="AE22" s="39" t="s">
        <v>2</v>
      </c>
      <c r="AF22" s="39" t="s">
        <v>132</v>
      </c>
      <c r="AG22" s="39" t="s">
        <v>125</v>
      </c>
    </row>
    <row r="23" spans="2:38" x14ac:dyDescent="0.25">
      <c r="B23" s="39" t="s">
        <v>82</v>
      </c>
      <c r="C23" s="39" t="s">
        <v>2</v>
      </c>
      <c r="D23" s="39" t="s">
        <v>121</v>
      </c>
      <c r="E23" s="39" t="s">
        <v>125</v>
      </c>
      <c r="M23" s="33" t="s">
        <v>25</v>
      </c>
      <c r="N23" s="34">
        <v>0</v>
      </c>
      <c r="O23" s="34">
        <v>0.21809999999999999</v>
      </c>
      <c r="P23" s="34">
        <f t="shared" si="2"/>
        <v>0.21809999999999999</v>
      </c>
      <c r="R23" s="33" t="s">
        <v>25</v>
      </c>
      <c r="S23" s="34">
        <v>0</v>
      </c>
      <c r="T23" s="34">
        <v>0</v>
      </c>
      <c r="U23" s="34">
        <f t="shared" si="3"/>
        <v>0</v>
      </c>
      <c r="X23" s="33" t="s">
        <v>16</v>
      </c>
      <c r="Y23" s="29">
        <v>2.8000000000000001E-2</v>
      </c>
      <c r="AD23" s="33" t="s">
        <v>16</v>
      </c>
      <c r="AE23" s="34">
        <v>0.2319</v>
      </c>
      <c r="AF23" s="34">
        <v>6.0100000000000001E-2</v>
      </c>
      <c r="AG23" s="34">
        <f t="shared" ref="AG23:AG32" si="9">AF23-AE23</f>
        <v>-0.17180000000000001</v>
      </c>
    </row>
    <row r="24" spans="2:38" x14ac:dyDescent="0.25">
      <c r="B24" s="52" t="s">
        <v>103</v>
      </c>
      <c r="C24" s="53">
        <v>0.22159999999999999</v>
      </c>
      <c r="D24" s="53">
        <v>0</v>
      </c>
      <c r="E24" s="53">
        <f t="shared" ref="E24:E34" si="10">D24-C24</f>
        <v>-0.22159999999999999</v>
      </c>
      <c r="F24" t="s">
        <v>156</v>
      </c>
      <c r="M24" s="33" t="s">
        <v>9</v>
      </c>
      <c r="N24" s="34">
        <v>0</v>
      </c>
      <c r="O24" s="34">
        <v>0</v>
      </c>
      <c r="P24" s="34">
        <f t="shared" si="2"/>
        <v>0</v>
      </c>
      <c r="R24" s="33" t="s">
        <v>9</v>
      </c>
      <c r="S24" s="34">
        <v>0</v>
      </c>
      <c r="T24" s="34">
        <v>0</v>
      </c>
      <c r="U24" s="34">
        <f t="shared" si="3"/>
        <v>0</v>
      </c>
      <c r="X24" s="33" t="s">
        <v>43</v>
      </c>
      <c r="Y24" s="29">
        <v>2.5999999999999999E-2</v>
      </c>
      <c r="AD24" s="33" t="s">
        <v>41</v>
      </c>
      <c r="AE24" s="34">
        <v>5.7200000000000001E-2</v>
      </c>
      <c r="AF24" s="34">
        <v>2.41E-2</v>
      </c>
      <c r="AG24" s="34">
        <f t="shared" si="9"/>
        <v>-3.3100000000000004E-2</v>
      </c>
    </row>
    <row r="25" spans="2:38" x14ac:dyDescent="0.25">
      <c r="B25" s="35" t="s">
        <v>46</v>
      </c>
      <c r="C25" s="36">
        <v>0.22120000000000001</v>
      </c>
      <c r="D25" s="36">
        <v>8.3099999999999993E-2</v>
      </c>
      <c r="E25" s="36">
        <f t="shared" si="10"/>
        <v>-0.1381</v>
      </c>
      <c r="M25" s="33" t="s">
        <v>17</v>
      </c>
      <c r="N25" s="34">
        <v>0</v>
      </c>
      <c r="O25" s="34">
        <v>0</v>
      </c>
      <c r="P25" s="34">
        <f t="shared" si="2"/>
        <v>0</v>
      </c>
      <c r="R25" s="33" t="s">
        <v>17</v>
      </c>
      <c r="S25" s="34">
        <v>0</v>
      </c>
      <c r="T25" s="34">
        <v>0</v>
      </c>
      <c r="U25" s="34">
        <f t="shared" si="3"/>
        <v>0</v>
      </c>
      <c r="X25" s="51" t="s">
        <v>150</v>
      </c>
      <c r="Y25" s="29"/>
      <c r="AD25" s="33" t="s">
        <v>43</v>
      </c>
      <c r="AE25" s="34">
        <v>0.13170000000000001</v>
      </c>
      <c r="AF25" s="34">
        <v>2.1700000000000001E-2</v>
      </c>
      <c r="AG25" s="34">
        <f t="shared" si="9"/>
        <v>-0.11000000000000001</v>
      </c>
    </row>
    <row r="26" spans="2:38" x14ac:dyDescent="0.25">
      <c r="B26" s="37" t="s">
        <v>27</v>
      </c>
      <c r="C26" s="38">
        <v>0.20300000000000001</v>
      </c>
      <c r="D26" s="38">
        <v>0.56920000000000004</v>
      </c>
      <c r="E26" s="38">
        <f t="shared" si="10"/>
        <v>0.36620000000000003</v>
      </c>
      <c r="M26" s="33" t="s">
        <v>34</v>
      </c>
      <c r="N26" s="34">
        <v>0</v>
      </c>
      <c r="O26" s="34">
        <v>0</v>
      </c>
      <c r="P26" s="34">
        <f t="shared" si="2"/>
        <v>0</v>
      </c>
      <c r="R26" s="33" t="s">
        <v>34</v>
      </c>
      <c r="S26" s="34">
        <v>0</v>
      </c>
      <c r="T26" s="34">
        <v>0</v>
      </c>
      <c r="U26" s="34">
        <f t="shared" si="3"/>
        <v>0</v>
      </c>
      <c r="X26" s="51" t="s">
        <v>151</v>
      </c>
      <c r="Y26" s="29"/>
      <c r="AD26" s="33" t="s">
        <v>56</v>
      </c>
      <c r="AE26" s="34">
        <v>0</v>
      </c>
      <c r="AF26" s="34">
        <v>0</v>
      </c>
      <c r="AG26" s="34">
        <f t="shared" si="9"/>
        <v>0</v>
      </c>
    </row>
    <row r="27" spans="2:38" x14ac:dyDescent="0.25">
      <c r="B27" s="35" t="s">
        <v>94</v>
      </c>
      <c r="C27" s="36">
        <v>0.23980000000000001</v>
      </c>
      <c r="D27" s="36">
        <v>0</v>
      </c>
      <c r="E27" s="36">
        <f t="shared" si="10"/>
        <v>-0.23980000000000001</v>
      </c>
      <c r="M27" s="33" t="s">
        <v>60</v>
      </c>
      <c r="N27" s="34">
        <v>0</v>
      </c>
      <c r="O27" s="34">
        <v>0</v>
      </c>
      <c r="P27" s="34">
        <f t="shared" si="2"/>
        <v>0</v>
      </c>
      <c r="R27" s="33" t="s">
        <v>60</v>
      </c>
      <c r="S27" s="34">
        <v>0</v>
      </c>
      <c r="T27" s="34">
        <v>0</v>
      </c>
      <c r="U27" s="34">
        <f t="shared" si="3"/>
        <v>0</v>
      </c>
      <c r="Y27" s="29"/>
      <c r="AD27" s="33" t="s">
        <v>55</v>
      </c>
      <c r="AE27" s="34">
        <v>0</v>
      </c>
      <c r="AF27" s="34">
        <v>0.41249999999999998</v>
      </c>
      <c r="AG27" s="34">
        <f t="shared" si="9"/>
        <v>0.41249999999999998</v>
      </c>
    </row>
    <row r="28" spans="2:38" x14ac:dyDescent="0.25">
      <c r="B28" s="33" t="s">
        <v>92</v>
      </c>
      <c r="C28" s="34">
        <v>0</v>
      </c>
      <c r="D28" s="34">
        <v>0</v>
      </c>
      <c r="E28" s="34">
        <f t="shared" si="10"/>
        <v>0</v>
      </c>
      <c r="M28" s="33" t="s">
        <v>24</v>
      </c>
      <c r="N28" s="34">
        <v>0</v>
      </c>
      <c r="O28" s="34">
        <v>0</v>
      </c>
      <c r="P28" s="34">
        <f t="shared" si="2"/>
        <v>0</v>
      </c>
      <c r="R28" s="33" t="s">
        <v>24</v>
      </c>
      <c r="S28" s="34">
        <v>0</v>
      </c>
      <c r="T28" s="34">
        <v>0.73240000000000005</v>
      </c>
      <c r="U28" s="34">
        <f t="shared" si="3"/>
        <v>0.73240000000000005</v>
      </c>
      <c r="Y28" s="29"/>
      <c r="AD28" s="33" t="s">
        <v>34</v>
      </c>
      <c r="AE28" s="34">
        <v>0</v>
      </c>
      <c r="AF28" s="34">
        <v>0.1847</v>
      </c>
      <c r="AG28" s="34">
        <f t="shared" si="9"/>
        <v>0.1847</v>
      </c>
    </row>
    <row r="29" spans="2:38" x14ac:dyDescent="0.25">
      <c r="B29" s="33" t="s">
        <v>50</v>
      </c>
      <c r="C29" s="34">
        <v>0</v>
      </c>
      <c r="D29" s="34">
        <v>0</v>
      </c>
      <c r="E29" s="34">
        <f t="shared" si="10"/>
        <v>0</v>
      </c>
      <c r="M29" s="33" t="s">
        <v>30</v>
      </c>
      <c r="N29" s="34">
        <v>0</v>
      </c>
      <c r="O29" s="34">
        <v>0</v>
      </c>
      <c r="P29" s="34">
        <f t="shared" si="2"/>
        <v>0</v>
      </c>
      <c r="R29" s="33" t="s">
        <v>30</v>
      </c>
      <c r="S29" s="34">
        <v>0</v>
      </c>
      <c r="T29" s="34">
        <v>0</v>
      </c>
      <c r="U29" s="34">
        <f t="shared" si="3"/>
        <v>0</v>
      </c>
      <c r="Y29" s="29"/>
      <c r="AD29" s="33" t="s">
        <v>59</v>
      </c>
      <c r="AE29" s="34">
        <v>1E-4</v>
      </c>
      <c r="AF29" s="34">
        <v>0.12939999999999999</v>
      </c>
      <c r="AG29" s="34">
        <f t="shared" si="9"/>
        <v>0.1293</v>
      </c>
    </row>
    <row r="30" spans="2:38" x14ac:dyDescent="0.25">
      <c r="B30" s="33" t="s">
        <v>44</v>
      </c>
      <c r="C30" s="34">
        <v>0</v>
      </c>
      <c r="D30" s="34">
        <v>0</v>
      </c>
      <c r="E30" s="34">
        <f t="shared" si="10"/>
        <v>0</v>
      </c>
      <c r="M30" s="33" t="s">
        <v>32</v>
      </c>
      <c r="N30" s="34">
        <v>0</v>
      </c>
      <c r="O30" s="34">
        <v>0</v>
      </c>
      <c r="P30" s="34">
        <f t="shared" si="2"/>
        <v>0</v>
      </c>
      <c r="R30" s="33" t="s">
        <v>32</v>
      </c>
      <c r="S30" s="34">
        <v>0</v>
      </c>
      <c r="T30" s="34">
        <v>0</v>
      </c>
      <c r="U30" s="34">
        <f t="shared" si="3"/>
        <v>0</v>
      </c>
      <c r="Z30" s="29"/>
      <c r="AD30" s="33" t="s">
        <v>98</v>
      </c>
      <c r="AE30" s="34">
        <v>0.1174</v>
      </c>
      <c r="AF30" s="34">
        <v>0.13350000000000001</v>
      </c>
      <c r="AG30" s="34">
        <f t="shared" si="9"/>
        <v>1.6100000000000003E-2</v>
      </c>
    </row>
    <row r="31" spans="2:38" x14ac:dyDescent="0.25">
      <c r="B31" s="33" t="s">
        <v>48</v>
      </c>
      <c r="C31" s="34">
        <v>0</v>
      </c>
      <c r="D31" s="34">
        <v>0</v>
      </c>
      <c r="E31" s="34">
        <f t="shared" si="10"/>
        <v>0</v>
      </c>
      <c r="M31" s="33" t="s">
        <v>84</v>
      </c>
      <c r="N31" s="34">
        <v>0</v>
      </c>
      <c r="O31" s="34">
        <v>0</v>
      </c>
      <c r="P31" s="34">
        <f t="shared" si="2"/>
        <v>0</v>
      </c>
      <c r="R31" s="33" t="s">
        <v>84</v>
      </c>
      <c r="S31" s="34">
        <v>0</v>
      </c>
      <c r="T31" s="34">
        <v>0.2676</v>
      </c>
      <c r="U31" s="34">
        <f t="shared" si="3"/>
        <v>0.2676</v>
      </c>
      <c r="Z31" s="29"/>
      <c r="AD31" s="33" t="s">
        <v>20</v>
      </c>
      <c r="AE31" s="34">
        <v>0.2039</v>
      </c>
      <c r="AF31" s="34">
        <v>0</v>
      </c>
      <c r="AG31" s="34">
        <f t="shared" si="9"/>
        <v>-0.2039</v>
      </c>
    </row>
    <row r="32" spans="2:38" x14ac:dyDescent="0.25">
      <c r="B32" s="33" t="s">
        <v>32</v>
      </c>
      <c r="C32" s="34">
        <v>0</v>
      </c>
      <c r="D32" s="34">
        <v>0</v>
      </c>
      <c r="E32" s="34">
        <f t="shared" si="10"/>
        <v>0</v>
      </c>
      <c r="M32" s="33" t="s">
        <v>48</v>
      </c>
      <c r="N32" s="34">
        <v>0</v>
      </c>
      <c r="O32" s="34">
        <v>0</v>
      </c>
      <c r="P32" s="34">
        <f t="shared" si="2"/>
        <v>0</v>
      </c>
      <c r="R32" s="33" t="s">
        <v>48</v>
      </c>
      <c r="S32" s="34">
        <v>0</v>
      </c>
      <c r="T32" s="34">
        <v>0</v>
      </c>
      <c r="U32" s="34">
        <f t="shared" si="3"/>
        <v>0</v>
      </c>
      <c r="AD32" s="33" t="s">
        <v>5</v>
      </c>
      <c r="AE32" s="34">
        <v>0.25779999999999997</v>
      </c>
      <c r="AF32" s="34">
        <v>3.4000000000000002E-2</v>
      </c>
      <c r="AG32" s="34">
        <f t="shared" si="9"/>
        <v>-0.22379999999999997</v>
      </c>
    </row>
    <row r="33" spans="2:31" x14ac:dyDescent="0.25">
      <c r="B33" s="37" t="s">
        <v>53</v>
      </c>
      <c r="C33" s="38">
        <v>0</v>
      </c>
      <c r="D33" s="38">
        <v>4.9700000000000001E-2</v>
      </c>
      <c r="E33" s="38">
        <f t="shared" si="10"/>
        <v>4.9700000000000001E-2</v>
      </c>
      <c r="M33" s="33" t="s">
        <v>53</v>
      </c>
      <c r="N33" s="34">
        <v>0</v>
      </c>
      <c r="O33" s="34">
        <v>0</v>
      </c>
      <c r="P33" s="34">
        <f t="shared" si="2"/>
        <v>0</v>
      </c>
      <c r="R33" s="33" t="s">
        <v>53</v>
      </c>
      <c r="S33" s="34">
        <v>0</v>
      </c>
      <c r="T33" s="34">
        <v>0</v>
      </c>
      <c r="U33" s="34">
        <f t="shared" si="3"/>
        <v>0</v>
      </c>
    </row>
    <row r="34" spans="2:31" x14ac:dyDescent="0.25">
      <c r="B34" s="37" t="s">
        <v>91</v>
      </c>
      <c r="C34" s="38">
        <v>0.1144</v>
      </c>
      <c r="D34" s="38">
        <v>0.29799999999999999</v>
      </c>
      <c r="E34" s="38">
        <f t="shared" si="10"/>
        <v>0.18359999999999999</v>
      </c>
      <c r="M34" s="33" t="s">
        <v>44</v>
      </c>
      <c r="N34" s="34">
        <v>0</v>
      </c>
      <c r="O34" s="34">
        <v>0</v>
      </c>
      <c r="P34" s="34">
        <f t="shared" si="2"/>
        <v>0</v>
      </c>
      <c r="R34" s="33" t="s">
        <v>44</v>
      </c>
      <c r="S34" s="34">
        <v>0</v>
      </c>
      <c r="T34" s="34">
        <v>0</v>
      </c>
      <c r="U34" s="34">
        <f t="shared" si="3"/>
        <v>0</v>
      </c>
      <c r="AD34" s="29"/>
      <c r="AE34" s="29"/>
    </row>
    <row r="35" spans="2:31" x14ac:dyDescent="0.25">
      <c r="M35" s="33" t="s">
        <v>55</v>
      </c>
      <c r="N35" s="34">
        <v>0</v>
      </c>
      <c r="O35" s="34">
        <v>0</v>
      </c>
      <c r="P35" s="34">
        <f t="shared" si="2"/>
        <v>0</v>
      </c>
      <c r="R35" s="33" t="s">
        <v>55</v>
      </c>
      <c r="S35" s="34">
        <v>0</v>
      </c>
      <c r="T35" s="34">
        <v>0</v>
      </c>
      <c r="U35" s="34">
        <f t="shared" si="3"/>
        <v>0</v>
      </c>
      <c r="Y35" s="29"/>
      <c r="Z35" s="29"/>
      <c r="AD35" s="29"/>
      <c r="AE35" s="29"/>
    </row>
    <row r="36" spans="2:31" x14ac:dyDescent="0.25">
      <c r="M36" s="33" t="s">
        <v>73</v>
      </c>
      <c r="N36" s="34">
        <v>0</v>
      </c>
      <c r="O36" s="34">
        <v>0</v>
      </c>
      <c r="P36" s="34">
        <f t="shared" si="2"/>
        <v>0</v>
      </c>
      <c r="R36" s="33" t="s">
        <v>73</v>
      </c>
      <c r="S36" s="34">
        <v>0</v>
      </c>
      <c r="T36" s="34">
        <v>0</v>
      </c>
      <c r="U36" s="34">
        <f t="shared" si="3"/>
        <v>0</v>
      </c>
      <c r="Y36" s="29"/>
      <c r="Z36" s="29"/>
      <c r="AD36" s="29"/>
      <c r="AE36" s="29"/>
    </row>
    <row r="37" spans="2:31" x14ac:dyDescent="0.25">
      <c r="M37" s="33" t="s">
        <v>56</v>
      </c>
      <c r="N37" s="34">
        <v>0</v>
      </c>
      <c r="O37" s="34">
        <v>0</v>
      </c>
      <c r="P37" s="34">
        <f t="shared" si="2"/>
        <v>0</v>
      </c>
      <c r="R37" s="33" t="s">
        <v>56</v>
      </c>
      <c r="S37" s="34">
        <v>0</v>
      </c>
      <c r="T37" s="34">
        <v>0</v>
      </c>
      <c r="U37" s="34">
        <f t="shared" si="3"/>
        <v>0</v>
      </c>
      <c r="Y37" s="29"/>
      <c r="Z37" s="29"/>
      <c r="AD37" s="29"/>
      <c r="AE37" s="29"/>
    </row>
    <row r="38" spans="2:31" x14ac:dyDescent="0.25">
      <c r="M38" s="33" t="s">
        <v>41</v>
      </c>
      <c r="N38" s="34">
        <v>0</v>
      </c>
      <c r="O38" s="34">
        <v>0</v>
      </c>
      <c r="P38" s="34">
        <f t="shared" si="2"/>
        <v>0</v>
      </c>
      <c r="R38" s="33" t="s">
        <v>41</v>
      </c>
      <c r="S38" s="34">
        <v>0</v>
      </c>
      <c r="T38" s="34">
        <v>0</v>
      </c>
      <c r="U38" s="34">
        <f t="shared" si="3"/>
        <v>0</v>
      </c>
      <c r="Y38" s="29"/>
      <c r="Z38" s="29"/>
      <c r="AD38" s="29"/>
      <c r="AE38" s="29"/>
    </row>
    <row r="39" spans="2:31" x14ac:dyDescent="0.25">
      <c r="M39" s="33" t="s">
        <v>89</v>
      </c>
      <c r="N39" s="34">
        <v>0</v>
      </c>
      <c r="O39" s="34">
        <v>0</v>
      </c>
      <c r="P39" s="34">
        <f t="shared" si="2"/>
        <v>0</v>
      </c>
      <c r="R39" s="33" t="s">
        <v>89</v>
      </c>
      <c r="S39" s="34">
        <v>0</v>
      </c>
      <c r="T39" s="34">
        <v>0</v>
      </c>
      <c r="U39" s="34">
        <f t="shared" si="3"/>
        <v>0</v>
      </c>
      <c r="Y39" s="29"/>
      <c r="Z39" s="29"/>
      <c r="AD39" s="29"/>
      <c r="AE39" s="29"/>
    </row>
    <row r="40" spans="2:31" x14ac:dyDescent="0.25">
      <c r="M40" s="33" t="s">
        <v>92</v>
      </c>
      <c r="N40" s="34">
        <v>0</v>
      </c>
      <c r="O40" s="34">
        <v>0</v>
      </c>
      <c r="P40" s="34">
        <f t="shared" si="2"/>
        <v>0</v>
      </c>
      <c r="R40" s="33" t="s">
        <v>92</v>
      </c>
      <c r="S40" s="34">
        <v>0</v>
      </c>
      <c r="T40" s="34">
        <v>0</v>
      </c>
      <c r="U40" s="34">
        <f t="shared" si="3"/>
        <v>0</v>
      </c>
      <c r="Y40" s="29"/>
      <c r="Z40" s="29"/>
      <c r="AD40" s="29"/>
      <c r="AE40" s="29"/>
    </row>
    <row r="41" spans="2:31" x14ac:dyDescent="0.25">
      <c r="M41" s="33" t="s">
        <v>98</v>
      </c>
      <c r="N41" s="34">
        <v>0</v>
      </c>
      <c r="O41" s="34">
        <v>0</v>
      </c>
      <c r="P41" s="34">
        <f t="shared" si="2"/>
        <v>0</v>
      </c>
      <c r="R41" s="33" t="s">
        <v>98</v>
      </c>
      <c r="S41" s="34">
        <v>0</v>
      </c>
      <c r="T41" s="34">
        <v>0</v>
      </c>
      <c r="U41" s="34">
        <f t="shared" si="3"/>
        <v>0</v>
      </c>
      <c r="Y41" s="29"/>
      <c r="Z41" s="29"/>
      <c r="AD41" s="29"/>
      <c r="AE41" s="29"/>
    </row>
    <row r="42" spans="2:31" x14ac:dyDescent="0.25">
      <c r="M42" s="33" t="s">
        <v>99</v>
      </c>
      <c r="N42" s="34">
        <v>0</v>
      </c>
      <c r="O42" s="34">
        <v>0</v>
      </c>
      <c r="P42" s="34">
        <f t="shared" si="2"/>
        <v>0</v>
      </c>
      <c r="R42" s="33" t="s">
        <v>99</v>
      </c>
      <c r="S42" s="34">
        <v>0</v>
      </c>
      <c r="T42" s="34">
        <v>0</v>
      </c>
      <c r="U42" s="34">
        <f t="shared" si="3"/>
        <v>0</v>
      </c>
      <c r="Y42" s="29"/>
      <c r="Z42" s="29"/>
      <c r="AD42" s="29"/>
      <c r="AE42" s="29"/>
    </row>
    <row r="43" spans="2:31" x14ac:dyDescent="0.25">
      <c r="Y43" s="29"/>
      <c r="Z43" s="29"/>
      <c r="AD43" s="29"/>
      <c r="AE43" s="29"/>
    </row>
    <row r="44" spans="2:31" x14ac:dyDescent="0.25">
      <c r="Y44" s="29"/>
      <c r="Z44" s="29"/>
    </row>
  </sheetData>
  <autoFilter ref="R5:U42" xr:uid="{CD6C5064-D029-4982-9C03-6BDB75C18181}"/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" id="{F293E84F-3DB7-4B95-8236-67AC7C989194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AA7:AA16 AG7:AG16 AJ7:AJ16</xm:sqref>
        </x14:conditionalFormatting>
        <x14:conditionalFormatting xmlns:xm="http://schemas.microsoft.com/office/excel/2006/main">
          <x14:cfRule type="iconSet" priority="1" id="{619D2448-0E18-4AF2-BD93-C4E4CCADB1BB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AG23:AG32</xm:sqref>
        </x14:conditionalFormatting>
        <x14:conditionalFormatting xmlns:xm="http://schemas.microsoft.com/office/excel/2006/main">
          <x14:cfRule type="iconSet" priority="2" id="{1F0AE9C3-FD1B-466E-A789-59FB1655B3C7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AO7:AO15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Positions</vt:lpstr>
      <vt:lpstr>Sheet2</vt:lpstr>
      <vt:lpstr>Sheet3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walton</dc:creator>
  <cp:lastModifiedBy>Samuel Rodriguez Walton</cp:lastModifiedBy>
  <dcterms:created xsi:type="dcterms:W3CDTF">2015-06-05T18:17:20Z</dcterms:created>
  <dcterms:modified xsi:type="dcterms:W3CDTF">2025-04-06T03:43:41Z</dcterms:modified>
</cp:coreProperties>
</file>