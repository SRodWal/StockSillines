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hidePivotFieldList="1"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1B825B88-2EFF-4757-9500-158D87505ED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ositions" sheetId="1" r:id="rId1"/>
    <sheet name="Sheet1" sheetId="4" r:id="rId2"/>
    <sheet name="Sheet2" sheetId="3" r:id="rId3"/>
  </sheets>
  <definedNames>
    <definedName name="_xlnm._FilterDatabase" localSheetId="0" hidden="1">Positions!$A$1:$T$46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" i="4" l="1"/>
  <c r="Z8" i="4"/>
  <c r="Z9" i="4"/>
  <c r="Z10" i="4"/>
  <c r="Z11" i="4"/>
  <c r="Z12" i="4"/>
  <c r="Z13" i="4"/>
  <c r="Z14" i="4"/>
  <c r="Z6" i="4"/>
  <c r="U7" i="4" l="1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6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7" i="4"/>
  <c r="P6" i="4"/>
  <c r="AC14" i="3"/>
  <c r="N7" i="1"/>
  <c r="P7" i="1" s="1"/>
  <c r="L7" i="1"/>
  <c r="M7" i="1" s="1"/>
  <c r="J7" i="1"/>
  <c r="G7" i="1"/>
  <c r="J7" i="4"/>
  <c r="J8" i="4"/>
  <c r="J9" i="4"/>
  <c r="J10" i="4"/>
  <c r="J11" i="4"/>
  <c r="J12" i="4"/>
  <c r="J13" i="4"/>
  <c r="J14" i="4"/>
  <c r="J15" i="4"/>
  <c r="J16" i="4"/>
  <c r="J6" i="4"/>
  <c r="E7" i="4"/>
  <c r="E8" i="4"/>
  <c r="E9" i="4"/>
  <c r="E10" i="4"/>
  <c r="E11" i="4"/>
  <c r="E12" i="4"/>
  <c r="E13" i="4"/>
  <c r="E14" i="4"/>
  <c r="E15" i="4"/>
  <c r="E16" i="4"/>
  <c r="E6" i="4"/>
  <c r="O7" i="1" l="1"/>
  <c r="Q7" i="1" s="1"/>
  <c r="N9" i="1" l="1"/>
  <c r="P9" i="1" s="1"/>
  <c r="L9" i="1"/>
  <c r="O9" i="1" s="1"/>
  <c r="J9" i="1"/>
  <c r="G9" i="1"/>
  <c r="N8" i="1"/>
  <c r="P8" i="1" s="1"/>
  <c r="L8" i="1"/>
  <c r="O8" i="1" s="1"/>
  <c r="Q8" i="1" s="1"/>
  <c r="J8" i="1"/>
  <c r="G8" i="1"/>
  <c r="N3" i="1"/>
  <c r="P3" i="1" s="1"/>
  <c r="L3" i="1"/>
  <c r="O3" i="1" s="1"/>
  <c r="J3" i="1"/>
  <c r="G3" i="1"/>
  <c r="N2" i="1"/>
  <c r="P2" i="1" s="1"/>
  <c r="L2" i="1"/>
  <c r="O2" i="1" s="1"/>
  <c r="J2" i="1"/>
  <c r="G2" i="1"/>
  <c r="Q2" i="1" l="1"/>
  <c r="Q3" i="1"/>
  <c r="Q9" i="1"/>
  <c r="M9" i="1"/>
  <c r="M8" i="1"/>
  <c r="M3" i="1"/>
  <c r="M2" i="1"/>
  <c r="L13" i="3"/>
  <c r="V13" i="3" l="1"/>
  <c r="M5" i="1"/>
  <c r="M39" i="1"/>
  <c r="N10" i="1"/>
  <c r="P10" i="1" s="1"/>
  <c r="L10" i="1"/>
  <c r="O10" i="1" s="1"/>
  <c r="J10" i="1"/>
  <c r="G10" i="1"/>
  <c r="H5" i="1"/>
  <c r="N5" i="1" s="1"/>
  <c r="P5" i="1" s="1"/>
  <c r="N46" i="1"/>
  <c r="P46" i="1" s="1"/>
  <c r="L46" i="1"/>
  <c r="O46" i="1" s="1"/>
  <c r="J46" i="1"/>
  <c r="G46" i="1"/>
  <c r="N45" i="1"/>
  <c r="P45" i="1" s="1"/>
  <c r="L45" i="1"/>
  <c r="O45" i="1" s="1"/>
  <c r="J45" i="1"/>
  <c r="G45" i="1"/>
  <c r="N16" i="1"/>
  <c r="P16" i="1" s="1"/>
  <c r="L16" i="1"/>
  <c r="O16" i="1" s="1"/>
  <c r="J16" i="1"/>
  <c r="G16" i="1"/>
  <c r="O5" i="1"/>
  <c r="G5" i="1"/>
  <c r="N44" i="1"/>
  <c r="P44" i="1" s="1"/>
  <c r="L44" i="1"/>
  <c r="O44" i="1" s="1"/>
  <c r="J44" i="1"/>
  <c r="G44" i="1"/>
  <c r="N17" i="1"/>
  <c r="P17" i="1" s="1"/>
  <c r="L17" i="1"/>
  <c r="O17" i="1" s="1"/>
  <c r="J17" i="1"/>
  <c r="G17" i="1"/>
  <c r="N43" i="1"/>
  <c r="P43" i="1" s="1"/>
  <c r="L43" i="1"/>
  <c r="O43" i="1" s="1"/>
  <c r="J43" i="1"/>
  <c r="G43" i="1"/>
  <c r="L24" i="1"/>
  <c r="O24" i="1" s="1"/>
  <c r="L4" i="1"/>
  <c r="O4" i="1" s="1"/>
  <c r="J4" i="1"/>
  <c r="G4" i="1"/>
  <c r="N32" i="1"/>
  <c r="P32" i="1" s="1"/>
  <c r="G32" i="1"/>
  <c r="H34" i="1"/>
  <c r="L34" i="1" s="1"/>
  <c r="O34" i="1" s="1"/>
  <c r="L11" i="1"/>
  <c r="O11" i="1" s="1"/>
  <c r="N33" i="1"/>
  <c r="P33" i="1" s="1"/>
  <c r="H19" i="1"/>
  <c r="L19" i="1" s="1"/>
  <c r="O19" i="1" s="1"/>
  <c r="H31" i="1"/>
  <c r="J31" i="1" s="1"/>
  <c r="N35" i="1"/>
  <c r="P35" i="1" s="1"/>
  <c r="H13" i="1"/>
  <c r="J13" i="1" s="1"/>
  <c r="H6" i="1"/>
  <c r="L6" i="1" s="1"/>
  <c r="O6" i="1" s="1"/>
  <c r="N37" i="1"/>
  <c r="P37" i="1" s="1"/>
  <c r="J29" i="1"/>
  <c r="H26" i="1"/>
  <c r="N26" i="1" s="1"/>
  <c r="P26" i="1" s="1"/>
  <c r="L30" i="1"/>
  <c r="O30" i="1" s="1"/>
  <c r="L27" i="1"/>
  <c r="O27" i="1" s="1"/>
  <c r="N40" i="1"/>
  <c r="P40" i="1" s="1"/>
  <c r="N36" i="1"/>
  <c r="P36" i="1" s="1"/>
  <c r="L36" i="1"/>
  <c r="O36" i="1" s="1"/>
  <c r="J36" i="1"/>
  <c r="G36" i="1"/>
  <c r="D36" i="1"/>
  <c r="N42" i="1"/>
  <c r="P42" i="1" s="1"/>
  <c r="L42" i="1"/>
  <c r="O42" i="1" s="1"/>
  <c r="J42" i="1"/>
  <c r="G42" i="1"/>
  <c r="J39" i="1"/>
  <c r="N39" i="1"/>
  <c r="P39" i="1" s="1"/>
  <c r="O39" i="1"/>
  <c r="G39" i="1"/>
  <c r="N38" i="1"/>
  <c r="P38" i="1" s="1"/>
  <c r="L38" i="1"/>
  <c r="O38" i="1" s="1"/>
  <c r="J38" i="1"/>
  <c r="G38" i="1"/>
  <c r="L41" i="1"/>
  <c r="O41" i="1" s="1"/>
  <c r="N41" i="1"/>
  <c r="P41" i="1" s="1"/>
  <c r="L15" i="1"/>
  <c r="O15" i="1" s="1"/>
  <c r="N15" i="1"/>
  <c r="P15" i="1" s="1"/>
  <c r="L18" i="1"/>
  <c r="O18" i="1" s="1"/>
  <c r="N18" i="1"/>
  <c r="P18" i="1" s="1"/>
  <c r="L22" i="1"/>
  <c r="O22" i="1" s="1"/>
  <c r="N22" i="1"/>
  <c r="P22" i="1" s="1"/>
  <c r="L21" i="1"/>
  <c r="O21" i="1" s="1"/>
  <c r="N21" i="1"/>
  <c r="P21" i="1" s="1"/>
  <c r="L20" i="1"/>
  <c r="O20" i="1" s="1"/>
  <c r="N20" i="1"/>
  <c r="P20" i="1" s="1"/>
  <c r="L25" i="1"/>
  <c r="O25" i="1" s="1"/>
  <c r="N25" i="1"/>
  <c r="P25" i="1" s="1"/>
  <c r="L28" i="1"/>
  <c r="O28" i="1" s="1"/>
  <c r="N28" i="1"/>
  <c r="P28" i="1" s="1"/>
  <c r="L14" i="1"/>
  <c r="O14" i="1" s="1"/>
  <c r="N14" i="1"/>
  <c r="P14" i="1" s="1"/>
  <c r="L12" i="1"/>
  <c r="O12" i="1" s="1"/>
  <c r="N12" i="1"/>
  <c r="P12" i="1" s="1"/>
  <c r="J41" i="1"/>
  <c r="J15" i="1"/>
  <c r="J18" i="1"/>
  <c r="J22" i="1"/>
  <c r="J21" i="1"/>
  <c r="J20" i="1"/>
  <c r="J25" i="1"/>
  <c r="J28" i="1"/>
  <c r="J14" i="1"/>
  <c r="J12" i="1"/>
  <c r="G28" i="1"/>
  <c r="G18" i="1"/>
  <c r="G40" i="1"/>
  <c r="G37" i="1"/>
  <c r="G34" i="1"/>
  <c r="G23" i="1"/>
  <c r="G33" i="1"/>
  <c r="G19" i="1"/>
  <c r="G35" i="1"/>
  <c r="G15" i="1"/>
  <c r="G41" i="1"/>
  <c r="G27" i="1"/>
  <c r="G31" i="1"/>
  <c r="G30" i="1"/>
  <c r="G22" i="1"/>
  <c r="G11" i="1"/>
  <c r="G24" i="1"/>
  <c r="G29" i="1"/>
  <c r="G13" i="1"/>
  <c r="G14" i="1"/>
  <c r="G26" i="1"/>
  <c r="G12" i="1"/>
  <c r="G20" i="1"/>
  <c r="G21" i="1"/>
  <c r="G25" i="1"/>
  <c r="G6" i="1"/>
  <c r="M14" i="1" l="1"/>
  <c r="M6" i="1"/>
  <c r="M43" i="1"/>
  <c r="M46" i="1"/>
  <c r="M17" i="1"/>
  <c r="M36" i="1"/>
  <c r="M34" i="1"/>
  <c r="M16" i="1"/>
  <c r="M30" i="1"/>
  <c r="M22" i="1"/>
  <c r="M21" i="1"/>
  <c r="M20" i="1"/>
  <c r="M18" i="1"/>
  <c r="M45" i="1"/>
  <c r="M44" i="1"/>
  <c r="M15" i="1"/>
  <c r="M25" i="1"/>
  <c r="M24" i="1"/>
  <c r="M42" i="1"/>
  <c r="M41" i="1"/>
  <c r="M28" i="1"/>
  <c r="M27" i="1"/>
  <c r="M12" i="1"/>
  <c r="M38" i="1"/>
  <c r="M19" i="1"/>
  <c r="M10" i="1"/>
  <c r="M4" i="1"/>
  <c r="M11" i="1"/>
  <c r="J6" i="1"/>
  <c r="N6" i="1"/>
  <c r="P6" i="1" s="1"/>
  <c r="Q6" i="1" s="1"/>
  <c r="Q16" i="1"/>
  <c r="Q10" i="1"/>
  <c r="Q45" i="1"/>
  <c r="Q46" i="1"/>
  <c r="J5" i="1"/>
  <c r="K7" i="1" s="1"/>
  <c r="Q5" i="1"/>
  <c r="N34" i="1"/>
  <c r="P34" i="1" s="1"/>
  <c r="Q34" i="1" s="1"/>
  <c r="N11" i="1"/>
  <c r="P11" i="1" s="1"/>
  <c r="Q11" i="1" s="1"/>
  <c r="Q43" i="1"/>
  <c r="Q44" i="1"/>
  <c r="Q17" i="1"/>
  <c r="N4" i="1"/>
  <c r="P4" i="1" s="1"/>
  <c r="Q4" i="1" s="1"/>
  <c r="L31" i="1"/>
  <c r="J11" i="1"/>
  <c r="J33" i="1"/>
  <c r="N31" i="1"/>
  <c r="P31" i="1" s="1"/>
  <c r="L35" i="1"/>
  <c r="J32" i="1"/>
  <c r="L32" i="1"/>
  <c r="N24" i="1"/>
  <c r="P24" i="1" s="1"/>
  <c r="Q24" i="1" s="1"/>
  <c r="J24" i="1"/>
  <c r="L37" i="1"/>
  <c r="N13" i="1"/>
  <c r="P13" i="1" s="1"/>
  <c r="J34" i="1"/>
  <c r="J35" i="1"/>
  <c r="L29" i="1"/>
  <c r="J37" i="1"/>
  <c r="L33" i="1"/>
  <c r="N29" i="1"/>
  <c r="P29" i="1" s="1"/>
  <c r="J19" i="1"/>
  <c r="L13" i="1"/>
  <c r="N19" i="1"/>
  <c r="P19" i="1" s="1"/>
  <c r="Q19" i="1" s="1"/>
  <c r="L26" i="1"/>
  <c r="J23" i="1"/>
  <c r="N23" i="1"/>
  <c r="P23" i="1" s="1"/>
  <c r="L23" i="1"/>
  <c r="J26" i="1"/>
  <c r="N27" i="1"/>
  <c r="P27" i="1" s="1"/>
  <c r="Q27" i="1" s="1"/>
  <c r="J27" i="1"/>
  <c r="J30" i="1"/>
  <c r="N30" i="1"/>
  <c r="P30" i="1" s="1"/>
  <c r="Q30" i="1" s="1"/>
  <c r="L40" i="1"/>
  <c r="J40" i="1"/>
  <c r="Q39" i="1"/>
  <c r="Q36" i="1"/>
  <c r="Q42" i="1"/>
  <c r="Q38" i="1"/>
  <c r="Q25" i="1"/>
  <c r="Q15" i="1"/>
  <c r="Q20" i="1"/>
  <c r="Q18" i="1"/>
  <c r="Q12" i="1"/>
  <c r="Q22" i="1"/>
  <c r="Q28" i="1"/>
  <c r="Q21" i="1"/>
  <c r="Q14" i="1"/>
  <c r="Q41" i="1"/>
  <c r="K8" i="1" l="1"/>
  <c r="K9" i="1"/>
  <c r="O29" i="1"/>
  <c r="Q29" i="1" s="1"/>
  <c r="M29" i="1"/>
  <c r="O31" i="1"/>
  <c r="Q31" i="1" s="1"/>
  <c r="M31" i="1"/>
  <c r="O23" i="1"/>
  <c r="Q23" i="1" s="1"/>
  <c r="M23" i="1"/>
  <c r="O37" i="1"/>
  <c r="Q37" i="1" s="1"/>
  <c r="M37" i="1"/>
  <c r="O26" i="1"/>
  <c r="Q26" i="1" s="1"/>
  <c r="M26" i="1"/>
  <c r="O13" i="1"/>
  <c r="Q13" i="1" s="1"/>
  <c r="M13" i="1"/>
  <c r="O40" i="1"/>
  <c r="Q40" i="1" s="1"/>
  <c r="M40" i="1"/>
  <c r="O35" i="1"/>
  <c r="Q35" i="1" s="1"/>
  <c r="M35" i="1"/>
  <c r="O32" i="1"/>
  <c r="Q32" i="1" s="1"/>
  <c r="M32" i="1"/>
  <c r="K2" i="1"/>
  <c r="K3" i="1"/>
  <c r="O33" i="1"/>
  <c r="Q33" i="1" s="1"/>
  <c r="M33" i="1"/>
  <c r="K10" i="1"/>
  <c r="K17" i="1"/>
  <c r="K45" i="1"/>
  <c r="K44" i="1"/>
  <c r="K16" i="1"/>
  <c r="K46" i="1"/>
  <c r="K4" i="1"/>
  <c r="K5" i="1"/>
  <c r="K43" i="1"/>
  <c r="K23" i="1"/>
  <c r="K32" i="1"/>
  <c r="K15" i="1"/>
  <c r="K20" i="1"/>
  <c r="K29" i="1"/>
  <c r="K25" i="1"/>
  <c r="K30" i="1"/>
  <c r="K18" i="1"/>
  <c r="K22" i="1"/>
  <c r="K37" i="1"/>
  <c r="K31" i="1"/>
  <c r="K27" i="1"/>
  <c r="K33" i="1"/>
  <c r="K28" i="1"/>
  <c r="K26" i="1"/>
  <c r="K6" i="1"/>
  <c r="K14" i="1"/>
  <c r="K11" i="1"/>
  <c r="K35" i="1"/>
  <c r="K13" i="1"/>
  <c r="K39" i="1"/>
  <c r="K24" i="1"/>
  <c r="K21" i="1"/>
  <c r="K36" i="1"/>
  <c r="K38" i="1"/>
  <c r="K19" i="1"/>
  <c r="K34" i="1"/>
  <c r="K12" i="1"/>
  <c r="K41" i="1"/>
  <c r="K42" i="1"/>
  <c r="K40" i="1"/>
  <c r="R7" i="1" l="1"/>
  <c r="R2" i="1"/>
  <c r="R9" i="1"/>
  <c r="R8" i="1"/>
  <c r="R3" i="1"/>
  <c r="R10" i="1"/>
  <c r="R40" i="1"/>
  <c r="R45" i="1"/>
  <c r="R16" i="1"/>
  <c r="R46" i="1"/>
  <c r="R44" i="1"/>
  <c r="R4" i="1"/>
  <c r="R5" i="1"/>
  <c r="R43" i="1"/>
  <c r="R17" i="1"/>
  <c r="R41" i="1"/>
  <c r="R32" i="1"/>
  <c r="R21" i="1"/>
  <c r="R23" i="1"/>
  <c r="R33" i="1"/>
  <c r="R19" i="1"/>
  <c r="R24" i="1"/>
  <c r="R42" i="1"/>
  <c r="R34" i="1"/>
  <c r="R38" i="1"/>
  <c r="R20" i="1"/>
  <c r="R22" i="1"/>
  <c r="R13" i="1"/>
  <c r="R31" i="1"/>
  <c r="R36" i="1"/>
  <c r="R25" i="1"/>
  <c r="R29" i="1"/>
  <c r="R37" i="1"/>
  <c r="R28" i="1"/>
  <c r="R30" i="1"/>
  <c r="R18" i="1"/>
  <c r="R26" i="1"/>
  <c r="R39" i="1"/>
  <c r="R11" i="1"/>
  <c r="R14" i="1"/>
  <c r="R35" i="1"/>
  <c r="R15" i="1"/>
  <c r="R27" i="1"/>
  <c r="R6" i="1"/>
  <c r="R12" i="1"/>
  <c r="T7" i="1" l="1"/>
  <c r="S7" i="1"/>
  <c r="T9" i="1"/>
  <c r="S9" i="1"/>
  <c r="T8" i="1"/>
  <c r="S8" i="1"/>
  <c r="T3" i="1"/>
  <c r="S3" i="1"/>
  <c r="T2" i="1"/>
  <c r="S2" i="1"/>
  <c r="T10" i="1"/>
  <c r="S10" i="1"/>
  <c r="T46" i="1"/>
  <c r="S46" i="1"/>
  <c r="T45" i="1"/>
  <c r="S45" i="1"/>
  <c r="T16" i="1"/>
  <c r="S16" i="1"/>
  <c r="T5" i="1"/>
  <c r="S5" i="1"/>
  <c r="T44" i="1"/>
  <c r="S44" i="1"/>
  <c r="S17" i="1"/>
  <c r="T17" i="1"/>
  <c r="T43" i="1"/>
  <c r="S43" i="1"/>
  <c r="S4" i="1"/>
  <c r="T4" i="1"/>
  <c r="S40" i="1"/>
  <c r="S23" i="1"/>
  <c r="S12" i="1"/>
  <c r="S13" i="1"/>
  <c r="S19" i="1"/>
  <c r="T30" i="1"/>
  <c r="S37" i="1"/>
  <c r="S38" i="1"/>
  <c r="S20" i="1"/>
  <c r="S25" i="1"/>
  <c r="S6" i="1"/>
  <c r="S39" i="1"/>
  <c r="S41" i="1"/>
  <c r="S28" i="1"/>
  <c r="S11" i="1"/>
  <c r="S24" i="1"/>
  <c r="S15" i="1"/>
  <c r="S14" i="1"/>
  <c r="T11" i="1"/>
  <c r="S26" i="1"/>
  <c r="T39" i="1"/>
  <c r="S29" i="1"/>
  <c r="T38" i="1"/>
  <c r="S36" i="1"/>
  <c r="S22" i="1"/>
  <c r="T41" i="1"/>
  <c r="S42" i="1"/>
  <c r="T33" i="1"/>
  <c r="S33" i="1"/>
  <c r="S32" i="1"/>
  <c r="T27" i="1"/>
  <c r="S31" i="1"/>
  <c r="S34" i="1"/>
  <c r="T40" i="1"/>
  <c r="S21" i="1"/>
  <c r="S18" i="1"/>
  <c r="T26" i="1"/>
  <c r="T23" i="1"/>
  <c r="T13" i="1"/>
  <c r="T34" i="1"/>
  <c r="T15" i="1"/>
  <c r="T14" i="1"/>
  <c r="T42" i="1"/>
  <c r="T20" i="1"/>
  <c r="T29" i="1"/>
  <c r="T21" i="1"/>
  <c r="S27" i="1"/>
  <c r="T36" i="1"/>
  <c r="S35" i="1"/>
  <c r="T18" i="1"/>
  <c r="S30" i="1"/>
  <c r="T32" i="1"/>
  <c r="T35" i="1"/>
  <c r="T19" i="1"/>
  <c r="T6" i="1"/>
  <c r="T31" i="1"/>
  <c r="T37" i="1"/>
  <c r="T25" i="1"/>
  <c r="T28" i="1"/>
  <c r="T24" i="1"/>
  <c r="T12" i="1"/>
  <c r="T22" i="1"/>
</calcChain>
</file>

<file path=xl/sharedStrings.xml><?xml version="1.0" encoding="utf-8"?>
<sst xmlns="http://schemas.openxmlformats.org/spreadsheetml/2006/main" count="382" uniqueCount="132">
  <si>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</si>
  <si>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</si>
  <si>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</si>
  <si>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</si>
  <si>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</si>
  <si>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</si>
  <si>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</si>
  <si>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</si>
  <si>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</si>
  <si>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</si>
  <si>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</si>
  <si>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</si>
  <si>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</si>
  <si>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</si>
  <si>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</si>
  <si>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</si>
  <si>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</si>
  <si>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</si>
  <si>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</si>
  <si>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</si>
  <si>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</si>
  <si>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</si>
  <si>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</si>
  <si>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</si>
  <si>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</si>
  <si>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</si>
  <si>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</si>
  <si>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</si>
  <si>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</si>
  <si>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</si>
  <si>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</si>
  <si>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</si>
  <si>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</si>
  <si>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</si>
  <si>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</si>
  <si>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</si>
  <si>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</si>
  <si>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</si>
  <si>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</si>
  <si>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</si>
  <si>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</si>
  <si>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</si>
  <si>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</si>
  <si>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</si>
  <si>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</si>
  <si>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</si>
  <si>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</si>
  <si>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</si>
  <si>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</si>
  <si>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</si>
  <si>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</si>
  <si>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</si>
  <si>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</si>
  <si>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</si>
  <si>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</si>
  <si>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</si>
  <si>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</si>
  <si>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</si>
  <si>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</si>
  <si>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</si>
  <si>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</si>
  <si>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</si>
  <si>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</si>
  <si>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</si>
  <si>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</si>
  <si>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</si>
  <si>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</si>
  <si>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</si>
  <si>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</si>
  <si>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</si>
  <si>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</si>
  <si>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</si>
  <si>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</si>
  <si>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</si>
  <si>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</si>
  <si>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</si>
  <si>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</si>
  <si>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</si>
  <si>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</si>
  <si>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</si>
  <si>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</si>
  <si>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</si>
  <si>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</si>
  <si>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</si>
  <si>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</si>
  <si>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</si>
  <si>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</si>
  <si>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</si>
  <si>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</si>
  <si>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</si>
  <si>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</si>
  <si>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</si>
  <si>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PCG</t>
  </si>
  <si>
    <t>PG&amp;E</t>
  </si>
  <si>
    <t>APA</t>
  </si>
  <si>
    <t>Expected Return QoQ%</t>
  </si>
  <si>
    <t>Health</t>
  </si>
  <si>
    <t>Agios</t>
  </si>
  <si>
    <t>ACI</t>
  </si>
  <si>
    <t>HCA</t>
  </si>
  <si>
    <t>AGIO</t>
  </si>
  <si>
    <t>Albertson Companies</t>
  </si>
  <si>
    <t>HCA Healthcare</t>
  </si>
  <si>
    <t>YPF</t>
  </si>
  <si>
    <t>Row Labels</t>
  </si>
  <si>
    <t>Grand Total</t>
  </si>
  <si>
    <t>Initial Volume $</t>
  </si>
  <si>
    <t>$%</t>
  </si>
  <si>
    <t>WK05</t>
  </si>
  <si>
    <t>WK05 Start</t>
  </si>
  <si>
    <t>Target Value</t>
  </si>
  <si>
    <t>Target Return %</t>
  </si>
  <si>
    <t>Target P&amp;L</t>
  </si>
  <si>
    <t>Actual P&amp;L vs LV</t>
  </si>
  <si>
    <t>WK50</t>
  </si>
  <si>
    <t>ETF</t>
  </si>
  <si>
    <t>BOTZ.UK</t>
  </si>
  <si>
    <t>BATT.NL</t>
  </si>
  <si>
    <t>VBTC.DE</t>
  </si>
  <si>
    <t>ETF5</t>
  </si>
  <si>
    <t>BONDS</t>
  </si>
  <si>
    <t>VWO.US</t>
  </si>
  <si>
    <t>Return:</t>
  </si>
  <si>
    <t>Optimal</t>
  </si>
  <si>
    <t>Expected</t>
  </si>
  <si>
    <t>Portfolio</t>
  </si>
  <si>
    <t>Volatility:</t>
  </si>
  <si>
    <t>Delta</t>
  </si>
  <si>
    <t>Robotics &amp; AI</t>
  </si>
  <si>
    <t>Batterey Value-Chain</t>
  </si>
  <si>
    <t>Emergin Markets</t>
  </si>
  <si>
    <t>Bitcoin 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</si>
</sst>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000"/>
    <numFmt numFmtId="165" formatCode="[$-F800]dddd\,\ mmmm\ dd\,\ yy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7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10" fontId="0" fillId="0" borderId="0" xfId="0" applyNumberFormat="1" applyAlignment="1">
      <alignment horizontal="center" vertical="center"/>
    </xf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2" fillId="8" borderId="1" xfId="0" applyFont="1" applyFill="1" applyBorder="1" applyAlignment="1">
      <alignment horizontal="center" vertical="center"/>
    </xf>
    <xf numFmtId="44" fontId="2" fillId="8" borderId="2" xfId="0" applyNumberFormat="1" applyFont="1" applyFill="1" applyBorder="1"/>
    <xf numFmtId="9" fontId="2" fillId="8" borderId="2" xfId="0" applyNumberFormat="1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2" fillId="8" borderId="1" xfId="0" applyFont="1" applyFill="1" applyBorder="1"/>
    <xf numFmtId="10" fontId="0" fillId="0" borderId="0" xfId="0" applyNumberFormat="1"/>
    <xf numFmtId="10" fontId="2" fillId="8" borderId="2" xfId="0" applyNumberFormat="1" applyFont="1" applyFill="1" applyBorder="1"/>
    <xf numFmtId="0" fontId="2" fillId="8" borderId="2" xfId="0" applyFont="1" applyFill="1" applyBorder="1" applyAlignment="1">
      <alignment horizontal="left"/>
    </xf>
    <xf numFmtId="0" fontId="0" fillId="9" borderId="0" xfId="0" applyFill="1"/>
    <xf numFmtId="0" fontId="0" fillId="0" borderId="3" xfId="0" applyBorder="1"/>
    <xf numFmtId="10" fontId="0" fillId="0" borderId="3" xfId="0" applyNumberFormat="1" applyBorder="1"/>
    <xf numFmtId="0" fontId="0" fillId="10" borderId="3" xfId="0" applyFill="1" applyBorder="1"/>
    <xf numFmtId="10" fontId="0" fillId="10" borderId="3" xfId="0" applyNumberFormat="1" applyFill="1" applyBorder="1"/>
    <xf numFmtId="0" fontId="0" fillId="7" borderId="3" xfId="0" applyFill="1" applyBorder="1"/>
    <xf numFmtId="10" fontId="0" fillId="7" borderId="3" xfId="0" applyNumberFormat="1" applyFill="1" applyBorder="1"/>
    <xf numFmtId="0" fontId="2" fillId="11" borderId="3" xfId="0" applyFont="1" applyFill="1" applyBorder="1"/>
    <xf numFmtId="0" fontId="2" fillId="0" borderId="1" xfId="0" applyFont="1" applyBorder="1" applyAlignment="1">
      <alignment horizontal="left"/>
    </xf>
    <xf numFmtId="44" fontId="2" fillId="0" borderId="1" xfId="0" applyNumberFormat="1" applyFont="1" applyBorder="1"/>
    <xf numFmtId="9" fontId="2" fillId="0" borderId="1" xfId="0" applyNumberFormat="1" applyFont="1" applyBorder="1"/>
    <xf numFmtId="10" fontId="2" fillId="0" borderId="1" xfId="0" applyNumberFormat="1" applyFont="1" applyBorder="1"/>
    <xf numFmtId="2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3">
    <dxf>
      <numFmt numFmtId="14" formatCode="0.00%"/>
    </dxf>
    <dxf>
      <alignment horizont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muel walton" refreshedDate="45691.704963310185" createdVersion="8" refreshedVersion="8" minRefreshableVersion="3" recordCount="48" xr:uid="{A9649E00-87AB-4DC2-85FE-D21B9DD48B57}">
  <cacheSource type="worksheet">
    <worksheetSource ref="A1:T1048576" sheet="Positions"/>
  </cacheSource>
  <cacheFields count="22">
    <cacheField name="Chapter" numFmtId="0">
      <sharedItems containsBlank="1" count="11">
        <s v="ETF"/>
        <s v="Banking"/>
        <s v="Energy"/>
        <s v="US Consumer"/>
        <s v="Tech"/>
        <s v="Health"/>
        <s v="Asia Consumer"/>
        <s v="Forex"/>
        <s v="Automotive"/>
        <s v="Industrials"/>
        <m/>
      </sharedItems>
    </cacheField>
    <cacheField name="Name" numFmtId="0">
      <sharedItems containsBlank="1"/>
    </cacheField>
    <cacheField name="Ticker" numFmtId="0">
      <sharedItems containsBlank="1" count="46">
        <s v="BOTZ.UK"/>
        <s v="BATT.NL"/>
        <s v="ING"/>
        <s v="APA"/>
        <s v="MO"/>
        <s v="VWO.US"/>
        <s v="VBTC.DE"/>
        <s v="BONDS"/>
        <s v="YPF"/>
        <s v="NEE"/>
        <s v="PEP"/>
        <s v="TSM"/>
        <s v="KMB"/>
        <s v="AGIO"/>
        <s v="EXC"/>
        <s v="YUM"/>
        <s v="FSLR"/>
        <s v="INGR"/>
        <s v="AAPL"/>
        <s v="MSFT"/>
        <s v="MA"/>
        <s v="MAXN"/>
        <s v="V"/>
        <s v="QCOM"/>
        <s v="GOOGL"/>
        <s v="MC.PA"/>
        <s v="ASML"/>
        <s v="NVDA"/>
        <s v="AMAT"/>
        <s v="DUK"/>
        <s v="PLTR"/>
        <s v="JKS"/>
        <s v="SWI"/>
        <s v="CSIQ"/>
        <s v="GC=F"/>
        <s v="WMT"/>
        <s v="APTV"/>
        <s v="USDMXN=X"/>
        <s v="YUMC"/>
        <s v="DAR"/>
        <s v="USDJPY=X"/>
        <s v="MMM"/>
        <s v="PCG"/>
        <s v="ACI"/>
        <s v="HCA"/>
        <m/>
      </sharedItems>
    </cacheField>
    <cacheField name="Date" numFmtId="165">
      <sharedItems containsNonDate="0" containsDate="1" containsString="0" containsBlank="1" minDate="2024-06-17T00:00:00" maxDate="2025-02-01T00:00:00"/>
    </cacheField>
    <cacheField name="Volume" numFmtId="164">
      <sharedItems containsString="0" containsBlank="1" containsNumber="1" minValue="9.9999999999999998E-20" maxValue="2"/>
    </cacheField>
    <cacheField name="Price" numFmtId="44">
      <sharedItems containsString="0" containsBlank="1" containsNumber="1" minValue="10.92" maxValue="2742.9"/>
    </cacheField>
    <cacheField name="Value" numFmtId="44">
      <sharedItems containsString="0" containsBlank="1" containsNumber="1" minValue="1.092E-18" maxValue="89.991048000000006"/>
    </cacheField>
    <cacheField name="Expected Return QoQ%" numFmtId="0">
      <sharedItems containsString="0" containsBlank="1" containsNumber="1" minValue="2.5000000000000001E-2" maxValue="1"/>
    </cacheField>
    <cacheField name="Volatility" numFmtId="0">
      <sharedItems containsString="0" containsBlank="1" containsNumber="1" minValue="0.15" maxValue="1.8652"/>
    </cacheField>
    <cacheField name="Ranking" numFmtId="0">
      <sharedItems containsString="0" containsBlank="1" containsNumber="1" minValue="6.7668155366084726E-2" maxValue="1"/>
    </cacheField>
    <cacheField name="Mix %" numFmtId="0">
      <sharedItems containsString="0" containsBlank="1" containsNumber="1" minValue="3.4439460009693403E-3" maxValue="5.0894634002324905E-2"/>
    </cacheField>
    <cacheField name="Target Price" numFmtId="0">
      <sharedItems containsString="0" containsBlank="1" containsNumber="1" minValue="11.602500000000001" maxValue="3017.1900000000005"/>
    </cacheField>
    <cacheField name="Target Value" numFmtId="0">
      <sharedItems containsString="0" containsBlank="1" containsNumber="1" minValue="1.16025E-18" maxValue="106.57639814639998"/>
    </cacheField>
    <cacheField name="Tolerance" numFmtId="0">
      <sharedItems containsString="0" containsBlank="1" containsNumber="1" minValue="5.8546000428908433" maxValue="1959.214285714286"/>
    </cacheField>
    <cacheField name="Unit Profit" numFmtId="0">
      <sharedItems containsString="0" containsBlank="1" containsNumber="1" minValue="0.55250000000000021" maxValue="274.29000000000042"/>
    </cacheField>
    <cacheField name="Unit Half Loss" numFmtId="0">
      <sharedItems containsString="0" containsBlank="1" containsNumber="1" minValue="-391.84285714285704" maxValue="0"/>
    </cacheField>
    <cacheField name="Balance Risk" numFmtId="0">
      <sharedItems containsString="0" containsBlank="1" containsNumber="1" minValue="-117.55285714285662" maxValue="114.13244508118439"/>
    </cacheField>
    <cacheField name="Normalized Risk" numFmtId="0">
      <sharedItems containsString="0" containsBlank="1" containsNumber="1" minValue="0" maxValue="231.68530222404101"/>
    </cacheField>
    <cacheField name="Risk Mix" numFmtId="0">
      <sharedItems containsString="0" containsBlank="1" containsNumber="1" minValue="0" maxValue="2.2382348581474875E-2"/>
    </cacheField>
    <cacheField name="Normalized Risk %" numFmtId="0">
      <sharedItems containsString="0" containsBlank="1" containsNumber="1" minValue="0" maxValue="1.6176498268314992"/>
    </cacheField>
    <cacheField name="TargetReturn%_Metric" numFmtId="0" formula="'Target Value'/Value-1" databaseField="0"/>
    <cacheField name="TargetP&amp;L_metric" numFmtId="0" formula="'Target Value'-Value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Robotics &amp; AI"/>
    <x v="0"/>
    <d v="2024-07-08T00:00:00"/>
    <n v="2"/>
    <n v="20.928000000000001"/>
    <n v="41.856000000000002"/>
    <n v="4.4999999999999998E-2"/>
    <n v="0.2"/>
    <n v="0.22499999999999998"/>
    <n v="1.1451292650523102E-2"/>
    <n v="21.869759999999999"/>
    <n v="43.739519999999999"/>
    <n v="18.119480519480518"/>
    <n v="0.9417599999999986"/>
    <n v="-1.4042597402597412"/>
    <n v="-0.46249974025974261"/>
    <n v="114.59494482144413"/>
    <n v="8.7263884245343277E-3"/>
    <n v="0.80011330398039715"/>
  </r>
  <r>
    <x v="0"/>
    <s v="Batterey Value-Chain"/>
    <x v="1"/>
    <d v="2024-07-08T00:00:00"/>
    <n v="2"/>
    <n v="16.399999999999999"/>
    <n v="32.799999999999997"/>
    <n v="4.4999999999999998E-2"/>
    <n v="0.2"/>
    <n v="0.22499999999999998"/>
    <n v="1.1451292650523102E-2"/>
    <n v="17.137999999999998"/>
    <n v="34.275999999999996"/>
    <n v="14.199134199134198"/>
    <n v="0.73799999999999955"/>
    <n v="-1.1004329004329003"/>
    <n v="-0.36243290043290077"/>
    <n v="114.49487798161729"/>
    <n v="8.7340151597048287E-3"/>
    <n v="0.79941462735066027"/>
  </r>
  <r>
    <x v="1"/>
    <s v="ING Group NV"/>
    <x v="2"/>
    <d v="2024-11-27T00:00:00"/>
    <n v="1.9595"/>
    <n v="15.3"/>
    <n v="29.980350000000001"/>
    <n v="0.35"/>
    <n v="0.39532299999999998"/>
    <n v="0.88535197800279775"/>
    <n v="4.5059664883686804E-2"/>
    <n v="20.655000000000001"/>
    <n v="40.4734725"/>
    <n v="14.636624277854791"/>
    <n v="5.3550000000000004"/>
    <n v="-0.33168786107260484"/>
    <n v="5.0233121389273956"/>
    <n v="109.10913294225699"/>
    <n v="9.165135612700933E-3"/>
    <n v="0.76181081974332665"/>
  </r>
  <r>
    <x v="2"/>
    <s v="APA"/>
    <x v="3"/>
    <d v="2024-12-01T00:00:00"/>
    <n v="1.8976999999999999"/>
    <n v="21.73"/>
    <n v="41.237020999999999"/>
    <n v="0.22319374137137582"/>
    <n v="0.45929999999999999"/>
    <n v="0.48594326447066366"/>
    <n v="2.4731904591129405E-2"/>
    <n v="26.58"/>
    <n v="50.440865999999993"/>
    <n v="17.579394852436032"/>
    <n v="4.8499999999999979"/>
    <n v="-2.0753025737819843"/>
    <n v="2.7746974262180135"/>
    <n v="111.35774765496637"/>
    <n v="8.980066686499668E-3"/>
    <n v="0.77751087134654673"/>
  </r>
  <r>
    <x v="3"/>
    <s v="Altaria"/>
    <x v="4"/>
    <d v="2024-09-18T00:00:00"/>
    <n v="1.7345999999999999"/>
    <n v="51.88"/>
    <n v="89.991048000000006"/>
    <n v="0.18430000000000002"/>
    <n v="0.19980000000000001"/>
    <n v="0.92242242242242245"/>
    <n v="4.6946351584727132E-2"/>
    <n v="61.441483999999996"/>
    <n v="106.57639814639998"/>
    <n v="51.088133924175295"/>
    <n v="9.561483999999993"/>
    <n v="-0.39593303791235357"/>
    <n v="9.1655509620876394"/>
    <n v="104.96689411909675"/>
    <n v="9.526813271862531E-3"/>
    <n v="0.73288929623425103"/>
  </r>
  <r>
    <x v="0"/>
    <s v="Emergin Markets"/>
    <x v="5"/>
    <d v="2025-01-31T00:00:00"/>
    <n v="1"/>
    <n v="44.24"/>
    <n v="44.24"/>
    <n v="4.4999999999999998E-2"/>
    <n v="0.2"/>
    <n v="0.22499999999999998"/>
    <n v="1.1451292650523102E-2"/>
    <n v="46.230800000000002"/>
    <n v="46.230800000000002"/>
    <n v="38.303030303030305"/>
    <n v="1.9908000000000001"/>
    <n v="-2.9684848484848487"/>
    <n v="-0.9776848484848486"/>
    <n v="115.11012992966923"/>
    <n v="8.6873327361456972E-3"/>
    <n v="0.80371037765363607"/>
  </r>
  <r>
    <x v="0"/>
    <s v="Bitcoin ETF"/>
    <x v="6"/>
    <d v="2024-07-08T00:00:00"/>
    <n v="1"/>
    <n v="48.68"/>
    <n v="48.68"/>
    <n v="2.5000000000000001E-2"/>
    <n v="0.2"/>
    <n v="0.125"/>
    <n v="6.3618292502906132E-3"/>
    <n v="49.896999999999998"/>
    <n v="49.896999999999998"/>
    <n v="41.42978723404255"/>
    <n v="1.2169999999999987"/>
    <n v="-3.6251063829787249"/>
    <n v="-2.4081063829787261"/>
    <n v="116.54055146416312"/>
    <n v="8.5807042049865865E-3"/>
    <n v="0.81369772309746791"/>
  </r>
  <r>
    <x v="0"/>
    <s v="ETF5"/>
    <x v="7"/>
    <d v="2024-07-08T00:00:00"/>
    <n v="1"/>
    <n v="51.28"/>
    <n v="51.28"/>
    <n v="2.5000000000000001E-2"/>
    <n v="0.2"/>
    <n v="0.125"/>
    <n v="6.3618292502906132E-3"/>
    <n v="52.561999999999998"/>
    <n v="52.561999999999998"/>
    <n v="43.642553191489363"/>
    <n v="1.2819999999999965"/>
    <n v="-3.8187234042553193"/>
    <n v="-2.5367234042553228"/>
    <n v="116.66916848543971"/>
    <n v="8.5712447682765452E-3"/>
    <n v="0.81459573993409262"/>
  </r>
  <r>
    <x v="2"/>
    <s v="YPF"/>
    <x v="8"/>
    <d v="2024-12-01T00:00:00"/>
    <n v="0.95840000000000003"/>
    <n v="41.76"/>
    <n v="40.022784000000001"/>
    <n v="0.1"/>
    <n v="0.2"/>
    <n v="0.5"/>
    <n v="2.5447317001162453E-2"/>
    <n v="45.936"/>
    <n v="44.025062400000003"/>
    <n v="37.963636363636368"/>
    <n v="4.1760000000000019"/>
    <n v="-1.8981818181818149"/>
    <n v="2.2778181818181871"/>
    <n v="111.8546268993662"/>
    <n v="8.9401755449927331E-3"/>
    <n v="0.78098013165759694"/>
  </r>
  <r>
    <x v="2"/>
    <s v="NextEra Energy"/>
    <x v="9"/>
    <d v="2024-08-07T00:00:00"/>
    <n v="0.45179999999999998"/>
    <n v="77.430000000000007"/>
    <n v="34.982874000000002"/>
    <n v="0.1"/>
    <n v="0.25990000000000002"/>
    <n v="0.38476337052712584"/>
    <n v="1.9582390920478997E-2"/>
    <n v="85.173000000000016"/>
    <n v="38.481161400000005"/>
    <n v="66.755754806448849"/>
    <n v="7.7430000000000092"/>
    <n v="-5.3371225967755791"/>
    <n v="2.4058774032244301"/>
    <n v="111.72656767795996"/>
    <n v="8.9504226325326178E-3"/>
    <n v="0.78008600943515383"/>
  </r>
  <r>
    <x v="3"/>
    <s v="Pepsi"/>
    <x v="10"/>
    <d v="2024-06-17T00:00:00"/>
    <n v="0.43659999999999999"/>
    <n v="160.25"/>
    <n v="69.965149999999994"/>
    <n v="6.7199999999999996E-2"/>
    <n v="0.16439999999999999"/>
    <n v="0.40875912408759124"/>
    <n v="2.0803646015548866E-2"/>
    <n v="171.0188"/>
    <n v="74.666808079999996"/>
    <n v="146.05359095880419"/>
    <n v="10.768799999999999"/>
    <n v="-7.0982045205979034"/>
    <n v="3.6705954794020954"/>
    <n v="110.46184960178229"/>
    <n v="9.0528992915203284E-3"/>
    <n v="0.7712556220204998"/>
  </r>
  <r>
    <x v="4"/>
    <s v="TSMC"/>
    <x v="11"/>
    <d v="2024-07-11T00:00:00"/>
    <n v="0.4108"/>
    <n v="189.76"/>
    <n v="77.953407999999996"/>
    <n v="0.19835581787521095"/>
    <n v="0.37"/>
    <n v="0.53609680506813773"/>
    <n v="2.728445068375859E-2"/>
    <n v="227.4"/>
    <n v="93.41592"/>
    <n v="161.96043380326287"/>
    <n v="37.640000000000015"/>
    <n v="-13.899783098368559"/>
    <n v="23.740216901631456"/>
    <n v="90.39222817955293"/>
    <n v="1.1062897996204102E-2"/>
    <n v="0.6311275288415521"/>
  </r>
  <r>
    <x v="3"/>
    <s v="Kimberly Clark"/>
    <x v="12"/>
    <d v="2024-09-09T00:00:00"/>
    <n v="0.35149999999999998"/>
    <n v="142.78"/>
    <n v="50.187169999999995"/>
    <n v="7.0000000000000007E-2"/>
    <n v="0.18340000000000001"/>
    <n v="0.38167938931297712"/>
    <n v="1.9425432825314851E-2"/>
    <n v="152.77460000000002"/>
    <n v="53.700271900000004"/>
    <n v="128.23783007005568"/>
    <n v="9.9946000000000197"/>
    <n v="-7.2710849649721609"/>
    <n v="2.7235150350278587"/>
    <n v="111.40893004615653"/>
    <n v="8.9759411528833617E-3"/>
    <n v="0.77786823189316223"/>
  </r>
  <r>
    <x v="5"/>
    <s v="Agios"/>
    <x v="13"/>
    <d v="2024-12-04T00:00:00"/>
    <n v="0.28749999999999998"/>
    <n v="34.78"/>
    <n v="9.99925"/>
    <n v="0.2"/>
    <n v="0.2"/>
    <n v="1"/>
    <n v="5.0894634002324905E-2"/>
    <n v="41.735999999999997"/>
    <n v="11.999099999999999"/>
    <n v="34.78"/>
    <n v="6.955999999999996"/>
    <n v="0"/>
    <n v="6.955999999999996"/>
    <n v="107.1764450811844"/>
    <n v="9.3304083676456744E-3"/>
    <n v="0.74831660084479601"/>
  </r>
  <r>
    <x v="2"/>
    <s v="Excelon"/>
    <x v="14"/>
    <d v="2024-12-01T00:00:00"/>
    <n v="0.27450000000000002"/>
    <n v="39.799999999999997"/>
    <n v="10.9251"/>
    <n v="0.1"/>
    <n v="0.2"/>
    <n v="0.5"/>
    <n v="2.5447317001162453E-2"/>
    <n v="43.78"/>
    <n v="12.017610000000001"/>
    <n v="36.181818181818187"/>
    <n v="3.980000000000004"/>
    <n v="-1.8090909090909051"/>
    <n v="2.1709090909090989"/>
    <n v="111.96153599027528"/>
    <n v="8.931638809303739E-3"/>
    <n v="0.78172658156501729"/>
  </r>
  <r>
    <x v="6"/>
    <s v="Yum! Brands"/>
    <x v="15"/>
    <d v="2024-10-15T00:00:00"/>
    <n v="0.25669999999999998"/>
    <n v="132.38999999999999"/>
    <n v="33.984512999999993"/>
    <n v="7.0000000000000007E-2"/>
    <n v="0.1623"/>
    <n v="0.43130006161429457"/>
    <n v="2.1950858781039705E-2"/>
    <n v="141.65729999999999"/>
    <n v="36.363428909999996"/>
    <n v="121.20296621807194"/>
    <n v="9.2673000000000059"/>
    <n v="-5.5935168909640254"/>
    <n v="3.6737831090359805"/>
    <n v="110.45866197214841"/>
    <n v="9.0531605411999731E-3"/>
    <n v="0.77123336567330925"/>
  </r>
  <r>
    <x v="2"/>
    <s v="First Solar"/>
    <x v="16"/>
    <d v="2024-08-07T00:00:00"/>
    <n v="0.25169999999999998"/>
    <n v="178.56"/>
    <n v="44.943551999999997"/>
    <n v="9.7782258064516236E-2"/>
    <n v="0.52980000000000005"/>
    <n v="0.18456447350795815"/>
    <n v="9.3933413290193217E-3"/>
    <n v="196.02"/>
    <n v="49.338234"/>
    <n v="124.69119255370553"/>
    <n v="17.460000000000008"/>
    <n v="-26.934403723147234"/>
    <n v="-9.4744037231472262"/>
    <n v="123.60684880433161"/>
    <n v="8.0901666022000929E-3"/>
    <n v="0.86303531404059042"/>
  </r>
  <r>
    <x v="6"/>
    <s v="MSG"/>
    <x v="17"/>
    <d v="2024-10-15T00:00:00"/>
    <n v="0.19139999999999999"/>
    <n v="135.82"/>
    <n v="25.995947999999999"/>
    <n v="0.1202"/>
    <n v="0.33710000000000001"/>
    <n v="0.35657075051913378"/>
    <n v="1.8147537843605618E-2"/>
    <n v="152.14556400000001"/>
    <n v="29.120660949599998"/>
    <n v="111.61147177253677"/>
    <n v="16.325564000000014"/>
    <n v="-12.10426411373161"/>
    <n v="4.2212998862684046"/>
    <n v="109.91114519491597"/>
    <n v="9.0982583997883393E-3"/>
    <n v="0.76741054907089512"/>
  </r>
  <r>
    <x v="4"/>
    <s v="Apple2"/>
    <x v="18"/>
    <d v="2024-07-09T00:00:00"/>
    <n v="0.18820000000000001"/>
    <n v="227.38"/>
    <n v="42.792915999999998"/>
    <n v="0.15"/>
    <n v="0.2271"/>
    <n v="0.66050198150594452"/>
    <n v="3.3616006606555421E-2"/>
    <n v="261.48699999999997"/>
    <n v="49.211853399999995"/>
    <n v="211.10389007520189"/>
    <n v="34.106999999999971"/>
    <n v="-8.1380549623990532"/>
    <n v="25.968945037600918"/>
    <n v="88.163500043583468"/>
    <n v="1.1342562392664218E-2"/>
    <n v="0.6155663272953309"/>
  </r>
  <r>
    <x v="4"/>
    <s v="Microsoft"/>
    <x v="19"/>
    <d v="2024-10-09T00:00:00"/>
    <n v="0.13370000000000001"/>
    <n v="423.77"/>
    <n v="56.658049000000005"/>
    <n v="0.15"/>
    <n v="0.1963"/>
    <n v="0.76413652572592972"/>
    <n v="3.8890448804629323E-2"/>
    <n v="487.33549999999991"/>
    <n v="65.156756349999995"/>
    <n v="405.01768135334032"/>
    <n v="63.565499999999929"/>
    <n v="-9.3761593233298299"/>
    <n v="54.189340676670099"/>
    <n v="59.943104404514287"/>
    <n v="1.6682485999585474E-2"/>
    <n v="0.41852871774290379"/>
  </r>
  <r>
    <x v="1"/>
    <s v="Master Card"/>
    <x v="20"/>
    <d v="2024-08-07T00:00:00"/>
    <n v="0.12939999999999999"/>
    <n v="501.56"/>
    <n v="64.901863999999989"/>
    <n v="0.25"/>
    <n v="0.29699999999999999"/>
    <n v="0.84175084175084181"/>
    <n v="4.2840601012058006E-2"/>
    <n v="626.95000000000005"/>
    <n v="81.127330000000001"/>
    <n v="479.04489016236869"/>
    <n v="125.39000000000004"/>
    <n v="-11.257554918815657"/>
    <n v="114.13244508118439"/>
    <n v="0"/>
    <n v="0"/>
    <n v="0"/>
  </r>
  <r>
    <x v="2"/>
    <s v="Maxeon Solar"/>
    <x v="21"/>
    <d v="2024-08-07T00:00:00"/>
    <n v="9.9999999999999998E-20"/>
    <n v="10.92"/>
    <n v="1.092E-18"/>
    <n v="1"/>
    <n v="1.8652"/>
    <n v="0.53613553506326406"/>
    <n v="2.7286421832685457E-2"/>
    <n v="21.84"/>
    <n v="2.1840000000000001E-18"/>
    <n v="5.8546000428908433"/>
    <n v="10.92"/>
    <n v="-2.5326999785545783"/>
    <n v="8.3873000214454212"/>
    <n v="105.74514505973896"/>
    <n v="9.4566989286843078E-3"/>
    <n v="0.73832312171768166"/>
  </r>
  <r>
    <x v="1"/>
    <s v="Visa"/>
    <x v="22"/>
    <d v="2024-08-07T00:00:00"/>
    <n v="9.9999999999999998E-20"/>
    <n v="283.43"/>
    <n v="2.8342999999999998E-17"/>
    <n v="0.25"/>
    <n v="0.26"/>
    <n v="0.96153846153846145"/>
    <n v="4.8937148079158561E-2"/>
    <n v="354.28750000000002"/>
    <n v="3.542875E-17"/>
    <n v="280.62376237623761"/>
    <n v="70.857500000000016"/>
    <n v="-1.4031188118811997"/>
    <n v="69.454381188118816"/>
    <n v="44.67806389306557"/>
    <n v="2.2382348581474875E-2"/>
    <n v="0.311946686414727"/>
  </r>
  <r>
    <x v="4"/>
    <s v="QualComm2"/>
    <x v="23"/>
    <d v="2024-09-09T00:00:00"/>
    <n v="9.9999999999999998E-20"/>
    <n v="188.12"/>
    <n v="1.8812000000000001E-17"/>
    <n v="0.15"/>
    <n v="0.37780000000000002"/>
    <n v="0.39703546850185278"/>
    <n v="2.0206974855343396E-2"/>
    <n v="216.33799999999999"/>
    <n v="2.16338E-17"/>
    <n v="153.21713634142367"/>
    <n v="28.217999999999989"/>
    <n v="-17.451431829288168"/>
    <n v="10.766568170711821"/>
    <n v="103.36587691047256"/>
    <n v="9.674372528819369E-3"/>
    <n v="0.72171083482377829"/>
  </r>
  <r>
    <x v="4"/>
    <s v="Google"/>
    <x v="24"/>
    <d v="2024-07-10T00:00:00"/>
    <n v="9.9999999999999998E-20"/>
    <n v="167.24"/>
    <n v="1.6724000000000001E-17"/>
    <n v="0.13854341066730447"/>
    <n v="0.26790000000000003"/>
    <n v="0.51714598979956872"/>
    <n v="2.6319955876619099E-2"/>
    <n v="190.41"/>
    <n v="1.9040999999999999E-17"/>
    <n v="148.08431772538498"/>
    <n v="23.169999999999987"/>
    <n v="-9.5778411373075159"/>
    <n v="13.592158862692472"/>
    <n v="100.54028621849191"/>
    <n v="9.9462617186788418E-3"/>
    <n v="0.70198227953907921"/>
  </r>
  <r>
    <x v="6"/>
    <s v="LVMH"/>
    <x v="25"/>
    <d v="2024-09-27T00:00:00"/>
    <n v="9.9999999999999998E-20"/>
    <n v="668.82"/>
    <n v="6.6881999999999999E-17"/>
    <n v="0.05"/>
    <n v="0.28000000000000003"/>
    <n v="0.17857142857142858"/>
    <n v="9.0883275004151626E-3"/>
    <n v="702.26100000000008"/>
    <n v="7.0226100000000009E-17"/>
    <n v="543.7560975609756"/>
    <n v="33.441000000000031"/>
    <n v="-62.531951219512223"/>
    <n v="-29.090951219512192"/>
    <n v="143.22339630069658"/>
    <n v="6.9820994741704541E-3"/>
    <n v="1"/>
  </r>
  <r>
    <x v="4"/>
    <s v="ASML"/>
    <x v="26"/>
    <d v="2024-07-08T00:00:00"/>
    <n v="9.9999999999999998E-20"/>
    <n v="700.32"/>
    <n v="7.0031999999999998E-17"/>
    <n v="0.1"/>
    <n v="0.45340000000000003"/>
    <n v="0.22055580061755625"/>
    <n v="1.1225106749520271E-2"/>
    <n v="770.35200000000009"/>
    <n v="7.7035200000000004E-17"/>
    <n v="517.45234224915032"/>
    <n v="70.032000000000039"/>
    <n v="-91.433828875424865"/>
    <n v="-21.401828875424826"/>
    <n v="135.53427395660921"/>
    <n v="7.3782075249847591E-3"/>
    <n v="0.94631378292451529"/>
  </r>
  <r>
    <x v="4"/>
    <s v="Nvidia"/>
    <x v="27"/>
    <d v="2024-07-09T00:00:00"/>
    <n v="9.9999999999999998E-20"/>
    <n v="147.01"/>
    <n v="1.4700999999999999E-17"/>
    <n v="0.15"/>
    <n v="0.52380000000000004"/>
    <n v="0.28636884306987398"/>
    <n v="1.4574637457710454E-2"/>
    <n v="169.06149999999997"/>
    <n v="1.6906149999999997E-17"/>
    <n v="107.00975396709855"/>
    <n v="22.051499999999976"/>
    <n v="-20.000123016450722"/>
    <n v="2.0513769835492539"/>
    <n v="112.08106809763513"/>
    <n v="8.9221134039237406E-3"/>
    <n v="0.78256116662896091"/>
  </r>
  <r>
    <x v="4"/>
    <s v="Applied Material"/>
    <x v="28"/>
    <d v="2024-07-08T00:00:00"/>
    <n v="9.9999999999999998E-20"/>
    <n v="169.34"/>
    <n v="1.6933999999999999E-17"/>
    <n v="0.1"/>
    <n v="0.4259"/>
    <n v="0.23479690068091102"/>
    <n v="1.1949902325035199E-2"/>
    <n v="186.27400000000003"/>
    <n v="1.8627400000000003E-17"/>
    <n v="127.71702239987934"/>
    <n v="16.934000000000026"/>
    <n v="-20.811488800060332"/>
    <n v="-3.8774888000603056"/>
    <n v="118.00993388124469"/>
    <n v="8.4738628953585898E-3"/>
    <n v="0.82395709729912847"/>
  </r>
  <r>
    <x v="2"/>
    <s v="Duke Energy"/>
    <x v="29"/>
    <d v="2024-08-07T00:00:00"/>
    <n v="9.9999999999999998E-20"/>
    <n v="113.58"/>
    <n v="1.1357999999999999E-17"/>
    <n v="6.664905793273479E-2"/>
    <n v="0.16439999999999999"/>
    <n v="0.40540789496797319"/>
    <n v="2.0633086436047974E-2"/>
    <n v="121.15000000000002"/>
    <n v="1.2115000000000002E-17"/>
    <n v="103.46609203186667"/>
    <n v="7.5700000000000216"/>
    <n v="-5.0569539840666664"/>
    <n v="2.5130460159333552"/>
    <n v="111.61939906525103"/>
    <n v="8.9590161600441413E-3"/>
    <n v="0.77933774752071117"/>
  </r>
  <r>
    <x v="4"/>
    <s v="Palantir"/>
    <x v="30"/>
    <d v="2024-07-08T00:00:00"/>
    <n v="9.9999999999999998E-20"/>
    <n v="64.349999999999994"/>
    <n v="6.4349999999999993E-18"/>
    <n v="0.15"/>
    <n v="0.67300000000000004"/>
    <n v="0.22288261515601782"/>
    <n v="1.1343529123846561E-2"/>
    <n v="74.002499999999984"/>
    <n v="7.4002499999999988E-18"/>
    <n v="42.252133946158892"/>
    <n v="9.6524999999999892"/>
    <n v="-11.048933026920551"/>
    <n v="-1.3964330269205618"/>
    <n v="115.52887810810495"/>
    <n v="8.6558444639638962E-3"/>
    <n v="0.80663411909010196"/>
  </r>
  <r>
    <x v="2"/>
    <s v="Jinko Solar"/>
    <x v="31"/>
    <d v="2024-08-07T00:00:00"/>
    <n v="9.9999999999999998E-20"/>
    <n v="20.82"/>
    <n v="2.0820000000000002E-18"/>
    <n v="0.05"/>
    <n v="0.7389"/>
    <n v="6.7668155366084726E-2"/>
    <n v="3.4439460009693403E-3"/>
    <n v="21.861000000000001"/>
    <n v="2.1860999999999999E-18"/>
    <n v="12.327550476641601"/>
    <n v="1.0410000000000004"/>
    <n v="-4.2462247616791995"/>
    <n v="-3.2052247616791991"/>
    <n v="117.33766984286359"/>
    <n v="8.5224122938454567E-3"/>
    <n v="0.81926328291024408"/>
  </r>
  <r>
    <x v="2"/>
    <s v="SolarWinds"/>
    <x v="32"/>
    <d v="2024-08-07T00:00:00"/>
    <n v="9.9999999999999998E-20"/>
    <n v="13.04"/>
    <n v="1.304E-18"/>
    <n v="5.2147239263803824E-2"/>
    <n v="0.30159999999999998"/>
    <n v="0.17290198694895167"/>
    <n v="8.7997833440416531E-3"/>
    <n v="13.72"/>
    <n v="1.3720000000000001E-18"/>
    <n v="10.436569040286594"/>
    <n v="0.68000000000000149"/>
    <n v="-1.3017154798567026"/>
    <n v="-0.62171547985670106"/>
    <n v="114.75416056104109"/>
    <n v="8.7142809908671744E-3"/>
    <n v="0.80122496411211674"/>
  </r>
  <r>
    <x v="2"/>
    <s v="Canadian Solar"/>
    <x v="33"/>
    <d v="2024-08-07T00:00:00"/>
    <n v="9.9999999999999998E-20"/>
    <n v="11.05"/>
    <n v="1.1050000000000001E-18"/>
    <n v="0.05"/>
    <n v="0.72170000000000001"/>
    <n v="6.9280864625190522E-2"/>
    <n v="3.5260242484636906E-3"/>
    <n v="11.602500000000001"/>
    <n v="1.16025E-18"/>
    <n v="6.6100376861877139"/>
    <n v="0.55250000000000021"/>
    <n v="-2.2199811569061434"/>
    <n v="-1.6674811569061432"/>
    <n v="115.79992623809053"/>
    <n v="8.6355840844315329E-3"/>
    <n v="0.80852660409594923"/>
  </r>
  <r>
    <x v="7"/>
    <s v="Gold"/>
    <x v="34"/>
    <d v="2025-01-14T00:00:00"/>
    <n v="9.9999999999999998E-20"/>
    <n v="2742.9"/>
    <n v="2.7429000000000002E-16"/>
    <n v="0.1"/>
    <n v="0.5"/>
    <n v="0.2"/>
    <n v="1.0178926800464982E-2"/>
    <n v="3017.1900000000005"/>
    <n v="3.0171900000000003E-16"/>
    <n v="1959.214285714286"/>
    <n v="274.29000000000042"/>
    <n v="-391.84285714285704"/>
    <n v="-117.55285714285662"/>
    <n v="231.68530222404101"/>
    <n v="4.316199562080957E-3"/>
    <n v="1.6176498268314992"/>
  </r>
  <r>
    <x v="3"/>
    <s v="Walmart"/>
    <x v="35"/>
    <d v="2024-08-01T00:00:00"/>
    <n v="9.9999999999999998E-20"/>
    <n v="86.6"/>
    <n v="8.6599999999999986E-18"/>
    <n v="7.0000000000000007E-2"/>
    <n v="0.17249999999999999"/>
    <n v="0.40579710144927544"/>
    <n v="2.0652894957465185E-2"/>
    <n v="92.662000000000006"/>
    <n v="9.2662000000000008E-18"/>
    <n v="78.548752834467123"/>
    <n v="6.0620000000000118"/>
    <n v="-4.0256235827664355"/>
    <n v="2.0363764172335763"/>
    <n v="112.0960686639508"/>
    <n v="8.9209194570227766E-3"/>
    <n v="0.78266590207514586"/>
  </r>
  <r>
    <x v="8"/>
    <s v="Aptive Autoparts"/>
    <x v="36"/>
    <d v="2024-09-27T00:00:00"/>
    <n v="9.9999999999999998E-20"/>
    <n v="56"/>
    <n v="5.5999999999999995E-18"/>
    <n v="7.0000000000000007E-2"/>
    <n v="0.19"/>
    <n v="0.36842105263157898"/>
    <n v="1.8750654632435495E-2"/>
    <n v="59.92"/>
    <n v="5.9920000000000002E-18"/>
    <n v="50.000000000000007"/>
    <n v="3.9200000000000017"/>
    <n v="-2.9999999999999964"/>
    <n v="0.92000000000000526"/>
    <n v="113.21244508118438"/>
    <n v="8.832951176727102E-3"/>
    <n v="0.79046055327088882"/>
  </r>
  <r>
    <x v="7"/>
    <s v="Mexican Peso"/>
    <x v="37"/>
    <d v="2024-10-15T00:00:00"/>
    <n v="9.9999999999999998E-20"/>
    <n v="20.399999999999999"/>
    <n v="2.0399999999999999E-18"/>
    <n v="0.1"/>
    <n v="0.15"/>
    <n v="0.66666666666666674"/>
    <n v="3.3929756001549939E-2"/>
    <n v="21.2"/>
    <n v="2.1199999999999999E-18"/>
    <n v="19.428571428571431"/>
    <n v="0.80000000000000071"/>
    <n v="-0.48571428571428399"/>
    <n v="0.31428571428571672"/>
    <n v="113.81815936689867"/>
    <n v="8.7859442250902055E-3"/>
    <n v="0.79468971066667204"/>
  </r>
  <r>
    <x v="6"/>
    <s v="Yum China Holding"/>
    <x v="38"/>
    <d v="2024-10-09T00:00:00"/>
    <n v="9.9999999999999998E-20"/>
    <n v="47.42"/>
    <n v="4.7419999999999999E-18"/>
    <n v="7.0000000000000007E-2"/>
    <n v="0.4"/>
    <n v="0.17500000000000002"/>
    <n v="8.90656095040686E-3"/>
    <n v="50.739400000000003"/>
    <n v="5.0739400000000001E-18"/>
    <n v="35.654135338345867"/>
    <n v="3.3194000000000017"/>
    <n v="-5.8829323308270673"/>
    <n v="-2.5635323308270657"/>
    <n v="116.69597741201144"/>
    <n v="8.5692756697975988E-3"/>
    <n v="0.81478292252621221"/>
  </r>
  <r>
    <x v="6"/>
    <s v="MSG"/>
    <x v="39"/>
    <d v="2024-08-03T00:00:00"/>
    <n v="9.9999999999999998E-20"/>
    <n v="41.8"/>
    <n v="4.1799999999999993E-18"/>
    <n v="7.0000000000000007E-2"/>
    <n v="0.4"/>
    <n v="0.17500000000000002"/>
    <n v="8.90656095040686E-3"/>
    <n v="44.725999999999999"/>
    <n v="4.4725999999999996E-18"/>
    <n v="31.428571428571431"/>
    <n v="2.9260000000000019"/>
    <n v="-5.1857142857142833"/>
    <n v="-2.2597142857142813"/>
    <n v="116.39215936689867"/>
    <n v="8.5916440200042802E-3"/>
    <n v="0.81266163471318675"/>
  </r>
  <r>
    <x v="7"/>
    <s v="Japan Yen"/>
    <x v="40"/>
    <d v="2024-10-09T00:00:00"/>
    <n v="9.9999999999999998E-20"/>
    <n v="153.7552"/>
    <n v="1.5375519999999999E-17"/>
    <n v="7.0000000000000007E-2"/>
    <n v="0.19"/>
    <n v="0.36842105263157898"/>
    <n v="1.8750654632435495E-2"/>
    <n v="164.51806400000001"/>
    <n v="1.6451806399999999E-17"/>
    <n v="137.28142857142859"/>
    <n v="10.762864000000008"/>
    <n v="-8.2368857142857053"/>
    <n v="2.5259782857143023"/>
    <n v="111.60646679547008"/>
    <n v="8.9600542756415654E-3"/>
    <n v="0.77924745312667376"/>
  </r>
  <r>
    <x v="9"/>
    <s v="3M"/>
    <x v="41"/>
    <d v="2024-12-01T00:00:00"/>
    <n v="9.9999999999999998E-20"/>
    <n v="133.53"/>
    <n v="1.3353E-17"/>
    <n v="7.0000000000000007E-2"/>
    <n v="0.2"/>
    <n v="0.35000000000000003"/>
    <n v="1.781312190081372E-2"/>
    <n v="142.87710000000001"/>
    <n v="1.428771E-17"/>
    <n v="118.16814159292036"/>
    <n v="9.3471000000000117"/>
    <n v="-7.6809292035398187"/>
    <n v="1.6661707964601931"/>
    <n v="112.46627428472419"/>
    <n v="8.8915544358512261E-3"/>
    <n v="0.78525071454528272"/>
  </r>
  <r>
    <x v="2"/>
    <s v="PG&amp;E"/>
    <x v="42"/>
    <d v="2024-12-01T00:00:00"/>
    <n v="9.9999999999999998E-20"/>
    <n v="26.63"/>
    <n v="2.663E-18"/>
    <n v="0.1"/>
    <n v="0.2"/>
    <n v="0.5"/>
    <n v="2.5447317001162453E-2"/>
    <n v="29.293000000000003"/>
    <n v="2.9293000000000003E-18"/>
    <n v="24.209090909090911"/>
    <n v="2.6630000000000038"/>
    <n v="-1.2104545454545441"/>
    <n v="1.4525454545454597"/>
    <n v="112.67989962663893"/>
    <n v="8.8746972912956672E-3"/>
    <n v="0.78674226793273505"/>
  </r>
  <r>
    <x v="3"/>
    <s v="Albertson Companies"/>
    <x v="43"/>
    <d v="2024-12-04T00:00:00"/>
    <n v="9.9999999999999998E-20"/>
    <n v="19.309999999999999"/>
    <n v="1.931E-18"/>
    <n v="0.2"/>
    <n v="0.2"/>
    <n v="1"/>
    <n v="5.0894634002324905E-2"/>
    <n v="23.171999999999997"/>
    <n v="2.3171999999999995E-18"/>
    <n v="19.309999999999999"/>
    <n v="3.8619999999999983"/>
    <n v="0"/>
    <n v="3.8619999999999983"/>
    <n v="110.27044508118439"/>
    <n v="9.0686130745529329E-3"/>
    <n v="0.76991921661787932"/>
  </r>
  <r>
    <x v="5"/>
    <s v="HCA Healthcare"/>
    <x v="44"/>
    <d v="2024-12-04T00:00:00"/>
    <n v="9.9999999999999998E-20"/>
    <n v="323.75"/>
    <n v="3.2375000000000002E-17"/>
    <n v="0.2"/>
    <n v="0.2"/>
    <n v="1"/>
    <n v="5.0894634002324905E-2"/>
    <n v="388.5"/>
    <n v="3.8849999999999999E-17"/>
    <n v="323.75"/>
    <n v="64.75"/>
    <n v="0"/>
    <n v="64.75"/>
    <n v="49.382445081184386"/>
    <n v="2.0250111114506524E-2"/>
    <n v="0.34479314383458876"/>
  </r>
  <r>
    <x v="10"/>
    <m/>
    <x v="45"/>
    <m/>
    <m/>
    <m/>
    <m/>
    <m/>
    <m/>
    <m/>
    <m/>
    <m/>
    <m/>
    <m/>
    <m/>
    <m/>
    <m/>
    <m/>
    <m/>
    <m/>
  </r>
  <r>
    <x v="10"/>
    <m/>
    <x v="45"/>
    <m/>
    <m/>
    <m/>
    <m/>
    <m/>
    <m/>
    <m/>
    <m/>
    <m/>
    <m/>
    <m/>
    <m/>
    <m/>
    <m/>
    <m/>
    <m/>
    <m/>
  </r>
  <r>
    <x v="10"/>
    <m/>
    <x v="45"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F2A961-4B24-4134-99E9-0FE83E8807F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E14" firstHeaderRow="0" firstDataRow="1" firstDataCol="1"/>
  <pivotFields count="22">
    <pivotField axis="axisRow" showAll="0" sortType="descending">
      <items count="12">
        <item sd="0" x="6"/>
        <item sd="0" x="8"/>
        <item sd="0" x="1"/>
        <item sd="0" x="2"/>
        <item sd="0" x="7"/>
        <item sd="0" x="5"/>
        <item sd="0" x="9"/>
        <item sd="0" x="4"/>
        <item sd="0" x="3"/>
        <item sd="0" x="0"/>
        <item h="1" sd="0" x="10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>
      <items count="47">
        <item x="18"/>
        <item x="43"/>
        <item x="13"/>
        <item x="28"/>
        <item x="3"/>
        <item x="36"/>
        <item x="26"/>
        <item x="1"/>
        <item x="7"/>
        <item x="0"/>
        <item x="33"/>
        <item x="39"/>
        <item x="29"/>
        <item x="14"/>
        <item x="16"/>
        <item x="34"/>
        <item x="24"/>
        <item x="44"/>
        <item x="2"/>
        <item x="17"/>
        <item x="31"/>
        <item x="12"/>
        <item x="20"/>
        <item x="21"/>
        <item x="25"/>
        <item x="41"/>
        <item x="4"/>
        <item x="19"/>
        <item x="9"/>
        <item x="27"/>
        <item x="42"/>
        <item x="10"/>
        <item x="30"/>
        <item x="23"/>
        <item x="32"/>
        <item x="11"/>
        <item x="40"/>
        <item x="37"/>
        <item x="22"/>
        <item x="6"/>
        <item x="35"/>
        <item x="8"/>
        <item x="15"/>
        <item x="38"/>
        <item x="45"/>
        <item x="5"/>
        <item t="default"/>
      </items>
    </pivotField>
    <pivotField numFmtId="165" showAll="0"/>
    <pivotField numFmtId="164" showAll="0"/>
    <pivotField numFmtId="44" showAll="0"/>
    <pivotField dataField="1" numFmtId="44" showAll="0"/>
    <pivotField showAll="0"/>
    <pivotField showAll="0"/>
    <pivotField numFmtId="9" showAll="0"/>
    <pivotField numFmtId="9"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9" showAll="0"/>
    <pivotField numFmtId="9" showAll="0"/>
    <pivotField dataField="1" dragToRow="0" dragToCol="0" dragToPage="0" showAll="0" defaultSubtotal="0"/>
    <pivotField dataField="1" dragToRow="0" dragToCol="0" dragToPage="0" showAll="0" defaultSubtotal="0"/>
  </pivotFields>
  <rowFields count="2">
    <field x="0"/>
    <field x="2"/>
  </rowFields>
  <rowItems count="11">
    <i>
      <x v="9"/>
    </i>
    <i>
      <x v="8"/>
    </i>
    <i>
      <x v="7"/>
    </i>
    <i>
      <x v="3"/>
    </i>
    <i>
      <x v="2"/>
    </i>
    <i>
      <x/>
    </i>
    <i>
      <x v="5"/>
    </i>
    <i>
      <x v="4"/>
    </i>
    <i>
      <x v="6"/>
    </i>
    <i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Initial Volume $" fld="6" baseField="0" baseItem="0" numFmtId="44"/>
    <dataField name="$%" fld="6" baseField="0" baseItem="7" numFmtId="9">
      <extLst>
        <ext xmlns:x14="http://schemas.microsoft.com/office/spreadsheetml/2009/9/main" uri="{E15A36E0-9728-4e99-A89B-3F7291B0FE68}">
          <x14:dataField pivotShowAs="percentOfParentRow"/>
        </ext>
      </extLst>
    </dataField>
    <dataField name="Target Return %" fld="20" baseField="0" baseItem="0" numFmtId="10"/>
    <dataField name="Target P&amp;L" fld="21" baseField="0" baseItem="0" numFmtId="44"/>
  </dataFields>
  <formats count="3">
    <format dxfId="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0">
      <pivotArea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51"/>
  <sheetViews>
    <sheetView workbookViewId="0">
      <selection activeCell="A15" sqref="A15:F15"/>
    </sheetView>
  </sheetViews>
  <sheetFormatPr defaultRowHeight="15" x14ac:dyDescent="0.25"/>
  <cols>
    <col min="1" max="1" width="14.28515625" bestFit="1" customWidth="1"/>
    <col min="2" max="2" width="17.85546875" bestFit="1" customWidth="1"/>
    <col min="3" max="3" width="11" bestFit="1" customWidth="1"/>
    <col min="4" max="4" width="30.42578125" style="8" customWidth="1"/>
    <col min="5" max="5" width="9.42578125" style="2" bestFit="1" customWidth="1"/>
    <col min="6" max="6" width="10.5703125" style="1" bestFit="1" customWidth="1"/>
    <col min="7" max="7" width="9" style="1" customWidth="1"/>
    <col min="8" max="8" width="9.85546875" style="10" bestFit="1" customWidth="1"/>
    <col min="9" max="9" width="11.42578125" style="10" bestFit="1" customWidth="1"/>
    <col min="10" max="10" width="9.140625" style="10"/>
    <col min="11" max="11" width="7.5703125" style="10" customWidth="1"/>
    <col min="12" max="12" width="11.42578125" bestFit="1" customWidth="1"/>
    <col min="13" max="13" width="11.42578125" customWidth="1"/>
    <col min="14" max="14" width="14.28515625" bestFit="1" customWidth="1"/>
    <col min="15" max="15" width="10.5703125" bestFit="1" customWidth="1"/>
    <col min="16" max="16" width="13.28515625" bestFit="1" customWidth="1"/>
    <col min="17" max="17" width="12.42578125" bestFit="1" customWidth="1"/>
    <col min="18" max="18" width="14.7109375" bestFit="1" customWidth="1"/>
    <col min="19" max="19" width="12.85546875" bestFit="1" customWidth="1"/>
    <col min="20" max="20" width="15.85546875" bestFit="1" customWidth="1"/>
  </cols>
  <sheetData>
    <row r="1" spans="1:20" ht="45" customHeight="1" x14ac:dyDescent="0.25">
      <c r="A1" s="16" t="s">
        <v>35</v>
      </c>
      <c r="B1" s="16" t="s">
        <v>0</v>
      </c>
      <c r="C1" s="16" t="s">
        <v>82</v>
      </c>
      <c r="D1" s="17" t="s">
        <v>1</v>
      </c>
      <c r="E1" s="18" t="s">
        <v>2</v>
      </c>
      <c r="F1" s="19" t="s">
        <v>3</v>
      </c>
      <c r="G1" s="19" t="s">
        <v>4</v>
      </c>
      <c r="H1" s="16" t="s">
        <v>95</v>
      </c>
      <c r="I1" s="16" t="s">
        <v>61</v>
      </c>
      <c r="J1" s="16" t="s">
        <v>62</v>
      </c>
      <c r="K1" s="16" t="s">
        <v>63</v>
      </c>
      <c r="L1" s="16" t="s">
        <v>64</v>
      </c>
      <c r="M1" s="16" t="s">
        <v>110</v>
      </c>
      <c r="N1" s="16" t="s">
        <v>65</v>
      </c>
      <c r="O1" s="16" t="s">
        <v>66</v>
      </c>
      <c r="P1" s="16" t="s">
        <v>67</v>
      </c>
      <c r="Q1" s="16" t="s">
        <v>68</v>
      </c>
      <c r="R1" s="16" t="s">
        <v>69</v>
      </c>
      <c r="S1" s="16" t="s">
        <v>81</v>
      </c>
      <c r="T1" s="16" t="s">
        <v>70</v>
      </c>
    </row>
    <row r="2" spans="1:20" x14ac:dyDescent="0.25">
      <c r="A2" t="s">
        <v>115</v>
      </c>
      <c r="B2" s="7" t="s">
        <v>128</v>
      </c>
      <c r="C2" t="s">
        <v>116</v>
      </c>
      <c r="D2" s="8">
        <v>45481</v>
      </c>
      <c r="E2" s="2">
        <v>2</v>
      </c>
      <c r="F2" s="1">
        <v>20.928000000000001</v>
      </c>
      <c r="G2" s="1">
        <f>E2*F2</f>
        <v>41.856000000000002</v>
      </c>
      <c r="H2" s="13">
        <v>4.4999999999999998E-2</v>
      </c>
      <c r="I2" s="11">
        <v>0.2</v>
      </c>
      <c r="J2" s="9">
        <f>IFERROR(H2/I2,"")</f>
        <v>0.22499999999999998</v>
      </c>
      <c r="K2" s="9">
        <f>IFERROR(J2/SUBTOTAL(9,$J$2:$J$1048576),"")</f>
        <v>1.1451292650523102E-2</v>
      </c>
      <c r="L2" s="12">
        <f>F2/(1-(F2*(1+H2)-F2)/(F2*(1+H2)))</f>
        <v>21.869759999999999</v>
      </c>
      <c r="M2" s="12">
        <f>L2*E2</f>
        <v>43.739519999999999</v>
      </c>
      <c r="N2" s="12">
        <f>F2/(1+I2-H2)</f>
        <v>18.119480519480518</v>
      </c>
      <c r="O2" s="12">
        <f>L2-F2</f>
        <v>0.9417599999999986</v>
      </c>
      <c r="P2" s="12">
        <f>0.5*(N2-F2)</f>
        <v>-1.4042597402597412</v>
      </c>
      <c r="Q2" s="15">
        <f>O2+P2</f>
        <v>-0.46249974025974261</v>
      </c>
      <c r="R2" s="12">
        <f>MAX($Q$2:$Q$279)-Q2</f>
        <v>114.59494482144413</v>
      </c>
      <c r="S2" s="9">
        <f>IFERROR((SUBTOTAL(109,$R$2:$R$1048576)/R2)/SUBTOTAL(109,$R$2:$R$1048576),0)</f>
        <v>8.7263884245343277E-3</v>
      </c>
      <c r="T2" s="9">
        <f>R2/MAX($R$2:$R$28)</f>
        <v>0.80011330398039715</v>
      </c>
    </row>
    <row r="3" spans="1:20" x14ac:dyDescent="0.25">
      <c r="A3" t="s">
        <v>115</v>
      </c>
      <c r="B3" s="7" t="s">
        <v>129</v>
      </c>
      <c r="C3" t="s">
        <v>117</v>
      </c>
      <c r="D3" s="8">
        <v>45481</v>
      </c>
      <c r="E3" s="2">
        <v>2</v>
      </c>
      <c r="F3" s="1">
        <v>16.399999999999999</v>
      </c>
      <c r="G3" s="1">
        <f>E3*F3</f>
        <v>32.799999999999997</v>
      </c>
      <c r="H3" s="13">
        <v>4.4999999999999998E-2</v>
      </c>
      <c r="I3" s="11">
        <v>0.2</v>
      </c>
      <c r="J3" s="9">
        <f>IFERROR(H3/I3,"")</f>
        <v>0.22499999999999998</v>
      </c>
      <c r="K3" s="9">
        <f>IFERROR(J3/SUBTOTAL(9,$J$2:$J$1048576),"")</f>
        <v>1.1451292650523102E-2</v>
      </c>
      <c r="L3" s="12">
        <f>F3/(1-(F3*(1+H3)-F3)/(F3*(1+H3)))</f>
        <v>17.137999999999998</v>
      </c>
      <c r="M3" s="12">
        <f>L3*E3</f>
        <v>34.275999999999996</v>
      </c>
      <c r="N3" s="12">
        <f>F3/(1+I3-H3)</f>
        <v>14.199134199134198</v>
      </c>
      <c r="O3" s="12">
        <f>L3-F3</f>
        <v>0.73799999999999955</v>
      </c>
      <c r="P3" s="12">
        <f>0.5*(N3-F3)</f>
        <v>-1.1004329004329003</v>
      </c>
      <c r="Q3" s="15">
        <f>O3+P3</f>
        <v>-0.36243290043290077</v>
      </c>
      <c r="R3" s="12">
        <f>MAX($Q$2:$Q$279)-Q3</f>
        <v>114.49487798161729</v>
      </c>
      <c r="S3" s="9">
        <f>IFERROR((SUBTOTAL(109,$R$2:$R$1048576)/R3)/SUBTOTAL(109,$R$2:$R$1048576),0)</f>
        <v>8.7340151597048287E-3</v>
      </c>
      <c r="T3" s="9">
        <f>R3/MAX($R$2:$R$28)</f>
        <v>0.79941462735066027</v>
      </c>
    </row>
    <row r="4" spans="1:20" x14ac:dyDescent="0.25">
      <c r="A4" t="s">
        <v>37</v>
      </c>
      <c r="B4" s="4" t="s">
        <v>85</v>
      </c>
      <c r="C4" s="32" t="s">
        <v>86</v>
      </c>
      <c r="D4" s="8">
        <v>45623</v>
      </c>
      <c r="E4" s="2">
        <v>1.9595</v>
      </c>
      <c r="F4" s="1">
        <v>15.3</v>
      </c>
      <c r="G4" s="1">
        <f>E4*F4</f>
        <v>29.980350000000001</v>
      </c>
      <c r="H4" s="13">
        <v>0.35</v>
      </c>
      <c r="I4" s="11">
        <v>0.39532299999999998</v>
      </c>
      <c r="J4" s="9">
        <f>IFERROR(H4/I4,"")</f>
        <v>0.88535197800279775</v>
      </c>
      <c r="K4" s="9">
        <f>IFERROR(J4/SUBTOTAL(9,$J$2:$J$1048576),"")</f>
        <v>4.5059664883686804E-2</v>
      </c>
      <c r="L4" s="12">
        <f>F4/(1-(F4*(1+H4)-F4)/(F4*(1+H4)))</f>
        <v>20.655000000000001</v>
      </c>
      <c r="M4" s="12">
        <f>L4*E4</f>
        <v>40.4734725</v>
      </c>
      <c r="N4" s="12">
        <f>F4/(1+I4-H4)</f>
        <v>14.636624277854791</v>
      </c>
      <c r="O4" s="12">
        <f>L4-F4</f>
        <v>5.3550000000000004</v>
      </c>
      <c r="P4" s="12">
        <f>0.5*(N4-F4)</f>
        <v>-0.33168786107260484</v>
      </c>
      <c r="Q4" s="15">
        <f>O4+P4</f>
        <v>5.0233121389273956</v>
      </c>
      <c r="R4" s="12">
        <f>MAX($Q$2:$Q$279)-Q4</f>
        <v>109.10913294225699</v>
      </c>
      <c r="S4" s="9">
        <f>IFERROR((SUBTOTAL(109,$R$2:$R$1048576)/R4)/SUBTOTAL(109,$R$2:$R$1048576),0)</f>
        <v>9.165135612700933E-3</v>
      </c>
      <c r="T4" s="9">
        <f>R4/MAX($R$2:$R$28)</f>
        <v>0.76181081974332665</v>
      </c>
    </row>
    <row r="5" spans="1:20" x14ac:dyDescent="0.25">
      <c r="A5" t="s">
        <v>40</v>
      </c>
      <c r="B5" s="7" t="s">
        <v>94</v>
      </c>
      <c r="C5" t="s">
        <v>94</v>
      </c>
      <c r="D5" s="8">
        <v>45627</v>
      </c>
      <c r="E5" s="2">
        <v>1.8976999999999999</v>
      </c>
      <c r="F5" s="1">
        <v>21.73</v>
      </c>
      <c r="G5" s="1">
        <f>E5*F5</f>
        <v>41.237020999999999</v>
      </c>
      <c r="H5" s="13">
        <f>L5/F5-1</f>
        <v>0.22319374137137582</v>
      </c>
      <c r="I5" s="11">
        <v>0.45929999999999999</v>
      </c>
      <c r="J5" s="9">
        <f>IFERROR(H5/I5,"")</f>
        <v>0.48594326447066366</v>
      </c>
      <c r="K5" s="9">
        <f>IFERROR(J5/SUBTOTAL(9,$J$2:$J$1048576),"")</f>
        <v>2.4731904591129405E-2</v>
      </c>
      <c r="L5" s="12">
        <v>26.58</v>
      </c>
      <c r="M5" s="12">
        <f>L5*E5</f>
        <v>50.440865999999993</v>
      </c>
      <c r="N5" s="12">
        <f>F5/(1+I5-H5)</f>
        <v>17.579394852436032</v>
      </c>
      <c r="O5" s="12">
        <f>L5-F5</f>
        <v>4.8499999999999979</v>
      </c>
      <c r="P5" s="12">
        <f>0.5*(N5-F5)</f>
        <v>-2.0753025737819843</v>
      </c>
      <c r="Q5" s="15">
        <f>O5+P5</f>
        <v>2.7746974262180135</v>
      </c>
      <c r="R5" s="12">
        <f>MAX($Q$2:$Q$279)-Q5</f>
        <v>111.35774765496637</v>
      </c>
      <c r="S5" s="9">
        <f>IFERROR((SUBTOTAL(109,$R$2:$R$1048576)/R5)/SUBTOTAL(109,$R$2:$R$1048576),0)</f>
        <v>8.980066686499668E-3</v>
      </c>
      <c r="T5" s="9">
        <f>R5/MAX($R$2:$R$28)</f>
        <v>0.77751087134654673</v>
      </c>
    </row>
    <row r="6" spans="1:20" x14ac:dyDescent="0.25">
      <c r="A6" t="s">
        <v>38</v>
      </c>
      <c r="B6" s="5" t="s">
        <v>6</v>
      </c>
      <c r="C6" t="s">
        <v>5</v>
      </c>
      <c r="D6" s="8">
        <v>45553</v>
      </c>
      <c r="E6" s="2">
        <v>1.7345999999999999</v>
      </c>
      <c r="F6" s="1">
        <v>51.88</v>
      </c>
      <c r="G6" s="1">
        <f>E6*F6</f>
        <v>89.991048000000006</v>
      </c>
      <c r="H6" s="13">
        <f>16.68%+7%/4</f>
        <v>0.18430000000000002</v>
      </c>
      <c r="I6" s="11">
        <v>0.19980000000000001</v>
      </c>
      <c r="J6" s="9">
        <f>IFERROR(H6/I6,"")</f>
        <v>0.92242242242242245</v>
      </c>
      <c r="K6" s="9">
        <f>IFERROR(J6/SUBTOTAL(9,$J$2:$J$1048576),"")</f>
        <v>4.6946351584727132E-2</v>
      </c>
      <c r="L6" s="12">
        <f>F6/(1-(F6*(1+H6)-F6)/(F6*(1+H6)))</f>
        <v>61.441483999999996</v>
      </c>
      <c r="M6" s="12">
        <f>L6*E6</f>
        <v>106.57639814639998</v>
      </c>
      <c r="N6" s="12">
        <f>F6/(1+I6-H6)</f>
        <v>51.088133924175295</v>
      </c>
      <c r="O6" s="12">
        <f>L6-F6</f>
        <v>9.561483999999993</v>
      </c>
      <c r="P6" s="12">
        <f>0.5*(N6-F6)</f>
        <v>-0.39593303791235357</v>
      </c>
      <c r="Q6" s="15">
        <f>O6+P6</f>
        <v>9.1655509620876394</v>
      </c>
      <c r="R6" s="12">
        <f>MAX($Q$2:$Q$279)-Q6</f>
        <v>104.96689411909675</v>
      </c>
      <c r="S6" s="9">
        <f>IFERROR((SUBTOTAL(109,$R$2:$R$1048576)/R6)/SUBTOTAL(109,$R$2:$R$1048576),0)</f>
        <v>9.526813271862531E-3</v>
      </c>
      <c r="T6" s="9">
        <f>R6/MAX($R$2:$R$28)</f>
        <v>0.73288929623425103</v>
      </c>
    </row>
    <row r="7" spans="1:20" x14ac:dyDescent="0.25">
      <c r="A7" t="s">
        <v>115</v>
      </c>
      <c r="B7" s="7" t="s">
        <v>130</v>
      </c>
      <c r="C7" t="s">
        <v>121</v>
      </c>
      <c r="D7" s="8">
        <v>45688</v>
      </c>
      <c r="E7" s="2">
        <v>1</v>
      </c>
      <c r="F7" s="1">
        <v>44.24</v>
      </c>
      <c r="G7" s="1">
        <f>E7*F7</f>
        <v>44.24</v>
      </c>
      <c r="H7" s="13">
        <v>4.4999999999999998E-2</v>
      </c>
      <c r="I7" s="11">
        <v>0.2</v>
      </c>
      <c r="J7" s="9">
        <f>IFERROR(H7/I7,"")</f>
        <v>0.22499999999999998</v>
      </c>
      <c r="K7" s="9">
        <f>IFERROR(J7/SUBTOTAL(9,$J$2:$J$1048576),"")</f>
        <v>1.1451292650523102E-2</v>
      </c>
      <c r="L7" s="12">
        <f>F7/(1-(F7*(1+H7)-F7)/(F7*(1+H7)))</f>
        <v>46.230800000000002</v>
      </c>
      <c r="M7" s="12">
        <f>L7*E7</f>
        <v>46.230800000000002</v>
      </c>
      <c r="N7" s="12">
        <f>F7/(1+I7-H7)</f>
        <v>38.303030303030305</v>
      </c>
      <c r="O7" s="12">
        <f>L7-F7</f>
        <v>1.9908000000000001</v>
      </c>
      <c r="P7" s="12">
        <f>0.5*(N7-F7)</f>
        <v>-2.9684848484848487</v>
      </c>
      <c r="Q7" s="15">
        <f>O7+P7</f>
        <v>-0.9776848484848486</v>
      </c>
      <c r="R7" s="12">
        <f>MAX($Q$2:$Q$279)-Q7</f>
        <v>115.11012992966923</v>
      </c>
      <c r="S7" s="9">
        <f>IFERROR((SUBTOTAL(109,$R$2:$R$1048576)/R7)/SUBTOTAL(109,$R$2:$R$1048576),0)</f>
        <v>8.6873327361456955E-3</v>
      </c>
      <c r="T7" s="9">
        <f>R7/MAX($R$2:$R$28)</f>
        <v>0.80371037765363607</v>
      </c>
    </row>
    <row r="8" spans="1:20" x14ac:dyDescent="0.25">
      <c r="A8" t="s">
        <v>115</v>
      </c>
      <c r="B8" s="7" t="s">
        <v>131</v>
      </c>
      <c r="C8" t="s">
        <v>118</v>
      </c>
      <c r="D8" s="8">
        <v>45481</v>
      </c>
      <c r="E8" s="2">
        <v>1</v>
      </c>
      <c r="F8" s="1">
        <v>48.68</v>
      </c>
      <c r="G8" s="1">
        <f>E8*F8</f>
        <v>48.68</v>
      </c>
      <c r="H8" s="13">
        <v>2.5000000000000001E-2</v>
      </c>
      <c r="I8" s="11">
        <v>0.2</v>
      </c>
      <c r="J8" s="9">
        <f>IFERROR(H8/I8,"")</f>
        <v>0.125</v>
      </c>
      <c r="K8" s="9">
        <f>IFERROR(J8/SUBTOTAL(9,$J$2:$J$1048576),"")</f>
        <v>6.3618292502906132E-3</v>
      </c>
      <c r="L8" s="12">
        <f>F8/(1-(F8*(1+H8)-F8)/(F8*(1+H8)))</f>
        <v>49.896999999999998</v>
      </c>
      <c r="M8" s="12">
        <f>L8*E8</f>
        <v>49.896999999999998</v>
      </c>
      <c r="N8" s="12">
        <f>F8/(1+I8-H8)</f>
        <v>41.42978723404255</v>
      </c>
      <c r="O8" s="12">
        <f>L8-F8</f>
        <v>1.2169999999999987</v>
      </c>
      <c r="P8" s="12">
        <f>0.5*(N8-F8)</f>
        <v>-3.6251063829787249</v>
      </c>
      <c r="Q8" s="15">
        <f>O8+P8</f>
        <v>-2.4081063829787261</v>
      </c>
      <c r="R8" s="12">
        <f>MAX($Q$2:$Q$279)-Q8</f>
        <v>116.54055146416312</v>
      </c>
      <c r="S8" s="9">
        <f>IFERROR((SUBTOTAL(109,$R$2:$R$1048576)/R8)/SUBTOTAL(109,$R$2:$R$1048576),0)</f>
        <v>8.5807042049865865E-3</v>
      </c>
      <c r="T8" s="9">
        <f>R8/MAX($R$2:$R$28)</f>
        <v>0.81369772309746791</v>
      </c>
    </row>
    <row r="9" spans="1:20" x14ac:dyDescent="0.25">
      <c r="A9" t="s">
        <v>115</v>
      </c>
      <c r="B9" s="7" t="s">
        <v>119</v>
      </c>
      <c r="C9" t="s">
        <v>120</v>
      </c>
      <c r="D9" s="8">
        <v>45481</v>
      </c>
      <c r="E9" s="2">
        <v>1</v>
      </c>
      <c r="F9" s="1">
        <v>51.28</v>
      </c>
      <c r="G9" s="1">
        <f>E9*F9</f>
        <v>51.28</v>
      </c>
      <c r="H9" s="13">
        <v>2.5000000000000001E-2</v>
      </c>
      <c r="I9" s="11">
        <v>0.2</v>
      </c>
      <c r="J9" s="9">
        <f>IFERROR(H9/I9,"")</f>
        <v>0.125</v>
      </c>
      <c r="K9" s="9">
        <f>IFERROR(J9/SUBTOTAL(9,$J$2:$J$1048576),"")</f>
        <v>6.3618292502906132E-3</v>
      </c>
      <c r="L9" s="12">
        <f>F9/(1-(F9*(1+H9)-F9)/(F9*(1+H9)))</f>
        <v>52.561999999999998</v>
      </c>
      <c r="M9" s="12">
        <f>L9*E9</f>
        <v>52.561999999999998</v>
      </c>
      <c r="N9" s="12">
        <f>F9/(1+I9-H9)</f>
        <v>43.642553191489363</v>
      </c>
      <c r="O9" s="12">
        <f>L9-F9</f>
        <v>1.2819999999999965</v>
      </c>
      <c r="P9" s="12">
        <f>0.5*(N9-F9)</f>
        <v>-3.8187234042553193</v>
      </c>
      <c r="Q9" s="15">
        <f>O9+P9</f>
        <v>-2.5367234042553228</v>
      </c>
      <c r="R9" s="12">
        <f>MAX($Q$2:$Q$279)-Q9</f>
        <v>116.66916848543971</v>
      </c>
      <c r="S9" s="9">
        <f>IFERROR((SUBTOTAL(109,$R$2:$R$1048576)/R9)/SUBTOTAL(109,$R$2:$R$1048576),0)</f>
        <v>8.5712447682765452E-3</v>
      </c>
      <c r="T9" s="9">
        <f>R9/MAX($R$2:$R$28)</f>
        <v>0.81459573993409262</v>
      </c>
    </row>
    <row r="10" spans="1:20" x14ac:dyDescent="0.25">
      <c r="A10" t="s">
        <v>40</v>
      </c>
      <c r="B10" s="7" t="s">
        <v>103</v>
      </c>
      <c r="C10" t="s">
        <v>103</v>
      </c>
      <c r="D10" s="8">
        <v>45627</v>
      </c>
      <c r="E10" s="2">
        <v>0.95840000000000003</v>
      </c>
      <c r="F10" s="1">
        <v>41.76</v>
      </c>
      <c r="G10" s="1">
        <f>E10*F10</f>
        <v>40.022784000000001</v>
      </c>
      <c r="H10" s="13">
        <v>0.1</v>
      </c>
      <c r="I10" s="11">
        <v>0.2</v>
      </c>
      <c r="J10" s="9">
        <f>IFERROR(H10/I10,"")</f>
        <v>0.5</v>
      </c>
      <c r="K10" s="9">
        <f>IFERROR(J10/SUBTOTAL(9,$J$2:$J$1048576),"")</f>
        <v>2.5447317001162453E-2</v>
      </c>
      <c r="L10" s="12">
        <f>F10/(1-(F10*(1+H10)-F10)/(F10*(1+H10)))</f>
        <v>45.936</v>
      </c>
      <c r="M10" s="12">
        <f>L10*E10</f>
        <v>44.025062400000003</v>
      </c>
      <c r="N10" s="12">
        <f>F10/(1+I10-H10)</f>
        <v>37.963636363636368</v>
      </c>
      <c r="O10" s="12">
        <f>L10-F10</f>
        <v>4.1760000000000019</v>
      </c>
      <c r="P10" s="12">
        <f>0.5*(N10-F10)</f>
        <v>-1.8981818181818149</v>
      </c>
      <c r="Q10" s="15">
        <f>O10+P10</f>
        <v>2.2778181818181871</v>
      </c>
      <c r="R10" s="12">
        <f>MAX($Q$2:$Q$279)-Q10</f>
        <v>111.8546268993662</v>
      </c>
      <c r="S10" s="9">
        <f>IFERROR((SUBTOTAL(109,$R$2:$R$1048576)/R10)/SUBTOTAL(109,$R$2:$R$1048576),0)</f>
        <v>8.9401755449927331E-3</v>
      </c>
      <c r="T10" s="9">
        <f>R10/MAX($R$2:$R$28)</f>
        <v>0.78098013165759694</v>
      </c>
    </row>
    <row r="11" spans="1:20" x14ac:dyDescent="0.25">
      <c r="A11" t="s">
        <v>40</v>
      </c>
      <c r="B11" s="7" t="s">
        <v>26</v>
      </c>
      <c r="C11" t="s">
        <v>27</v>
      </c>
      <c r="D11" s="8">
        <v>45511</v>
      </c>
      <c r="E11" s="2">
        <v>0.45179999999999998</v>
      </c>
      <c r="F11" s="1">
        <v>77.430000000000007</v>
      </c>
      <c r="G11" s="1">
        <f>E11*F11</f>
        <v>34.982874000000002</v>
      </c>
      <c r="H11" s="13">
        <v>0.1</v>
      </c>
      <c r="I11" s="11">
        <v>0.25990000000000002</v>
      </c>
      <c r="J11" s="9">
        <f>IFERROR(H11/I11,"")</f>
        <v>0.38476337052712584</v>
      </c>
      <c r="K11" s="9">
        <f>IFERROR(J11/SUBTOTAL(9,$J$2:$J$1048576),"")</f>
        <v>1.9582390920478997E-2</v>
      </c>
      <c r="L11" s="12">
        <f>F11/(1-(F11*(1+H11)-F11)/(F11*(1+H11)))</f>
        <v>85.173000000000016</v>
      </c>
      <c r="M11" s="12">
        <f>L11*E11</f>
        <v>38.481161400000005</v>
      </c>
      <c r="N11" s="12">
        <f>F11/(1+I11-H11)</f>
        <v>66.755754806448849</v>
      </c>
      <c r="O11" s="12">
        <f>L11-F11</f>
        <v>7.7430000000000092</v>
      </c>
      <c r="P11" s="12">
        <f>0.5*(N11-F11)</f>
        <v>-5.3371225967755791</v>
      </c>
      <c r="Q11" s="15">
        <f>O11+P11</f>
        <v>2.4058774032244301</v>
      </c>
      <c r="R11" s="12">
        <f>MAX($Q$2:$Q$279)-Q11</f>
        <v>111.72656767795996</v>
      </c>
      <c r="S11" s="9">
        <f>IFERROR((SUBTOTAL(109,$R$2:$R$1048576)/R11)/SUBTOTAL(109,$R$2:$R$1048576),0)</f>
        <v>8.9504226325326178E-3</v>
      </c>
      <c r="T11" s="9">
        <f>R11/MAX($R$2:$R$28)</f>
        <v>0.78008600943515383</v>
      </c>
    </row>
    <row r="12" spans="1:20" x14ac:dyDescent="0.25">
      <c r="A12" t="s">
        <v>38</v>
      </c>
      <c r="B12" s="5" t="s">
        <v>15</v>
      </c>
      <c r="C12" t="s">
        <v>16</v>
      </c>
      <c r="D12" s="8">
        <v>45460</v>
      </c>
      <c r="E12" s="2">
        <v>0.43659999999999999</v>
      </c>
      <c r="F12" s="1">
        <v>160.25</v>
      </c>
      <c r="G12" s="1">
        <f>E12*F12</f>
        <v>69.965149999999994</v>
      </c>
      <c r="H12" s="13">
        <v>6.7199999999999996E-2</v>
      </c>
      <c r="I12" s="11">
        <v>0.16439999999999999</v>
      </c>
      <c r="J12" s="9">
        <f>IFERROR(H12/I12,"")</f>
        <v>0.40875912408759124</v>
      </c>
      <c r="K12" s="9">
        <f>IFERROR(J12/SUBTOTAL(9,$J$2:$J$1048576),"")</f>
        <v>2.0803646015548866E-2</v>
      </c>
      <c r="L12" s="12">
        <f>F12/(1-(F12*(1+H12)-F12)/(F12*(1+H12)))</f>
        <v>171.0188</v>
      </c>
      <c r="M12" s="12">
        <f>L12*E12</f>
        <v>74.666808079999996</v>
      </c>
      <c r="N12" s="12">
        <f>F12/(1+I12-H12)</f>
        <v>146.05359095880419</v>
      </c>
      <c r="O12" s="12">
        <f>L12-F12</f>
        <v>10.768799999999999</v>
      </c>
      <c r="P12" s="12">
        <f>0.5*(N12-F12)</f>
        <v>-7.0982045205979034</v>
      </c>
      <c r="Q12" s="15">
        <f>O12+P12</f>
        <v>3.6705954794020954</v>
      </c>
      <c r="R12" s="12">
        <f>MAX($Q$2:$Q$279)-Q12</f>
        <v>110.46184960178229</v>
      </c>
      <c r="S12" s="9">
        <f>IFERROR((SUBTOTAL(109,$R$2:$R$1048576)/R12)/SUBTOTAL(109,$R$2:$R$1048576),0)</f>
        <v>9.0528992915203284E-3</v>
      </c>
      <c r="T12" s="9">
        <f>R12/MAX($R$2:$R$28)</f>
        <v>0.7712556220204998</v>
      </c>
    </row>
    <row r="13" spans="1:20" x14ac:dyDescent="0.25">
      <c r="A13" t="s">
        <v>36</v>
      </c>
      <c r="B13" s="3" t="s">
        <v>21</v>
      </c>
      <c r="C13" t="s">
        <v>22</v>
      </c>
      <c r="D13" s="8">
        <v>45484</v>
      </c>
      <c r="E13" s="2">
        <v>0.4108</v>
      </c>
      <c r="F13" s="1">
        <v>189.76</v>
      </c>
      <c r="G13" s="1">
        <f>E13*F13</f>
        <v>77.953407999999996</v>
      </c>
      <c r="H13" s="13">
        <f>227.4/F13-1</f>
        <v>0.19835581787521095</v>
      </c>
      <c r="I13" s="11">
        <v>0.37</v>
      </c>
      <c r="J13" s="9">
        <f>IFERROR(H13/I13,"")</f>
        <v>0.53609680506813773</v>
      </c>
      <c r="K13" s="9">
        <f>IFERROR(J13/SUBTOTAL(9,$J$2:$J$1048576),"")</f>
        <v>2.728445068375859E-2</v>
      </c>
      <c r="L13" s="12">
        <f>F13/(1-(F13*(1+H13)-F13)/(F13*(1+H13)))</f>
        <v>227.4</v>
      </c>
      <c r="M13" s="12">
        <f>L13*E13</f>
        <v>93.41592</v>
      </c>
      <c r="N13" s="12">
        <f>F13/(1+I13-H13)</f>
        <v>161.96043380326287</v>
      </c>
      <c r="O13" s="12">
        <f>L13-F13</f>
        <v>37.640000000000015</v>
      </c>
      <c r="P13" s="12">
        <f>0.5*(N13-F13)</f>
        <v>-13.899783098368559</v>
      </c>
      <c r="Q13" s="15">
        <f>O13+P13</f>
        <v>23.740216901631456</v>
      </c>
      <c r="R13" s="12">
        <f>MAX($Q$2:$Q$279)-Q13</f>
        <v>90.39222817955293</v>
      </c>
      <c r="S13" s="9">
        <f>IFERROR((SUBTOTAL(109,$R$2:$R$1048576)/R13)/SUBTOTAL(109,$R$2:$R$1048576),0)</f>
        <v>1.1062897996204102E-2</v>
      </c>
      <c r="T13" s="9">
        <f>R13/MAX($R$2:$R$28)</f>
        <v>0.6311275288415521</v>
      </c>
    </row>
    <row r="14" spans="1:20" x14ac:dyDescent="0.25">
      <c r="A14" t="s">
        <v>38</v>
      </c>
      <c r="B14" s="5" t="s">
        <v>19</v>
      </c>
      <c r="C14" t="s">
        <v>20</v>
      </c>
      <c r="D14" s="8">
        <v>45544</v>
      </c>
      <c r="E14" s="2">
        <v>0.35149999999999998</v>
      </c>
      <c r="F14" s="1">
        <v>142.78</v>
      </c>
      <c r="G14" s="1">
        <f>E14*F14</f>
        <v>50.187169999999995</v>
      </c>
      <c r="H14" s="13">
        <v>7.0000000000000007E-2</v>
      </c>
      <c r="I14" s="11">
        <v>0.18340000000000001</v>
      </c>
      <c r="J14" s="9">
        <f>IFERROR(H14/I14,"")</f>
        <v>0.38167938931297712</v>
      </c>
      <c r="K14" s="9">
        <f>IFERROR(J14/SUBTOTAL(9,$J$2:$J$1048576),"")</f>
        <v>1.9425432825314851E-2</v>
      </c>
      <c r="L14" s="12">
        <f>F14/(1-(F14*(1+H14)-F14)/(F14*(1+H14)))</f>
        <v>152.77460000000002</v>
      </c>
      <c r="M14" s="12">
        <f>L14*E14</f>
        <v>53.700271900000004</v>
      </c>
      <c r="N14" s="12">
        <f>F14/(1+I14-H14)</f>
        <v>128.23783007005568</v>
      </c>
      <c r="O14" s="12">
        <f>L14-F14</f>
        <v>9.9946000000000197</v>
      </c>
      <c r="P14" s="12">
        <f>0.5*(N14-F14)</f>
        <v>-7.2710849649721609</v>
      </c>
      <c r="Q14" s="15">
        <f>O14+P14</f>
        <v>2.7235150350278587</v>
      </c>
      <c r="R14" s="12">
        <f>MAX($Q$2:$Q$279)-Q14</f>
        <v>111.40893004615653</v>
      </c>
      <c r="S14" s="9">
        <f>IFERROR((SUBTOTAL(109,$R$2:$R$1048576)/R14)/SUBTOTAL(109,$R$2:$R$1048576),0)</f>
        <v>8.9759411528833617E-3</v>
      </c>
      <c r="T14" s="9">
        <f>R14/MAX($R$2:$R$28)</f>
        <v>0.77786823189316223</v>
      </c>
    </row>
    <row r="15" spans="1:20" x14ac:dyDescent="0.25">
      <c r="A15" t="s">
        <v>39</v>
      </c>
      <c r="B15" s="6" t="s">
        <v>42</v>
      </c>
      <c r="C15" t="s">
        <v>43</v>
      </c>
      <c r="D15" s="8">
        <v>45580</v>
      </c>
      <c r="E15" s="2">
        <v>0.34860000000000002</v>
      </c>
      <c r="F15" s="1">
        <v>131.91</v>
      </c>
      <c r="G15" s="1">
        <f>E15*F15</f>
        <v>45.983826000000001</v>
      </c>
      <c r="H15" s="13">
        <v>0.1202</v>
      </c>
      <c r="I15" s="11">
        <v>0.33710000000000001</v>
      </c>
      <c r="J15" s="9">
        <f>IFERROR(H15/I15,"")</f>
        <v>0.35657075051913378</v>
      </c>
      <c r="K15" s="9">
        <f>IFERROR(J15/SUBTOTAL(9,$J$2:$J$1048576),"")</f>
        <v>1.8147537843605618E-2</v>
      </c>
      <c r="L15" s="12">
        <f>F15/(1-(F15*(1+H15)-F15)/(F15*(1+H15)))</f>
        <v>147.76558199999999</v>
      </c>
      <c r="M15" s="12">
        <f>L15*E15</f>
        <v>51.511081885199999</v>
      </c>
      <c r="N15" s="12">
        <f>F15/(1+I15-H15)</f>
        <v>108.39838934998768</v>
      </c>
      <c r="O15" s="12">
        <f>L15-F15</f>
        <v>15.855581999999998</v>
      </c>
      <c r="P15" s="12">
        <f>0.5*(N15-F15)</f>
        <v>-11.755805325006158</v>
      </c>
      <c r="Q15" s="15">
        <f>O15+P15</f>
        <v>4.0997766749938407</v>
      </c>
      <c r="R15" s="12">
        <f>MAX($Q$2:$Q$279)-Q15</f>
        <v>110.03266840619054</v>
      </c>
      <c r="S15" s="9">
        <f>IFERROR((SUBTOTAL(109,$R$2:$R$1048576)/R15)/SUBTOTAL(109,$R$2:$R$1048576),0)</f>
        <v>9.0882100242125827E-3</v>
      </c>
      <c r="T15" s="9">
        <f>R15/MAX($R$2:$R$28)</f>
        <v>0.76825903622043479</v>
      </c>
    </row>
    <row r="16" spans="1:20" x14ac:dyDescent="0.25">
      <c r="A16" t="s">
        <v>96</v>
      </c>
      <c r="B16" s="7" t="s">
        <v>97</v>
      </c>
      <c r="C16" s="32" t="s">
        <v>100</v>
      </c>
      <c r="D16" s="8">
        <v>45630</v>
      </c>
      <c r="E16" s="2">
        <v>0.28749999999999998</v>
      </c>
      <c r="F16" s="1">
        <v>34.78</v>
      </c>
      <c r="G16" s="1">
        <f>E16*F16</f>
        <v>9.99925</v>
      </c>
      <c r="H16" s="13">
        <v>0.2</v>
      </c>
      <c r="I16" s="11">
        <v>0.2</v>
      </c>
      <c r="J16" s="9">
        <f>IFERROR(H16/I16,"")</f>
        <v>1</v>
      </c>
      <c r="K16" s="9">
        <f>IFERROR(J16/SUBTOTAL(9,$J$2:$J$1048576),"")</f>
        <v>5.0894634002324905E-2</v>
      </c>
      <c r="L16" s="12">
        <f>F16/(1-(F16*(1+H16)-F16)/(F16*(1+H16)))</f>
        <v>41.735999999999997</v>
      </c>
      <c r="M16" s="12">
        <f>L16*E16</f>
        <v>11.999099999999999</v>
      </c>
      <c r="N16" s="12">
        <f>F16/(1+I16-H16)</f>
        <v>34.78</v>
      </c>
      <c r="O16" s="12">
        <f>L16-F16</f>
        <v>6.955999999999996</v>
      </c>
      <c r="P16" s="12">
        <f>0.5*(N16-F16)</f>
        <v>0</v>
      </c>
      <c r="Q16" s="15">
        <f>O16+P16</f>
        <v>6.955999999999996</v>
      </c>
      <c r="R16" s="12">
        <f>MAX($Q$2:$Q$279)-Q16</f>
        <v>107.1764450811844</v>
      </c>
      <c r="S16" s="9">
        <f>IFERROR((SUBTOTAL(109,$R$2:$R$1048576)/R16)/SUBTOTAL(109,$R$2:$R$1048576),0)</f>
        <v>9.3304083676456744E-3</v>
      </c>
      <c r="T16" s="9">
        <f>R16/MAX($R$2:$R$28)</f>
        <v>0.74831660084479601</v>
      </c>
    </row>
    <row r="17" spans="1:20" x14ac:dyDescent="0.25">
      <c r="A17" t="s">
        <v>40</v>
      </c>
      <c r="B17" s="7" t="s">
        <v>90</v>
      </c>
      <c r="C17" s="32" t="s">
        <v>91</v>
      </c>
      <c r="D17" s="8">
        <v>45627</v>
      </c>
      <c r="E17" s="2">
        <v>0.27450000000000002</v>
      </c>
      <c r="F17" s="1">
        <v>39.799999999999997</v>
      </c>
      <c r="G17" s="1">
        <f>E17*F17</f>
        <v>10.9251</v>
      </c>
      <c r="H17" s="13">
        <v>0.1</v>
      </c>
      <c r="I17" s="11">
        <v>0.2</v>
      </c>
      <c r="J17" s="9">
        <f>IFERROR(H17/I17,"")</f>
        <v>0.5</v>
      </c>
      <c r="K17" s="9">
        <f>IFERROR(J17/SUBTOTAL(9,$J$2:$J$1048576),"")</f>
        <v>2.5447317001162453E-2</v>
      </c>
      <c r="L17" s="12">
        <f>F17/(1-(F17*(1+H17)-F17)/(F17*(1+H17)))</f>
        <v>43.78</v>
      </c>
      <c r="M17" s="12">
        <f>L17*E17</f>
        <v>12.017610000000001</v>
      </c>
      <c r="N17" s="12">
        <f>F17/(1+I17-H17)</f>
        <v>36.181818181818187</v>
      </c>
      <c r="O17" s="12">
        <f>L17-F17</f>
        <v>3.980000000000004</v>
      </c>
      <c r="P17" s="12">
        <f>0.5*(N17-F17)</f>
        <v>-1.8090909090909051</v>
      </c>
      <c r="Q17" s="15">
        <f>O17+P17</f>
        <v>2.1709090909090989</v>
      </c>
      <c r="R17" s="12">
        <f>MAX($Q$2:$Q$279)-Q17</f>
        <v>111.96153599027528</v>
      </c>
      <c r="S17" s="9">
        <f>IFERROR((SUBTOTAL(109,$R$2:$R$1048576)/R17)/SUBTOTAL(109,$R$2:$R$1048576),0)</f>
        <v>8.931638809303739E-3</v>
      </c>
      <c r="T17" s="9">
        <f>R17/MAX($R$2:$R$28)</f>
        <v>0.78172658156501729</v>
      </c>
    </row>
    <row r="18" spans="1:20" x14ac:dyDescent="0.25">
      <c r="A18" t="s">
        <v>39</v>
      </c>
      <c r="B18" s="6" t="s">
        <v>58</v>
      </c>
      <c r="C18" t="s">
        <v>59</v>
      </c>
      <c r="D18" s="8">
        <v>45580</v>
      </c>
      <c r="E18" s="2">
        <v>0.25669999999999998</v>
      </c>
      <c r="F18" s="1">
        <v>132.38999999999999</v>
      </c>
      <c r="G18" s="1">
        <f>E18*F18</f>
        <v>33.984512999999993</v>
      </c>
      <c r="H18" s="13">
        <v>7.0000000000000007E-2</v>
      </c>
      <c r="I18" s="11">
        <v>0.1623</v>
      </c>
      <c r="J18" s="9">
        <f>IFERROR(H18/I18,"")</f>
        <v>0.43130006161429457</v>
      </c>
      <c r="K18" s="9">
        <f>IFERROR(J18/SUBTOTAL(9,$J$2:$J$1048576),"")</f>
        <v>2.1950858781039705E-2</v>
      </c>
      <c r="L18" s="12">
        <f>F18/(1-(F18*(1+H18)-F18)/(F18*(1+H18)))</f>
        <v>141.65729999999999</v>
      </c>
      <c r="M18" s="12">
        <f>L18*E18</f>
        <v>36.363428909999996</v>
      </c>
      <c r="N18" s="12">
        <f>F18/(1+I18-H18)</f>
        <v>121.20296621807194</v>
      </c>
      <c r="O18" s="12">
        <f>L18-F18</f>
        <v>9.2673000000000059</v>
      </c>
      <c r="P18" s="12">
        <f>0.5*(N18-F18)</f>
        <v>-5.5935168909640254</v>
      </c>
      <c r="Q18" s="15">
        <f>O18+P18</f>
        <v>3.6737831090359805</v>
      </c>
      <c r="R18" s="12">
        <f>MAX($Q$2:$Q$279)-Q18</f>
        <v>110.45866197214841</v>
      </c>
      <c r="S18" s="9">
        <f>IFERROR((SUBTOTAL(109,$R$2:$R$1048576)/R18)/SUBTOTAL(109,$R$2:$R$1048576),0)</f>
        <v>9.0531605411999748E-3</v>
      </c>
      <c r="T18" s="9">
        <f>R18/MAX($R$2:$R$28)</f>
        <v>0.77123336567330925</v>
      </c>
    </row>
    <row r="19" spans="1:20" x14ac:dyDescent="0.25">
      <c r="A19" t="s">
        <v>40</v>
      </c>
      <c r="B19" s="7" t="s">
        <v>47</v>
      </c>
      <c r="C19" t="s">
        <v>46</v>
      </c>
      <c r="D19" s="8">
        <v>45511</v>
      </c>
      <c r="E19" s="2">
        <v>0.25169999999999998</v>
      </c>
      <c r="F19" s="1">
        <v>178.56</v>
      </c>
      <c r="G19" s="1">
        <f>E19*F19</f>
        <v>44.943551999999997</v>
      </c>
      <c r="H19" s="13">
        <f>196.02/F19-1</f>
        <v>9.7782258064516236E-2</v>
      </c>
      <c r="I19" s="11">
        <v>0.52980000000000005</v>
      </c>
      <c r="J19" s="9">
        <f>IFERROR(H19/I19,"")</f>
        <v>0.18456447350795815</v>
      </c>
      <c r="K19" s="9">
        <f>IFERROR(J19/SUBTOTAL(9,$J$2:$J$1048576),"")</f>
        <v>9.3933413290193217E-3</v>
      </c>
      <c r="L19" s="12">
        <f>F19/(1-(F19*(1+H19)-F19)/(F19*(1+H19)))</f>
        <v>196.02</v>
      </c>
      <c r="M19" s="12">
        <f>L19*E19</f>
        <v>49.338234</v>
      </c>
      <c r="N19" s="12">
        <f>F19/(1+I19-H19)</f>
        <v>124.69119255370553</v>
      </c>
      <c r="O19" s="12">
        <f>L19-F19</f>
        <v>17.460000000000008</v>
      </c>
      <c r="P19" s="12">
        <f>0.5*(N19-F19)</f>
        <v>-26.934403723147234</v>
      </c>
      <c r="Q19" s="15">
        <f>O19+P19</f>
        <v>-9.4744037231472262</v>
      </c>
      <c r="R19" s="12">
        <f>MAX($Q$2:$Q$279)-Q19</f>
        <v>123.60684880433161</v>
      </c>
      <c r="S19" s="9">
        <f>IFERROR((SUBTOTAL(109,$R$2:$R$1048576)/R19)/SUBTOTAL(109,$R$2:$R$1048576),0)</f>
        <v>8.0901666022000929E-3</v>
      </c>
      <c r="T19" s="9">
        <f>R19/MAX($R$2:$R$28)</f>
        <v>0.86303531404059042</v>
      </c>
    </row>
    <row r="20" spans="1:20" x14ac:dyDescent="0.25">
      <c r="A20" t="s">
        <v>36</v>
      </c>
      <c r="B20" s="3" t="s">
        <v>14</v>
      </c>
      <c r="C20" t="s">
        <v>13</v>
      </c>
      <c r="D20" s="8">
        <v>45482</v>
      </c>
      <c r="E20" s="2">
        <v>0.18820000000000001</v>
      </c>
      <c r="F20" s="1">
        <v>227.38</v>
      </c>
      <c r="G20" s="1">
        <f>E20*F20</f>
        <v>42.792915999999998</v>
      </c>
      <c r="H20" s="13">
        <v>0.15</v>
      </c>
      <c r="I20" s="11">
        <v>0.2271</v>
      </c>
      <c r="J20" s="9">
        <f>IFERROR(H20/I20,"")</f>
        <v>0.66050198150594452</v>
      </c>
      <c r="K20" s="9">
        <f>IFERROR(J20/SUBTOTAL(9,$J$2:$J$1048576),"")</f>
        <v>3.3616006606555421E-2</v>
      </c>
      <c r="L20" s="12">
        <f>F20/(1-(F20*(1+H20)-F20)/(F20*(1+H20)))</f>
        <v>261.48699999999997</v>
      </c>
      <c r="M20" s="12">
        <f>L20*E20</f>
        <v>49.211853399999995</v>
      </c>
      <c r="N20" s="12">
        <f>F20/(1+I20-H20)</f>
        <v>211.10389007520189</v>
      </c>
      <c r="O20" s="12">
        <f>L20-F20</f>
        <v>34.106999999999971</v>
      </c>
      <c r="P20" s="12">
        <f>0.5*(N20-F20)</f>
        <v>-8.1380549623990532</v>
      </c>
      <c r="Q20" s="15">
        <f>O20+P20</f>
        <v>25.968945037600918</v>
      </c>
      <c r="R20" s="12">
        <f>MAX($Q$2:$Q$279)-Q20</f>
        <v>88.163500043583468</v>
      </c>
      <c r="S20" s="9">
        <f>IFERROR((SUBTOTAL(109,$R$2:$R$1048576)/R20)/SUBTOTAL(109,$R$2:$R$1048576),0)</f>
        <v>1.1342562392664219E-2</v>
      </c>
      <c r="T20" s="9">
        <f>R20/MAX($R$2:$R$28)</f>
        <v>0.6155663272953309</v>
      </c>
    </row>
    <row r="21" spans="1:20" x14ac:dyDescent="0.25">
      <c r="A21" t="s">
        <v>36</v>
      </c>
      <c r="B21" s="3" t="s">
        <v>11</v>
      </c>
      <c r="C21" t="s">
        <v>12</v>
      </c>
      <c r="D21" s="8">
        <v>45574</v>
      </c>
      <c r="E21" s="2">
        <v>0.13370000000000001</v>
      </c>
      <c r="F21" s="1">
        <v>423.77</v>
      </c>
      <c r="G21" s="1">
        <f>E21*F21</f>
        <v>56.658049000000005</v>
      </c>
      <c r="H21" s="13">
        <v>0.15</v>
      </c>
      <c r="I21" s="11">
        <v>0.1963</v>
      </c>
      <c r="J21" s="9">
        <f>IFERROR(H21/I21,"")</f>
        <v>0.76413652572592972</v>
      </c>
      <c r="K21" s="9">
        <f>IFERROR(J21/SUBTOTAL(9,$J$2:$J$1048576),"")</f>
        <v>3.8890448804629323E-2</v>
      </c>
      <c r="L21" s="12">
        <f>F21/(1-(F21*(1+H21)-F21)/(F21*(1+H21)))</f>
        <v>487.33549999999991</v>
      </c>
      <c r="M21" s="12">
        <f>L21*E21</f>
        <v>65.156756349999995</v>
      </c>
      <c r="N21" s="12">
        <f>F21/(1+I21-H21)</f>
        <v>405.01768135334032</v>
      </c>
      <c r="O21" s="12">
        <f>L21-F21</f>
        <v>63.565499999999929</v>
      </c>
      <c r="P21" s="12">
        <f>0.5*(N21-F21)</f>
        <v>-9.3761593233298299</v>
      </c>
      <c r="Q21" s="15">
        <f>O21+P21</f>
        <v>54.189340676670099</v>
      </c>
      <c r="R21" s="12">
        <f>MAX($Q$2:$Q$279)-Q21</f>
        <v>59.943104404514287</v>
      </c>
      <c r="S21" s="9">
        <f>IFERROR((SUBTOTAL(109,$R$2:$R$1048576)/R21)/SUBTOTAL(109,$R$2:$R$1048576),0)</f>
        <v>1.6682485999585474E-2</v>
      </c>
      <c r="T21" s="9">
        <f>R21/MAX($R$2:$R$28)</f>
        <v>0.41852871774290379</v>
      </c>
    </row>
    <row r="22" spans="1:20" x14ac:dyDescent="0.25">
      <c r="A22" t="s">
        <v>37</v>
      </c>
      <c r="B22" s="4" t="s">
        <v>8</v>
      </c>
      <c r="C22" t="s">
        <v>28</v>
      </c>
      <c r="D22" s="8">
        <v>45511</v>
      </c>
      <c r="E22" s="2">
        <v>0.12939999999999999</v>
      </c>
      <c r="F22" s="1">
        <v>501.56</v>
      </c>
      <c r="G22" s="1">
        <f>E22*F22</f>
        <v>64.901863999999989</v>
      </c>
      <c r="H22" s="13">
        <v>0.25</v>
      </c>
      <c r="I22" s="11">
        <v>0.29699999999999999</v>
      </c>
      <c r="J22" s="9">
        <f>IFERROR(H22/I22,"")</f>
        <v>0.84175084175084181</v>
      </c>
      <c r="K22" s="9">
        <f>IFERROR(J22/SUBTOTAL(9,$J$2:$J$1048576),"")</f>
        <v>4.2840601012058006E-2</v>
      </c>
      <c r="L22" s="12">
        <f>F22/(1-(F22*(1+H22)-F22)/(F22*(1+H22)))</f>
        <v>626.95000000000005</v>
      </c>
      <c r="M22" s="12">
        <f>L22*E22</f>
        <v>81.127330000000001</v>
      </c>
      <c r="N22" s="12">
        <f>F22/(1+I22-H22)</f>
        <v>479.04489016236869</v>
      </c>
      <c r="O22" s="12">
        <f>L22-F22</f>
        <v>125.39000000000004</v>
      </c>
      <c r="P22" s="12">
        <f>0.5*(N22-F22)</f>
        <v>-11.257554918815657</v>
      </c>
      <c r="Q22" s="15">
        <f>O22+P22</f>
        <v>114.13244508118439</v>
      </c>
      <c r="R22" s="12">
        <f>MAX($Q$2:$Q$279)-Q22</f>
        <v>0</v>
      </c>
      <c r="S22" s="9">
        <f>IFERROR((SUBTOTAL(109,$R$2:$R$1048576)/R22)/SUBTOTAL(109,$R$2:$R$1048576),0)</f>
        <v>0</v>
      </c>
      <c r="T22" s="9">
        <f>R22/MAX($R$2:$R$28)</f>
        <v>0</v>
      </c>
    </row>
    <row r="23" spans="1:20" x14ac:dyDescent="0.25">
      <c r="A23" t="s">
        <v>40</v>
      </c>
      <c r="B23" s="7" t="s">
        <v>51</v>
      </c>
      <c r="C23" s="14" t="s">
        <v>50</v>
      </c>
      <c r="D23" s="8">
        <v>45511</v>
      </c>
      <c r="E23" s="2">
        <v>9.9999999999999998E-20</v>
      </c>
      <c r="F23" s="1">
        <v>10.92</v>
      </c>
      <c r="G23" s="1">
        <f>E23*F23</f>
        <v>1.092E-18</v>
      </c>
      <c r="H23" s="13">
        <v>1</v>
      </c>
      <c r="I23" s="13">
        <v>1.8652</v>
      </c>
      <c r="J23" s="9">
        <f>IFERROR(H23/I23,"")</f>
        <v>0.53613553506326406</v>
      </c>
      <c r="K23" s="9">
        <f>IFERROR(J23/SUBTOTAL(9,$J$2:$J$1048576),"")</f>
        <v>2.7286421832685457E-2</v>
      </c>
      <c r="L23" s="12">
        <f>F23/(1-(F23*(1+H23)-F23)/(F23*(1+H23)))</f>
        <v>21.84</v>
      </c>
      <c r="M23" s="12">
        <f>L23*E23</f>
        <v>2.1840000000000001E-18</v>
      </c>
      <c r="N23" s="12">
        <f>F23/(1+I23-H23)</f>
        <v>5.8546000428908433</v>
      </c>
      <c r="O23" s="12">
        <f>L23-F23</f>
        <v>10.92</v>
      </c>
      <c r="P23" s="12">
        <f>0.5*(N23-F23)</f>
        <v>-2.5326999785545783</v>
      </c>
      <c r="Q23" s="15">
        <f>O23+P23</f>
        <v>8.3873000214454212</v>
      </c>
      <c r="R23" s="12">
        <f>MAX($Q$2:$Q$279)-Q23</f>
        <v>105.74514505973896</v>
      </c>
      <c r="S23" s="9">
        <f>IFERROR((SUBTOTAL(109,$R$2:$R$1048576)/R23)/SUBTOTAL(109,$R$2:$R$1048576),0)</f>
        <v>9.456698928684306E-3</v>
      </c>
      <c r="T23" s="9">
        <f>R23/MAX($R$2:$R$28)</f>
        <v>0.73832312171768166</v>
      </c>
    </row>
    <row r="24" spans="1:20" x14ac:dyDescent="0.25">
      <c r="A24" t="s">
        <v>37</v>
      </c>
      <c r="B24" s="4" t="s">
        <v>7</v>
      </c>
      <c r="C24" t="s">
        <v>25</v>
      </c>
      <c r="D24" s="8">
        <v>45511</v>
      </c>
      <c r="E24" s="2">
        <v>9.9999999999999998E-20</v>
      </c>
      <c r="F24" s="1">
        <v>283.43</v>
      </c>
      <c r="G24" s="1">
        <f>E24*F24</f>
        <v>2.8342999999999998E-17</v>
      </c>
      <c r="H24" s="13">
        <v>0.25</v>
      </c>
      <c r="I24" s="11">
        <v>0.26</v>
      </c>
      <c r="J24" s="9">
        <f>IFERROR(H24/I24,"")</f>
        <v>0.96153846153846145</v>
      </c>
      <c r="K24" s="9">
        <f>IFERROR(J24/SUBTOTAL(9,$J$2:$J$1048576),"")</f>
        <v>4.8937148079158561E-2</v>
      </c>
      <c r="L24" s="12">
        <f>F24/(1-(F24*(1+H24)-F24)/(F24*(1+H24)))</f>
        <v>354.28750000000002</v>
      </c>
      <c r="M24" s="12">
        <f>L24*E24</f>
        <v>3.542875E-17</v>
      </c>
      <c r="N24" s="12">
        <f>F24/(1+I24-H24)</f>
        <v>280.62376237623761</v>
      </c>
      <c r="O24" s="12">
        <f>L24-F24</f>
        <v>70.857500000000016</v>
      </c>
      <c r="P24" s="12">
        <f>0.5*(N24-F24)</f>
        <v>-1.4031188118811997</v>
      </c>
      <c r="Q24" s="15">
        <f>O24+P24</f>
        <v>69.454381188118816</v>
      </c>
      <c r="R24" s="12">
        <f>MAX($Q$2:$Q$279)-Q24</f>
        <v>44.67806389306557</v>
      </c>
      <c r="S24" s="9">
        <f>IFERROR((SUBTOTAL(109,$R$2:$R$1048576)/R24)/SUBTOTAL(109,$R$2:$R$1048576),0)</f>
        <v>2.2382348581474875E-2</v>
      </c>
      <c r="T24" s="9">
        <f>R24/MAX($R$2:$R$28)</f>
        <v>0.311946686414727</v>
      </c>
    </row>
    <row r="25" spans="1:20" x14ac:dyDescent="0.25">
      <c r="A25" t="s">
        <v>36</v>
      </c>
      <c r="B25" s="3" t="s">
        <v>10</v>
      </c>
      <c r="C25" t="s">
        <v>9</v>
      </c>
      <c r="D25" s="8">
        <v>45544</v>
      </c>
      <c r="E25" s="2">
        <v>9.9999999999999998E-20</v>
      </c>
      <c r="F25" s="1">
        <v>188.12</v>
      </c>
      <c r="G25" s="1">
        <f>E25*F25</f>
        <v>1.8812000000000001E-17</v>
      </c>
      <c r="H25" s="13">
        <v>0.15</v>
      </c>
      <c r="I25" s="11">
        <v>0.37780000000000002</v>
      </c>
      <c r="J25" s="9">
        <f>IFERROR(H25/I25,"")</f>
        <v>0.39703546850185278</v>
      </c>
      <c r="K25" s="9">
        <f>IFERROR(J25/SUBTOTAL(9,$J$2:$J$1048576),"")</f>
        <v>2.0206974855343396E-2</v>
      </c>
      <c r="L25" s="12">
        <f>F25/(1-(F25*(1+H25)-F25)/(F25*(1+H25)))</f>
        <v>216.33799999999999</v>
      </c>
      <c r="M25" s="12">
        <f>L25*E25</f>
        <v>2.16338E-17</v>
      </c>
      <c r="N25" s="12">
        <f>F25/(1+I25-H25)</f>
        <v>153.21713634142367</v>
      </c>
      <c r="O25" s="12">
        <f>L25-F25</f>
        <v>28.217999999999989</v>
      </c>
      <c r="P25" s="12">
        <f>0.5*(N25-F25)</f>
        <v>-17.451431829288168</v>
      </c>
      <c r="Q25" s="15">
        <f>O25+P25</f>
        <v>10.766568170711821</v>
      </c>
      <c r="R25" s="12">
        <f>MAX($Q$2:$Q$279)-Q25</f>
        <v>103.36587691047256</v>
      </c>
      <c r="S25" s="9">
        <f>IFERROR((SUBTOTAL(109,$R$2:$R$1048576)/R25)/SUBTOTAL(109,$R$2:$R$1048576),0)</f>
        <v>9.674372528819369E-3</v>
      </c>
      <c r="T25" s="9">
        <f>R25/MAX($R$2:$R$28)</f>
        <v>0.72171083482377829</v>
      </c>
    </row>
    <row r="26" spans="1:20" x14ac:dyDescent="0.25">
      <c r="A26" t="s">
        <v>36</v>
      </c>
      <c r="B26" s="3" t="s">
        <v>18</v>
      </c>
      <c r="C26" t="s">
        <v>17</v>
      </c>
      <c r="D26" s="8">
        <v>45483</v>
      </c>
      <c r="E26" s="2">
        <v>9.9999999999999998E-20</v>
      </c>
      <c r="F26" s="1">
        <v>167.24</v>
      </c>
      <c r="G26" s="1">
        <f>E26*F26</f>
        <v>1.6724000000000001E-17</v>
      </c>
      <c r="H26" s="13">
        <f>190.41/F26-1</f>
        <v>0.13854341066730447</v>
      </c>
      <c r="I26" s="11">
        <v>0.26790000000000003</v>
      </c>
      <c r="J26" s="9">
        <f>IFERROR(H26/I26,"")</f>
        <v>0.51714598979956872</v>
      </c>
      <c r="K26" s="9">
        <f>IFERROR(J26/SUBTOTAL(9,$J$2:$J$1048576),"")</f>
        <v>2.6319955876619099E-2</v>
      </c>
      <c r="L26" s="12">
        <f>F26/(1-(F26*(1+H26)-F26)/(F26*(1+H26)))</f>
        <v>190.41</v>
      </c>
      <c r="M26" s="12">
        <f>L26*E26</f>
        <v>1.9040999999999999E-17</v>
      </c>
      <c r="N26" s="12">
        <f>F26/(1+I26-H26)</f>
        <v>148.08431772538498</v>
      </c>
      <c r="O26" s="12">
        <f>L26-F26</f>
        <v>23.169999999999987</v>
      </c>
      <c r="P26" s="12">
        <f>0.5*(N26-F26)</f>
        <v>-9.5778411373075159</v>
      </c>
      <c r="Q26" s="15">
        <f>O26+P26</f>
        <v>13.592158862692472</v>
      </c>
      <c r="R26" s="12">
        <f>MAX($Q$2:$Q$279)-Q26</f>
        <v>100.54028621849191</v>
      </c>
      <c r="S26" s="9">
        <f>IFERROR((SUBTOTAL(109,$R$2:$R$1048576)/R26)/SUBTOTAL(109,$R$2:$R$1048576),0)</f>
        <v>9.9462617186788418E-3</v>
      </c>
      <c r="T26" s="9">
        <f>R26/MAX($R$2:$R$28)</f>
        <v>0.70198227953907921</v>
      </c>
    </row>
    <row r="27" spans="1:20" x14ac:dyDescent="0.25">
      <c r="A27" t="s">
        <v>39</v>
      </c>
      <c r="B27" s="6" t="s">
        <v>33</v>
      </c>
      <c r="C27" t="s">
        <v>34</v>
      </c>
      <c r="D27" s="8">
        <v>45562</v>
      </c>
      <c r="E27" s="2">
        <v>9.9999999999999998E-20</v>
      </c>
      <c r="F27" s="1">
        <v>668.82</v>
      </c>
      <c r="G27" s="1">
        <f>E27*F27</f>
        <v>6.6881999999999999E-17</v>
      </c>
      <c r="H27" s="13">
        <v>0.05</v>
      </c>
      <c r="I27" s="11">
        <v>0.28000000000000003</v>
      </c>
      <c r="J27" s="9">
        <f>IFERROR(H27/I27,"")</f>
        <v>0.17857142857142858</v>
      </c>
      <c r="K27" s="9">
        <f>IFERROR(J27/SUBTOTAL(9,$J$2:$J$1048576),"")</f>
        <v>9.0883275004151626E-3</v>
      </c>
      <c r="L27" s="12">
        <f>F27/(1-(F27*(1+H27)-F27)/(F27*(1+H27)))</f>
        <v>702.26100000000008</v>
      </c>
      <c r="M27" s="12">
        <f>L27*E27</f>
        <v>7.0226100000000009E-17</v>
      </c>
      <c r="N27" s="12">
        <f>F27/(1+I27-H27)</f>
        <v>543.7560975609756</v>
      </c>
      <c r="O27" s="12">
        <f>L27-F27</f>
        <v>33.441000000000031</v>
      </c>
      <c r="P27" s="12">
        <f>0.5*(N27-F27)</f>
        <v>-62.531951219512223</v>
      </c>
      <c r="Q27" s="15">
        <f>O27+P27</f>
        <v>-29.090951219512192</v>
      </c>
      <c r="R27" s="12">
        <f>MAX($Q$2:$Q$279)-Q27</f>
        <v>143.22339630069658</v>
      </c>
      <c r="S27" s="9">
        <f>IFERROR((SUBTOTAL(109,$R$2:$R$1048576)/R27)/SUBTOTAL(109,$R$2:$R$1048576),0)</f>
        <v>6.9820994741704523E-3</v>
      </c>
      <c r="T27" s="9">
        <f>R27/MAX($R$2:$R$28)</f>
        <v>1</v>
      </c>
    </row>
    <row r="28" spans="1:20" x14ac:dyDescent="0.25">
      <c r="A28" t="s">
        <v>36</v>
      </c>
      <c r="B28" s="3" t="s">
        <v>60</v>
      </c>
      <c r="C28" t="s">
        <v>60</v>
      </c>
      <c r="D28" s="8">
        <v>45481</v>
      </c>
      <c r="E28" s="2">
        <v>9.9999999999999998E-20</v>
      </c>
      <c r="F28" s="1">
        <v>700.32</v>
      </c>
      <c r="G28" s="1">
        <f>E28*F28</f>
        <v>7.0031999999999998E-17</v>
      </c>
      <c r="H28" s="13">
        <v>0.1</v>
      </c>
      <c r="I28" s="11">
        <v>0.45340000000000003</v>
      </c>
      <c r="J28" s="9">
        <f>IFERROR(H28/I28,"")</f>
        <v>0.22055580061755625</v>
      </c>
      <c r="K28" s="9">
        <f>IFERROR(J28/SUBTOTAL(9,$J$2:$J$1048576),"")</f>
        <v>1.1225106749520271E-2</v>
      </c>
      <c r="L28" s="12">
        <f>F28/(1-(F28*(1+H28)-F28)/(F28*(1+H28)))</f>
        <v>770.35200000000009</v>
      </c>
      <c r="M28" s="12">
        <f>L28*E28</f>
        <v>7.7035200000000004E-17</v>
      </c>
      <c r="N28" s="12">
        <f>F28/(1+I28-H28)</f>
        <v>517.45234224915032</v>
      </c>
      <c r="O28" s="12">
        <f>L28-F28</f>
        <v>70.032000000000039</v>
      </c>
      <c r="P28" s="12">
        <f>0.5*(N28-F28)</f>
        <v>-91.433828875424865</v>
      </c>
      <c r="Q28" s="15">
        <f>O28+P28</f>
        <v>-21.401828875424826</v>
      </c>
      <c r="R28" s="12">
        <f>MAX($Q$2:$Q$279)-Q28</f>
        <v>135.53427395660921</v>
      </c>
      <c r="S28" s="9">
        <f>IFERROR((SUBTOTAL(109,$R$2:$R$1048576)/R28)/SUBTOTAL(109,$R$2:$R$1048576),0)</f>
        <v>7.37820752498476E-3</v>
      </c>
      <c r="T28" s="9">
        <f>R28/MAX($R$2:$R$28)</f>
        <v>0.94631378292451529</v>
      </c>
    </row>
    <row r="29" spans="1:20" x14ac:dyDescent="0.25">
      <c r="A29" t="s">
        <v>36</v>
      </c>
      <c r="B29" s="3" t="s">
        <v>23</v>
      </c>
      <c r="C29" t="s">
        <v>24</v>
      </c>
      <c r="D29" s="8">
        <v>45482</v>
      </c>
      <c r="E29" s="2">
        <v>9.9999999999999998E-20</v>
      </c>
      <c r="F29" s="1">
        <v>147.01</v>
      </c>
      <c r="G29" s="1">
        <f>E29*F29</f>
        <v>1.4700999999999999E-17</v>
      </c>
      <c r="H29" s="13">
        <v>0.15</v>
      </c>
      <c r="I29" s="11">
        <v>0.52380000000000004</v>
      </c>
      <c r="J29" s="9">
        <f>IFERROR(H29/I29,"")</f>
        <v>0.28636884306987398</v>
      </c>
      <c r="K29" s="9">
        <f>IFERROR(J29/SUBTOTAL(9,$J$2:$J$1048576),"")</f>
        <v>1.4574637457710454E-2</v>
      </c>
      <c r="L29" s="12">
        <f>F29/(1-(F29*(1+H29)-F29)/(F29*(1+H29)))</f>
        <v>169.06149999999997</v>
      </c>
      <c r="M29" s="12">
        <f>L29*E29</f>
        <v>1.6906149999999997E-17</v>
      </c>
      <c r="N29" s="12">
        <f>F29/(1+I29-H29)</f>
        <v>107.00975396709855</v>
      </c>
      <c r="O29" s="12">
        <f>L29-F29</f>
        <v>22.051499999999976</v>
      </c>
      <c r="P29" s="12">
        <f>0.5*(N29-F29)</f>
        <v>-20.000123016450722</v>
      </c>
      <c r="Q29" s="15">
        <f>O29+P29</f>
        <v>2.0513769835492539</v>
      </c>
      <c r="R29" s="12">
        <f>MAX($Q$2:$Q$279)-Q29</f>
        <v>112.08106809763513</v>
      </c>
      <c r="S29" s="9">
        <f>IFERROR((SUBTOTAL(109,$R$2:$R$1048576)/R29)/SUBTOTAL(109,$R$2:$R$1048576),0)</f>
        <v>8.9221134039237406E-3</v>
      </c>
      <c r="T29" s="9">
        <f>R29/MAX($R$2:$R$28)</f>
        <v>0.78256116662896091</v>
      </c>
    </row>
    <row r="30" spans="1:20" x14ac:dyDescent="0.25">
      <c r="A30" t="s">
        <v>36</v>
      </c>
      <c r="B30" s="3" t="s">
        <v>29</v>
      </c>
      <c r="C30" t="s">
        <v>30</v>
      </c>
      <c r="D30" s="8">
        <v>45481</v>
      </c>
      <c r="E30" s="2">
        <v>9.9999999999999998E-20</v>
      </c>
      <c r="F30" s="1">
        <v>169.34</v>
      </c>
      <c r="G30" s="1">
        <f>E30*F30</f>
        <v>1.6933999999999999E-17</v>
      </c>
      <c r="H30" s="13">
        <v>0.1</v>
      </c>
      <c r="I30" s="11">
        <v>0.4259</v>
      </c>
      <c r="J30" s="9">
        <f>IFERROR(H30/I30,"")</f>
        <v>0.23479690068091102</v>
      </c>
      <c r="K30" s="9">
        <f>IFERROR(J30/SUBTOTAL(9,$J$2:$J$1048576),"")</f>
        <v>1.1949902325035199E-2</v>
      </c>
      <c r="L30" s="12">
        <f>F30/(1-(F30*(1+H30)-F30)/(F30*(1+H30)))</f>
        <v>186.27400000000003</v>
      </c>
      <c r="M30" s="12">
        <f>L30*E30</f>
        <v>1.8627400000000003E-17</v>
      </c>
      <c r="N30" s="12">
        <f>F30/(1+I30-H30)</f>
        <v>127.71702239987934</v>
      </c>
      <c r="O30" s="12">
        <f>L30-F30</f>
        <v>16.934000000000026</v>
      </c>
      <c r="P30" s="12">
        <f>0.5*(N30-F30)</f>
        <v>-20.811488800060332</v>
      </c>
      <c r="Q30" s="15">
        <f>O30+P30</f>
        <v>-3.8774888000603056</v>
      </c>
      <c r="R30" s="12">
        <f>MAX($Q$2:$Q$279)-Q30</f>
        <v>118.00993388124469</v>
      </c>
      <c r="S30" s="9">
        <f>IFERROR((SUBTOTAL(109,$R$2:$R$1048576)/R30)/SUBTOTAL(109,$R$2:$R$1048576),0)</f>
        <v>8.4738628953585898E-3</v>
      </c>
      <c r="T30" s="9">
        <f>R30/MAX($R$2:$R$28)</f>
        <v>0.82395709729912847</v>
      </c>
    </row>
    <row r="31" spans="1:20" x14ac:dyDescent="0.25">
      <c r="A31" t="s">
        <v>40</v>
      </c>
      <c r="B31" s="7" t="s">
        <v>31</v>
      </c>
      <c r="C31" s="14" t="s">
        <v>32</v>
      </c>
      <c r="D31" s="8">
        <v>45511</v>
      </c>
      <c r="E31" s="2">
        <v>9.9999999999999998E-20</v>
      </c>
      <c r="F31" s="1">
        <v>113.58</v>
      </c>
      <c r="G31" s="1">
        <f>E31*F31</f>
        <v>1.1357999999999999E-17</v>
      </c>
      <c r="H31" s="13">
        <f>121.15/F31-1</f>
        <v>6.664905793273479E-2</v>
      </c>
      <c r="I31" s="11">
        <v>0.16439999999999999</v>
      </c>
      <c r="J31" s="9">
        <f>IFERROR(H31/I31,"")</f>
        <v>0.40540789496797319</v>
      </c>
      <c r="K31" s="9">
        <f>IFERROR(J31/SUBTOTAL(9,$J$2:$J$1048576),"")</f>
        <v>2.0633086436047974E-2</v>
      </c>
      <c r="L31" s="12">
        <f>F31/(1-(F31*(1+H31)-F31)/(F31*(1+H31)))</f>
        <v>121.15000000000002</v>
      </c>
      <c r="M31" s="12">
        <f>L31*E31</f>
        <v>1.2115000000000002E-17</v>
      </c>
      <c r="N31" s="12">
        <f>F31/(1+I31-H31)</f>
        <v>103.46609203186667</v>
      </c>
      <c r="O31" s="12">
        <f>L31-F31</f>
        <v>7.5700000000000216</v>
      </c>
      <c r="P31" s="12">
        <f>0.5*(N31-F31)</f>
        <v>-5.0569539840666664</v>
      </c>
      <c r="Q31" s="15">
        <f>O31+P31</f>
        <v>2.5130460159333552</v>
      </c>
      <c r="R31" s="12">
        <f>MAX($Q$2:$Q$279)-Q31</f>
        <v>111.61939906525103</v>
      </c>
      <c r="S31" s="9">
        <f>IFERROR((SUBTOTAL(109,$R$2:$R$1048576)/R31)/SUBTOTAL(109,$R$2:$R$1048576),0)</f>
        <v>8.9590161600441431E-3</v>
      </c>
      <c r="T31" s="9">
        <f>R31/MAX($R$2:$R$28)</f>
        <v>0.77933774752071117</v>
      </c>
    </row>
    <row r="32" spans="1:20" x14ac:dyDescent="0.25">
      <c r="A32" t="s">
        <v>36</v>
      </c>
      <c r="B32" s="3" t="s">
        <v>83</v>
      </c>
      <c r="C32" t="s">
        <v>84</v>
      </c>
      <c r="D32" s="8">
        <v>45481</v>
      </c>
      <c r="E32" s="2">
        <v>9.9999999999999998E-20</v>
      </c>
      <c r="F32" s="1">
        <v>64.349999999999994</v>
      </c>
      <c r="G32" s="1">
        <f>E32*F32</f>
        <v>6.4349999999999993E-18</v>
      </c>
      <c r="H32" s="13">
        <v>0.15</v>
      </c>
      <c r="I32" s="11">
        <v>0.67300000000000004</v>
      </c>
      <c r="J32" s="9">
        <f>IFERROR(H32/I32,"")</f>
        <v>0.22288261515601782</v>
      </c>
      <c r="K32" s="9">
        <f>IFERROR(J32/SUBTOTAL(9,$J$2:$J$1048576),"")</f>
        <v>1.1343529123846561E-2</v>
      </c>
      <c r="L32" s="12">
        <f>F32/(1-(F32*(1+H32)-F32)/(F32*(1+H32)))</f>
        <v>74.002499999999984</v>
      </c>
      <c r="M32" s="12">
        <f>L32*E32</f>
        <v>7.4002499999999988E-18</v>
      </c>
      <c r="N32" s="12">
        <f>F32/(1+I32-H32)</f>
        <v>42.252133946158892</v>
      </c>
      <c r="O32" s="12">
        <f>L32-F32</f>
        <v>9.6524999999999892</v>
      </c>
      <c r="P32" s="12">
        <f>0.5*(N32-F32)</f>
        <v>-11.048933026920551</v>
      </c>
      <c r="Q32" s="15">
        <f>O32+P32</f>
        <v>-1.3964330269205618</v>
      </c>
      <c r="R32" s="12">
        <f>MAX($Q$2:$Q$279)-Q32</f>
        <v>115.52887810810495</v>
      </c>
      <c r="S32" s="9">
        <f>IFERROR((SUBTOTAL(109,$R$2:$R$1048576)/R32)/SUBTOTAL(109,$R$2:$R$1048576),0)</f>
        <v>8.6558444639638962E-3</v>
      </c>
      <c r="T32" s="9">
        <f>R32/MAX($R$2:$R$28)</f>
        <v>0.80663411909010196</v>
      </c>
    </row>
    <row r="33" spans="1:20" x14ac:dyDescent="0.25">
      <c r="A33" t="s">
        <v>40</v>
      </c>
      <c r="B33" s="7" t="s">
        <v>49</v>
      </c>
      <c r="C33" s="14" t="s">
        <v>48</v>
      </c>
      <c r="D33" s="8">
        <v>45511</v>
      </c>
      <c r="E33" s="2">
        <v>9.9999999999999998E-20</v>
      </c>
      <c r="F33" s="1">
        <v>20.82</v>
      </c>
      <c r="G33" s="1">
        <f>E33*F33</f>
        <v>2.0820000000000002E-18</v>
      </c>
      <c r="H33" s="13">
        <v>0.05</v>
      </c>
      <c r="I33" s="11">
        <v>0.7389</v>
      </c>
      <c r="J33" s="9">
        <f>IFERROR(H33/I33,"")</f>
        <v>6.7668155366084726E-2</v>
      </c>
      <c r="K33" s="9">
        <f>IFERROR(J33/SUBTOTAL(9,$J$2:$J$1048576),"")</f>
        <v>3.4439460009693403E-3</v>
      </c>
      <c r="L33" s="12">
        <f>F33/(1-(F33*(1+H33)-F33)/(F33*(1+H33)))</f>
        <v>21.861000000000001</v>
      </c>
      <c r="M33" s="12">
        <f>L33*E33</f>
        <v>2.1860999999999999E-18</v>
      </c>
      <c r="N33" s="12">
        <f>F33/(1+I33-H33)</f>
        <v>12.327550476641601</v>
      </c>
      <c r="O33" s="12">
        <f>L33-F33</f>
        <v>1.0410000000000004</v>
      </c>
      <c r="P33" s="12">
        <f>0.5*(N33-F33)</f>
        <v>-4.2462247616791995</v>
      </c>
      <c r="Q33" s="15">
        <f>O33+P33</f>
        <v>-3.2052247616791991</v>
      </c>
      <c r="R33" s="12">
        <f>MAX($Q$2:$Q$279)-Q33</f>
        <v>117.33766984286359</v>
      </c>
      <c r="S33" s="9">
        <f>IFERROR((SUBTOTAL(109,$R$2:$R$1048576)/R33)/SUBTOTAL(109,$R$2:$R$1048576),0)</f>
        <v>8.5224122938454584E-3</v>
      </c>
      <c r="T33" s="9">
        <f>R33/MAX($R$2:$R$28)</f>
        <v>0.81926328291024408</v>
      </c>
    </row>
    <row r="34" spans="1:20" x14ac:dyDescent="0.25">
      <c r="A34" t="s">
        <v>40</v>
      </c>
      <c r="B34" s="7" t="s">
        <v>52</v>
      </c>
      <c r="C34" t="s">
        <v>53</v>
      </c>
      <c r="D34" s="8">
        <v>45511</v>
      </c>
      <c r="E34" s="2">
        <v>9.9999999999999998E-20</v>
      </c>
      <c r="F34" s="1">
        <v>13.04</v>
      </c>
      <c r="G34" s="1">
        <f>E34*F34</f>
        <v>1.304E-18</v>
      </c>
      <c r="H34" s="13">
        <f>13.72/F34-1</f>
        <v>5.2147239263803824E-2</v>
      </c>
      <c r="I34" s="11">
        <v>0.30159999999999998</v>
      </c>
      <c r="J34" s="9">
        <f>IFERROR(H34/I34,"")</f>
        <v>0.17290198694895167</v>
      </c>
      <c r="K34" s="9">
        <f>IFERROR(J34/SUBTOTAL(9,$J$2:$J$1048576),"")</f>
        <v>8.7997833440416531E-3</v>
      </c>
      <c r="L34" s="12">
        <f>F34/(1-(F34*(1+H34)-F34)/(F34*(1+H34)))</f>
        <v>13.72</v>
      </c>
      <c r="M34" s="12">
        <f>L34*E34</f>
        <v>1.3720000000000001E-18</v>
      </c>
      <c r="N34" s="12">
        <f>F34/(1+I34-H34)</f>
        <v>10.436569040286594</v>
      </c>
      <c r="O34" s="12">
        <f>L34-F34</f>
        <v>0.68000000000000149</v>
      </c>
      <c r="P34" s="12">
        <f>0.5*(N34-F34)</f>
        <v>-1.3017154798567026</v>
      </c>
      <c r="Q34" s="15">
        <f>O34+P34</f>
        <v>-0.62171547985670106</v>
      </c>
      <c r="R34" s="12">
        <f>MAX($Q$2:$Q$279)-Q34</f>
        <v>114.75416056104109</v>
      </c>
      <c r="S34" s="9">
        <f>IFERROR((SUBTOTAL(109,$R$2:$R$1048576)/R34)/SUBTOTAL(109,$R$2:$R$1048576),0)</f>
        <v>8.7142809908671744E-3</v>
      </c>
      <c r="T34" s="9">
        <f>R34/MAX($R$2:$R$28)</f>
        <v>0.80122496411211674</v>
      </c>
    </row>
    <row r="35" spans="1:20" x14ac:dyDescent="0.25">
      <c r="A35" t="s">
        <v>40</v>
      </c>
      <c r="B35" s="7" t="s">
        <v>45</v>
      </c>
      <c r="C35" t="s">
        <v>44</v>
      </c>
      <c r="D35" s="8">
        <v>45511</v>
      </c>
      <c r="E35" s="2">
        <v>9.9999999999999998E-20</v>
      </c>
      <c r="F35" s="1">
        <v>11.05</v>
      </c>
      <c r="G35" s="1">
        <f>E35*F35</f>
        <v>1.1050000000000001E-18</v>
      </c>
      <c r="H35" s="13">
        <v>0.05</v>
      </c>
      <c r="I35" s="11">
        <v>0.72170000000000001</v>
      </c>
      <c r="J35" s="9">
        <f>IFERROR(H35/I35,"")</f>
        <v>6.9280864625190522E-2</v>
      </c>
      <c r="K35" s="9">
        <f>IFERROR(J35/SUBTOTAL(9,$J$2:$J$1048576),"")</f>
        <v>3.5260242484636906E-3</v>
      </c>
      <c r="L35" s="12">
        <f>F35/(1-(F35*(1+H35)-F35)/(F35*(1+H35)))</f>
        <v>11.602500000000001</v>
      </c>
      <c r="M35" s="12">
        <f>L35*E35</f>
        <v>1.16025E-18</v>
      </c>
      <c r="N35" s="12">
        <f>F35/(1+I35-H35)</f>
        <v>6.6100376861877139</v>
      </c>
      <c r="O35" s="12">
        <f>L35-F35</f>
        <v>0.55250000000000021</v>
      </c>
      <c r="P35" s="12">
        <f>0.5*(N35-F35)</f>
        <v>-2.2199811569061434</v>
      </c>
      <c r="Q35" s="15">
        <f>O35+P35</f>
        <v>-1.6674811569061432</v>
      </c>
      <c r="R35" s="12">
        <f>MAX($Q$2:$Q$279)-Q35</f>
        <v>115.79992623809053</v>
      </c>
      <c r="S35" s="9">
        <f>IFERROR((SUBTOTAL(109,$R$2:$R$1048576)/R35)/SUBTOTAL(109,$R$2:$R$1048576),0)</f>
        <v>8.6355840844315329E-3</v>
      </c>
      <c r="T35" s="9">
        <f>R35/MAX($R$2:$R$28)</f>
        <v>0.80852660409594923</v>
      </c>
    </row>
    <row r="36" spans="1:20" x14ac:dyDescent="0.25">
      <c r="A36" t="s">
        <v>74</v>
      </c>
      <c r="B36" s="7" t="s">
        <v>79</v>
      </c>
      <c r="C36" s="14" t="s">
        <v>80</v>
      </c>
      <c r="D36" s="8">
        <f ca="1">TODAY()-20</f>
        <v>45672</v>
      </c>
      <c r="E36" s="2">
        <v>9.9999999999999998E-20</v>
      </c>
      <c r="F36" s="1">
        <v>2742.9</v>
      </c>
      <c r="G36" s="1">
        <f>E36*F36</f>
        <v>2.7429000000000002E-16</v>
      </c>
      <c r="H36" s="13">
        <v>0.1</v>
      </c>
      <c r="I36" s="11">
        <v>0.5</v>
      </c>
      <c r="J36" s="9">
        <f>IFERROR(H36/I36,"")</f>
        <v>0.2</v>
      </c>
      <c r="K36" s="9">
        <f>IFERROR(J36/SUBTOTAL(9,$J$2:$J$1048576),"")</f>
        <v>1.0178926800464982E-2</v>
      </c>
      <c r="L36" s="12">
        <f>F36/(1-(F36*(1+H36)-F36)/(F36*(1+H36)))</f>
        <v>3017.1900000000005</v>
      </c>
      <c r="M36" s="12">
        <f>L36*E36</f>
        <v>3.0171900000000003E-16</v>
      </c>
      <c r="N36" s="12">
        <f>F36/(1+I36-H36)</f>
        <v>1959.214285714286</v>
      </c>
      <c r="O36" s="12">
        <f>L36-F36</f>
        <v>274.29000000000042</v>
      </c>
      <c r="P36" s="12">
        <f>0.5*(N36-F36)</f>
        <v>-391.84285714285704</v>
      </c>
      <c r="Q36" s="15">
        <f>O36+P36</f>
        <v>-117.55285714285662</v>
      </c>
      <c r="R36" s="12">
        <f>MAX($Q$2:$Q$279)-Q36</f>
        <v>231.68530222404101</v>
      </c>
      <c r="S36" s="9">
        <f>IFERROR((SUBTOTAL(109,$R$2:$R$1048576)/R36)/SUBTOTAL(109,$R$2:$R$1048576),0)</f>
        <v>4.316199562080957E-3</v>
      </c>
      <c r="T36" s="9">
        <f>R36/MAX($R$2:$R$28)</f>
        <v>1.6176498268314992</v>
      </c>
    </row>
    <row r="37" spans="1:20" x14ac:dyDescent="0.25">
      <c r="A37" t="s">
        <v>38</v>
      </c>
      <c r="B37" s="5" t="s">
        <v>54</v>
      </c>
      <c r="C37" t="s">
        <v>55</v>
      </c>
      <c r="D37" s="8">
        <v>45505</v>
      </c>
      <c r="E37" s="2">
        <v>9.9999999999999998E-20</v>
      </c>
      <c r="F37" s="1">
        <v>86.6</v>
      </c>
      <c r="G37" s="1">
        <f>E37*F37</f>
        <v>8.6599999999999986E-18</v>
      </c>
      <c r="H37" s="13">
        <v>7.0000000000000007E-2</v>
      </c>
      <c r="I37" s="11">
        <v>0.17249999999999999</v>
      </c>
      <c r="J37" s="9">
        <f>IFERROR(H37/I37,"")</f>
        <v>0.40579710144927544</v>
      </c>
      <c r="K37" s="9">
        <f>IFERROR(J37/SUBTOTAL(9,$J$2:$J$1048576),"")</f>
        <v>2.0652894957465185E-2</v>
      </c>
      <c r="L37" s="12">
        <f>F37/(1-(F37*(1+H37)-F37)/(F37*(1+H37)))</f>
        <v>92.662000000000006</v>
      </c>
      <c r="M37" s="12">
        <f>L37*E37</f>
        <v>9.2662000000000008E-18</v>
      </c>
      <c r="N37" s="12">
        <f>F37/(1+I37-H37)</f>
        <v>78.548752834467123</v>
      </c>
      <c r="O37" s="12">
        <f>L37-F37</f>
        <v>6.0620000000000118</v>
      </c>
      <c r="P37" s="12">
        <f>0.5*(N37-F37)</f>
        <v>-4.0256235827664355</v>
      </c>
      <c r="Q37" s="15">
        <f>O37+P37</f>
        <v>2.0363764172335763</v>
      </c>
      <c r="R37" s="12">
        <f>MAX($Q$2:$Q$279)-Q37</f>
        <v>112.0960686639508</v>
      </c>
      <c r="S37" s="9">
        <f>IFERROR((SUBTOTAL(109,$R$2:$R$1048576)/R37)/SUBTOTAL(109,$R$2:$R$1048576),0)</f>
        <v>8.9209194570227784E-3</v>
      </c>
      <c r="T37" s="9">
        <f>R37/MAX($R$2:$R$28)</f>
        <v>0.78266590207514586</v>
      </c>
    </row>
    <row r="38" spans="1:20" x14ac:dyDescent="0.25">
      <c r="A38" t="s">
        <v>71</v>
      </c>
      <c r="B38" s="5" t="s">
        <v>72</v>
      </c>
      <c r="C38" t="s">
        <v>73</v>
      </c>
      <c r="D38" s="8">
        <v>45562</v>
      </c>
      <c r="E38" s="2">
        <v>9.9999999999999998E-20</v>
      </c>
      <c r="F38" s="1">
        <v>56</v>
      </c>
      <c r="G38" s="1">
        <f>E38*F38</f>
        <v>5.5999999999999995E-18</v>
      </c>
      <c r="H38" s="13">
        <v>7.0000000000000007E-2</v>
      </c>
      <c r="I38" s="11">
        <v>0.19</v>
      </c>
      <c r="J38" s="9">
        <f>IFERROR(H38/I38,"")</f>
        <v>0.36842105263157898</v>
      </c>
      <c r="K38" s="9">
        <f>IFERROR(J38/SUBTOTAL(9,$J$2:$J$1048576),"")</f>
        <v>1.8750654632435495E-2</v>
      </c>
      <c r="L38" s="12">
        <f>F38/(1-(F38*(1+H38)-F38)/(F38*(1+H38)))</f>
        <v>59.92</v>
      </c>
      <c r="M38" s="12">
        <f>L38*E38</f>
        <v>5.9920000000000002E-18</v>
      </c>
      <c r="N38" s="12">
        <f>F38/(1+I38-H38)</f>
        <v>50.000000000000007</v>
      </c>
      <c r="O38" s="12">
        <f>L38-F38</f>
        <v>3.9200000000000017</v>
      </c>
      <c r="P38" s="12">
        <f>0.5*(N38-F38)</f>
        <v>-2.9999999999999964</v>
      </c>
      <c r="Q38" s="15">
        <f>O38+P38</f>
        <v>0.92000000000000526</v>
      </c>
      <c r="R38" s="12">
        <f>MAX($Q$2:$Q$279)-Q38</f>
        <v>113.21244508118438</v>
      </c>
      <c r="S38" s="9">
        <f>IFERROR((SUBTOTAL(109,$R$2:$R$1048576)/R38)/SUBTOTAL(109,$R$2:$R$1048576),0)</f>
        <v>8.832951176727102E-3</v>
      </c>
      <c r="T38" s="9">
        <f>R38/MAX($R$2:$R$28)</f>
        <v>0.79046055327088882</v>
      </c>
    </row>
    <row r="39" spans="1:20" x14ac:dyDescent="0.25">
      <c r="A39" t="s">
        <v>74</v>
      </c>
      <c r="B39" s="5" t="s">
        <v>75</v>
      </c>
      <c r="C39" t="s">
        <v>76</v>
      </c>
      <c r="D39" s="8">
        <v>45580</v>
      </c>
      <c r="E39" s="2">
        <v>9.9999999999999998E-20</v>
      </c>
      <c r="F39" s="1">
        <v>20.399999999999999</v>
      </c>
      <c r="G39" s="1">
        <f>E39*F39</f>
        <v>2.0399999999999999E-18</v>
      </c>
      <c r="H39" s="13">
        <v>0.1</v>
      </c>
      <c r="I39" s="11">
        <v>0.15</v>
      </c>
      <c r="J39" s="9">
        <f>IFERROR(H39/I39,"")</f>
        <v>0.66666666666666674</v>
      </c>
      <c r="K39" s="9">
        <f>IFERROR(J39/SUBTOTAL(9,$J$2:$J$1048576),"")</f>
        <v>3.3929756001549939E-2</v>
      </c>
      <c r="L39" s="12">
        <v>21.2</v>
      </c>
      <c r="M39" s="12">
        <f>L39*E39</f>
        <v>2.1199999999999999E-18</v>
      </c>
      <c r="N39" s="12">
        <f>F39/(1+I39-H39)</f>
        <v>19.428571428571431</v>
      </c>
      <c r="O39" s="12">
        <f>L39-F39</f>
        <v>0.80000000000000071</v>
      </c>
      <c r="P39" s="12">
        <f>0.5*(N39-F39)</f>
        <v>-0.48571428571428399</v>
      </c>
      <c r="Q39" s="15">
        <f>O39+P39</f>
        <v>0.31428571428571672</v>
      </c>
      <c r="R39" s="12">
        <f>MAX($Q$2:$Q$279)-Q39</f>
        <v>113.81815936689867</v>
      </c>
      <c r="S39" s="9">
        <f>IFERROR((SUBTOTAL(109,$R$2:$R$1048576)/R39)/SUBTOTAL(109,$R$2:$R$1048576),0)</f>
        <v>8.7859442250902055E-3</v>
      </c>
      <c r="T39" s="9">
        <f>R39/MAX($R$2:$R$28)</f>
        <v>0.79468971066667204</v>
      </c>
    </row>
    <row r="40" spans="1:20" x14ac:dyDescent="0.25">
      <c r="A40" t="s">
        <v>39</v>
      </c>
      <c r="B40" s="6" t="s">
        <v>57</v>
      </c>
      <c r="C40" t="s">
        <v>56</v>
      </c>
      <c r="D40" s="8">
        <v>45574</v>
      </c>
      <c r="E40" s="2">
        <v>9.9999999999999998E-20</v>
      </c>
      <c r="F40" s="1">
        <v>47.42</v>
      </c>
      <c r="G40" s="1">
        <f>E40*F40</f>
        <v>4.7419999999999999E-18</v>
      </c>
      <c r="H40" s="13">
        <v>7.0000000000000007E-2</v>
      </c>
      <c r="I40" s="11">
        <v>0.4</v>
      </c>
      <c r="J40" s="9">
        <f>IFERROR(H40/I40,"")</f>
        <v>0.17500000000000002</v>
      </c>
      <c r="K40" s="9">
        <f>IFERROR(J40/SUBTOTAL(9,$J$2:$J$1048576),"")</f>
        <v>8.90656095040686E-3</v>
      </c>
      <c r="L40" s="12">
        <f>F40/(1-(F40*(1+H40)-F40)/(F40*(1+H40)))</f>
        <v>50.739400000000003</v>
      </c>
      <c r="M40" s="12">
        <f>L40*E40</f>
        <v>5.0739400000000001E-18</v>
      </c>
      <c r="N40" s="12">
        <f>F40/(1+I40-H40)</f>
        <v>35.654135338345867</v>
      </c>
      <c r="O40" s="12">
        <f>L40-F40</f>
        <v>3.3194000000000017</v>
      </c>
      <c r="P40" s="12">
        <f>0.5*(N40-F40)</f>
        <v>-5.8829323308270673</v>
      </c>
      <c r="Q40" s="15">
        <f>O40+P40</f>
        <v>-2.5635323308270657</v>
      </c>
      <c r="R40" s="12">
        <f>MAX($Q$2:$Q$279)-Q40</f>
        <v>116.69597741201144</v>
      </c>
      <c r="S40" s="9">
        <f>IFERROR((SUBTOTAL(109,$R$2:$R$1048576)/R40)/SUBTOTAL(109,$R$2:$R$1048576),0)</f>
        <v>8.5692756697976005E-3</v>
      </c>
      <c r="T40" s="9">
        <f>R40/MAX($R$2:$R$28)</f>
        <v>0.81478292252621221</v>
      </c>
    </row>
    <row r="41" spans="1:20" x14ac:dyDescent="0.25">
      <c r="A41" t="s">
        <v>39</v>
      </c>
      <c r="B41" s="6" t="s">
        <v>42</v>
      </c>
      <c r="C41" t="s">
        <v>41</v>
      </c>
      <c r="D41" s="8">
        <v>45507</v>
      </c>
      <c r="E41" s="2">
        <v>9.9999999999999998E-20</v>
      </c>
      <c r="F41" s="1">
        <v>41.8</v>
      </c>
      <c r="G41" s="1">
        <f>E41*F41</f>
        <v>4.1799999999999993E-18</v>
      </c>
      <c r="H41" s="13">
        <v>7.0000000000000007E-2</v>
      </c>
      <c r="I41" s="11">
        <v>0.4</v>
      </c>
      <c r="J41" s="9">
        <f>IFERROR(H41/I41,"")</f>
        <v>0.17500000000000002</v>
      </c>
      <c r="K41" s="9">
        <f>IFERROR(J41/SUBTOTAL(9,$J$2:$J$1048576),"")</f>
        <v>8.90656095040686E-3</v>
      </c>
      <c r="L41" s="12">
        <f>F41/(1-(F41*(1+H41)-F41)/(F41*(1+H41)))</f>
        <v>44.725999999999999</v>
      </c>
      <c r="M41" s="12">
        <f>L41*E41</f>
        <v>4.4725999999999996E-18</v>
      </c>
      <c r="N41" s="12">
        <f>F41/(1+I41-H41)</f>
        <v>31.428571428571431</v>
      </c>
      <c r="O41" s="12">
        <f>L41-F41</f>
        <v>2.9260000000000019</v>
      </c>
      <c r="P41" s="12">
        <f>0.5*(N41-F41)</f>
        <v>-5.1857142857142833</v>
      </c>
      <c r="Q41" s="15">
        <f>O41+P41</f>
        <v>-2.2597142857142813</v>
      </c>
      <c r="R41" s="12">
        <f>MAX($Q$2:$Q$279)-Q41</f>
        <v>116.39215936689867</v>
      </c>
      <c r="S41" s="9">
        <f>IFERROR((SUBTOTAL(109,$R$2:$R$1048576)/R41)/SUBTOTAL(109,$R$2:$R$1048576),0)</f>
        <v>8.5916440200042785E-3</v>
      </c>
      <c r="T41" s="9">
        <f>R41/MAX($R$2:$R$28)</f>
        <v>0.81266163471318675</v>
      </c>
    </row>
    <row r="42" spans="1:20" x14ac:dyDescent="0.25">
      <c r="A42" t="s">
        <v>74</v>
      </c>
      <c r="B42" s="7" t="s">
        <v>77</v>
      </c>
      <c r="C42" t="s">
        <v>78</v>
      </c>
      <c r="D42" s="8">
        <v>45574</v>
      </c>
      <c r="E42" s="2">
        <v>9.9999999999999998E-20</v>
      </c>
      <c r="F42" s="1">
        <v>153.7552</v>
      </c>
      <c r="G42" s="1">
        <f>E42*F42</f>
        <v>1.5375519999999999E-17</v>
      </c>
      <c r="H42" s="13">
        <v>7.0000000000000007E-2</v>
      </c>
      <c r="I42" s="11">
        <v>0.19</v>
      </c>
      <c r="J42" s="9">
        <f>IFERROR(H42/I42,"")</f>
        <v>0.36842105263157898</v>
      </c>
      <c r="K42" s="9">
        <f>IFERROR(J42/SUBTOTAL(9,$J$2:$J$1048576),"")</f>
        <v>1.8750654632435495E-2</v>
      </c>
      <c r="L42" s="12">
        <f>F42/(1-(F42*(1+H42)-F42)/(F42*(1+H42)))</f>
        <v>164.51806400000001</v>
      </c>
      <c r="M42" s="12">
        <f>L42*E42</f>
        <v>1.6451806399999999E-17</v>
      </c>
      <c r="N42" s="12">
        <f>F42/(1+I42-H42)</f>
        <v>137.28142857142859</v>
      </c>
      <c r="O42" s="12">
        <f>L42-F42</f>
        <v>10.762864000000008</v>
      </c>
      <c r="P42" s="12">
        <f>0.5*(N42-F42)</f>
        <v>-8.2368857142857053</v>
      </c>
      <c r="Q42" s="15">
        <f>O42+P42</f>
        <v>2.5259782857143023</v>
      </c>
      <c r="R42" s="12">
        <f>MAX($Q$2:$Q$279)-Q42</f>
        <v>111.60646679547008</v>
      </c>
      <c r="S42" s="9">
        <f>IFERROR((SUBTOTAL(109,$R$2:$R$1048576)/R42)/SUBTOTAL(109,$R$2:$R$1048576),0)</f>
        <v>8.9600542756415637E-3</v>
      </c>
      <c r="T42" s="9">
        <f>R42/MAX($R$2:$R$28)</f>
        <v>0.77924745312667376</v>
      </c>
    </row>
    <row r="43" spans="1:20" x14ac:dyDescent="0.25">
      <c r="A43" t="s">
        <v>87</v>
      </c>
      <c r="B43" t="s">
        <v>88</v>
      </c>
      <c r="C43" s="32" t="s">
        <v>89</v>
      </c>
      <c r="D43" s="8">
        <v>45627</v>
      </c>
      <c r="E43" s="2">
        <v>9.9999999999999998E-20</v>
      </c>
      <c r="F43" s="1">
        <v>133.53</v>
      </c>
      <c r="G43" s="1">
        <f>E43*F43</f>
        <v>1.3353E-17</v>
      </c>
      <c r="H43" s="13">
        <v>7.0000000000000007E-2</v>
      </c>
      <c r="I43" s="11">
        <v>0.2</v>
      </c>
      <c r="J43" s="9">
        <f>IFERROR(H43/I43,"")</f>
        <v>0.35000000000000003</v>
      </c>
      <c r="K43" s="9">
        <f>IFERROR(J43/SUBTOTAL(9,$J$2:$J$1048576),"")</f>
        <v>1.781312190081372E-2</v>
      </c>
      <c r="L43" s="12">
        <f>F43/(1-(F43*(1+H43)-F43)/(F43*(1+H43)))</f>
        <v>142.87710000000001</v>
      </c>
      <c r="M43" s="12">
        <f>L43*E43</f>
        <v>1.428771E-17</v>
      </c>
      <c r="N43" s="12">
        <f>F43/(1+I43-H43)</f>
        <v>118.16814159292036</v>
      </c>
      <c r="O43" s="12">
        <f>L43-F43</f>
        <v>9.3471000000000117</v>
      </c>
      <c r="P43" s="12">
        <f>0.5*(N43-F43)</f>
        <v>-7.6809292035398187</v>
      </c>
      <c r="Q43" s="15">
        <f>O43+P43</f>
        <v>1.6661707964601931</v>
      </c>
      <c r="R43" s="12">
        <f>MAX($Q$2:$Q$279)-Q43</f>
        <v>112.46627428472419</v>
      </c>
      <c r="S43" s="9">
        <f>IFERROR((SUBTOTAL(109,$R$2:$R$1048576)/R43)/SUBTOTAL(109,$R$2:$R$1048576),0)</f>
        <v>8.8915544358512261E-3</v>
      </c>
      <c r="T43" s="9">
        <f>R43/MAX($R$2:$R$28)</f>
        <v>0.78525071454528272</v>
      </c>
    </row>
    <row r="44" spans="1:20" x14ac:dyDescent="0.25">
      <c r="A44" t="s">
        <v>40</v>
      </c>
      <c r="B44" s="7" t="s">
        <v>93</v>
      </c>
      <c r="C44" s="32" t="s">
        <v>92</v>
      </c>
      <c r="D44" s="8">
        <v>45627</v>
      </c>
      <c r="E44" s="2">
        <v>9.9999999999999998E-20</v>
      </c>
      <c r="F44" s="1">
        <v>26.63</v>
      </c>
      <c r="G44" s="1">
        <f>E44*F44</f>
        <v>2.663E-18</v>
      </c>
      <c r="H44" s="13">
        <v>0.1</v>
      </c>
      <c r="I44" s="11">
        <v>0.2</v>
      </c>
      <c r="J44" s="9">
        <f>IFERROR(H44/I44,"")</f>
        <v>0.5</v>
      </c>
      <c r="K44" s="9">
        <f>IFERROR(J44/SUBTOTAL(9,$J$2:$J$1048576),"")</f>
        <v>2.5447317001162453E-2</v>
      </c>
      <c r="L44" s="12">
        <f>F44/(1-(F44*(1+H44)-F44)/(F44*(1+H44)))</f>
        <v>29.293000000000003</v>
      </c>
      <c r="M44" s="12">
        <f>L44*E44</f>
        <v>2.9293000000000003E-18</v>
      </c>
      <c r="N44" s="12">
        <f>F44/(1+I44-H44)</f>
        <v>24.209090909090911</v>
      </c>
      <c r="O44" s="12">
        <f>L44-F44</f>
        <v>2.6630000000000038</v>
      </c>
      <c r="P44" s="12">
        <f>0.5*(N44-F44)</f>
        <v>-1.2104545454545441</v>
      </c>
      <c r="Q44" s="15">
        <f>O44+P44</f>
        <v>1.4525454545454597</v>
      </c>
      <c r="R44" s="12">
        <f>MAX($Q$2:$Q$279)-Q44</f>
        <v>112.67989962663893</v>
      </c>
      <c r="S44" s="9">
        <f>IFERROR((SUBTOTAL(109,$R$2:$R$1048576)/R44)/SUBTOTAL(109,$R$2:$R$1048576),0)</f>
        <v>8.8746972912956655E-3</v>
      </c>
      <c r="T44" s="9">
        <f>R44/MAX($R$2:$R$28)</f>
        <v>0.78674226793273505</v>
      </c>
    </row>
    <row r="45" spans="1:20" x14ac:dyDescent="0.25">
      <c r="A45" t="s">
        <v>38</v>
      </c>
      <c r="B45" s="5" t="s">
        <v>101</v>
      </c>
      <c r="C45" s="32" t="s">
        <v>98</v>
      </c>
      <c r="D45" s="8">
        <v>45630</v>
      </c>
      <c r="E45" s="2">
        <v>9.9999999999999998E-20</v>
      </c>
      <c r="F45" s="1">
        <v>19.309999999999999</v>
      </c>
      <c r="G45" s="1">
        <f>E45*F45</f>
        <v>1.931E-18</v>
      </c>
      <c r="H45" s="13">
        <v>0.2</v>
      </c>
      <c r="I45" s="11">
        <v>0.2</v>
      </c>
      <c r="J45" s="9">
        <f>IFERROR(H45/I45,"")</f>
        <v>1</v>
      </c>
      <c r="K45" s="9">
        <f>IFERROR(J45/SUBTOTAL(9,$J$2:$J$1048576),"")</f>
        <v>5.0894634002324905E-2</v>
      </c>
      <c r="L45" s="12">
        <f>F45/(1-(F45*(1+H45)-F45)/(F45*(1+H45)))</f>
        <v>23.171999999999997</v>
      </c>
      <c r="M45" s="12">
        <f>L45*E45</f>
        <v>2.3171999999999995E-18</v>
      </c>
      <c r="N45" s="12">
        <f>F45/(1+I45-H45)</f>
        <v>19.309999999999999</v>
      </c>
      <c r="O45" s="12">
        <f>L45-F45</f>
        <v>3.8619999999999983</v>
      </c>
      <c r="P45" s="12">
        <f>0.5*(N45-F45)</f>
        <v>0</v>
      </c>
      <c r="Q45" s="15">
        <f>O45+P45</f>
        <v>3.8619999999999983</v>
      </c>
      <c r="R45" s="12">
        <f>MAX($Q$2:$Q$279)-Q45</f>
        <v>110.27044508118439</v>
      </c>
      <c r="S45" s="9">
        <f>IFERROR((SUBTOTAL(109,$R$2:$R$1048576)/R45)/SUBTOTAL(109,$R$2:$R$1048576),0)</f>
        <v>9.0686130745529347E-3</v>
      </c>
      <c r="T45" s="9">
        <f>R45/MAX($R$2:$R$28)</f>
        <v>0.76991921661787932</v>
      </c>
    </row>
    <row r="46" spans="1:20" x14ac:dyDescent="0.25">
      <c r="A46" t="s">
        <v>96</v>
      </c>
      <c r="B46" s="7" t="s">
        <v>102</v>
      </c>
      <c r="C46" s="32" t="s">
        <v>99</v>
      </c>
      <c r="D46" s="8">
        <v>45630</v>
      </c>
      <c r="E46" s="2">
        <v>9.9999999999999998E-20</v>
      </c>
      <c r="F46" s="1">
        <v>323.75</v>
      </c>
      <c r="G46" s="1">
        <f>E46*F46</f>
        <v>3.2375000000000002E-17</v>
      </c>
      <c r="H46" s="13">
        <v>0.2</v>
      </c>
      <c r="I46" s="11">
        <v>0.2</v>
      </c>
      <c r="J46" s="9">
        <f>IFERROR(H46/I46,"")</f>
        <v>1</v>
      </c>
      <c r="K46" s="9">
        <f>IFERROR(J46/SUBTOTAL(9,$J$2:$J$1048576),"")</f>
        <v>5.0894634002324905E-2</v>
      </c>
      <c r="L46" s="12">
        <f>F46/(1-(F46*(1+H46)-F46)/(F46*(1+H46)))</f>
        <v>388.5</v>
      </c>
      <c r="M46" s="12">
        <f>L46*E46</f>
        <v>3.8849999999999999E-17</v>
      </c>
      <c r="N46" s="12">
        <f>F46/(1+I46-H46)</f>
        <v>323.75</v>
      </c>
      <c r="O46" s="12">
        <f>L46-F46</f>
        <v>64.75</v>
      </c>
      <c r="P46" s="12">
        <f>0.5*(N46-F46)</f>
        <v>0</v>
      </c>
      <c r="Q46" s="15">
        <f>O46+P46</f>
        <v>64.75</v>
      </c>
      <c r="R46" s="12">
        <f>MAX($Q$2:$Q$279)-Q46</f>
        <v>49.382445081184386</v>
      </c>
      <c r="S46" s="9">
        <f>IFERROR((SUBTOTAL(109,$R$2:$R$1048576)/R46)/SUBTOTAL(109,$R$2:$R$1048576),0)</f>
        <v>2.0250111114506524E-2</v>
      </c>
      <c r="T46" s="9">
        <f>R46/MAX($R$2:$R$28)</f>
        <v>0.34479314383458876</v>
      </c>
    </row>
    <row r="47" spans="1:20" x14ac:dyDescent="0.25">
      <c r="D47" s="44"/>
    </row>
    <row r="51" spans="4:4" x14ac:dyDescent="0.25">
      <c r="D51" s="44"/>
    </row>
  </sheetData>
  <autoFilter ref="A1:T46" xr:uid="{00000000-0001-0000-0000-000000000000}">
    <sortState xmlns:xlrd2="http://schemas.microsoft.com/office/spreadsheetml/2017/richdata2" ref="A2:T46">
      <sortCondition descending="1" ref="E1:E46"/>
    </sortState>
  </autoFilter>
  <conditionalFormatting sqref="S2:S46">
    <cfRule type="iconSet" priority="1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3" id="{2048185B-3E19-4351-A3A9-6DB74B32B9C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T2:T46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C5064-D029-4982-9C03-6BDB75C18181}">
  <dimension ref="B1:Z42"/>
  <sheetViews>
    <sheetView tabSelected="1" workbookViewId="0">
      <selection activeCell="W5" sqref="W5"/>
    </sheetView>
  </sheetViews>
  <sheetFormatPr defaultRowHeight="15" x14ac:dyDescent="0.25"/>
  <cols>
    <col min="2" max="2" width="9.140625" bestFit="1" customWidth="1"/>
    <col min="3" max="3" width="8.85546875" bestFit="1" customWidth="1"/>
    <col min="4" max="4" width="9.7109375" bestFit="1" customWidth="1"/>
    <col min="5" max="5" width="7.85546875" bestFit="1" customWidth="1"/>
    <col min="7" max="7" width="9.140625" bestFit="1" customWidth="1"/>
    <col min="8" max="8" width="8.85546875" bestFit="1" customWidth="1"/>
    <col min="9" max="9" width="9.7109375" bestFit="1" customWidth="1"/>
    <col min="10" max="10" width="7.85546875" bestFit="1" customWidth="1"/>
    <col min="11" max="11" width="7.42578125" bestFit="1" customWidth="1"/>
  </cols>
  <sheetData>
    <row r="1" spans="2:26" x14ac:dyDescent="0.25">
      <c r="W1" t="s">
        <v>124</v>
      </c>
      <c r="X1" t="s">
        <v>125</v>
      </c>
      <c r="Y1" t="s">
        <v>122</v>
      </c>
      <c r="Z1" s="29">
        <v>0.2356</v>
      </c>
    </row>
    <row r="2" spans="2:26" x14ac:dyDescent="0.25">
      <c r="B2" t="s">
        <v>124</v>
      </c>
      <c r="C2" t="s">
        <v>125</v>
      </c>
      <c r="D2" t="s">
        <v>122</v>
      </c>
      <c r="E2" s="29">
        <v>8.8700000000000001E-2</v>
      </c>
      <c r="G2" t="s">
        <v>124</v>
      </c>
      <c r="H2" t="s">
        <v>125</v>
      </c>
      <c r="I2" t="s">
        <v>122</v>
      </c>
      <c r="J2" s="29">
        <v>0.24129999999999999</v>
      </c>
      <c r="M2" t="s">
        <v>124</v>
      </c>
      <c r="N2" t="s">
        <v>125</v>
      </c>
      <c r="O2" t="s">
        <v>122</v>
      </c>
      <c r="P2" s="29">
        <v>0.44950000000000001</v>
      </c>
      <c r="R2" t="s">
        <v>124</v>
      </c>
      <c r="S2" t="s">
        <v>125</v>
      </c>
      <c r="T2" t="s">
        <v>122</v>
      </c>
      <c r="U2" s="29">
        <v>0.54500000000000004</v>
      </c>
      <c r="W2" t="s">
        <v>124</v>
      </c>
      <c r="X2" t="s">
        <v>125</v>
      </c>
      <c r="Y2" t="s">
        <v>126</v>
      </c>
      <c r="Z2" s="29">
        <v>0.22670000000000001</v>
      </c>
    </row>
    <row r="3" spans="2:26" x14ac:dyDescent="0.25">
      <c r="B3" t="s">
        <v>124</v>
      </c>
      <c r="C3" t="s">
        <v>125</v>
      </c>
      <c r="D3" t="s">
        <v>126</v>
      </c>
      <c r="E3" s="29">
        <v>0.1077</v>
      </c>
      <c r="G3" t="s">
        <v>124</v>
      </c>
      <c r="H3" t="s">
        <v>125</v>
      </c>
      <c r="I3" t="s">
        <v>126</v>
      </c>
      <c r="J3" s="29">
        <v>0.30709999999999998</v>
      </c>
      <c r="M3" t="s">
        <v>124</v>
      </c>
      <c r="N3" t="s">
        <v>125</v>
      </c>
      <c r="O3" t="s">
        <v>126</v>
      </c>
      <c r="P3" s="29">
        <v>0.46850000000000003</v>
      </c>
      <c r="R3" t="s">
        <v>124</v>
      </c>
      <c r="S3" t="s">
        <v>125</v>
      </c>
      <c r="T3" t="s">
        <v>126</v>
      </c>
      <c r="U3" s="29">
        <v>0.3967</v>
      </c>
    </row>
    <row r="4" spans="2:26" x14ac:dyDescent="0.25">
      <c r="W4" t="s">
        <v>36</v>
      </c>
    </row>
    <row r="5" spans="2:26" x14ac:dyDescent="0.25">
      <c r="B5" s="39" t="s">
        <v>82</v>
      </c>
      <c r="C5" s="39" t="s">
        <v>2</v>
      </c>
      <c r="D5" s="39" t="s">
        <v>123</v>
      </c>
      <c r="E5" s="39" t="s">
        <v>127</v>
      </c>
      <c r="G5" s="39" t="s">
        <v>82</v>
      </c>
      <c r="H5" s="39" t="s">
        <v>2</v>
      </c>
      <c r="I5" s="39" t="s">
        <v>123</v>
      </c>
      <c r="J5" s="39" t="s">
        <v>127</v>
      </c>
      <c r="M5" s="39" t="s">
        <v>82</v>
      </c>
      <c r="N5" s="39" t="s">
        <v>2</v>
      </c>
      <c r="O5" s="39" t="s">
        <v>123</v>
      </c>
      <c r="P5" s="39" t="s">
        <v>127</v>
      </c>
      <c r="R5" s="39" t="s">
        <v>82</v>
      </c>
      <c r="S5" s="39" t="s">
        <v>2</v>
      </c>
      <c r="T5" s="39" t="s">
        <v>123</v>
      </c>
      <c r="U5" s="39" t="s">
        <v>127</v>
      </c>
      <c r="W5" s="39" t="s">
        <v>82</v>
      </c>
      <c r="X5" s="39" t="s">
        <v>2</v>
      </c>
      <c r="Y5" s="39" t="s">
        <v>123</v>
      </c>
      <c r="Z5" s="39" t="s">
        <v>127</v>
      </c>
    </row>
    <row r="6" spans="2:26" x14ac:dyDescent="0.25">
      <c r="B6" s="33" t="s">
        <v>94</v>
      </c>
      <c r="C6" s="34">
        <v>0.25440000000000002</v>
      </c>
      <c r="D6" s="34">
        <v>0</v>
      </c>
      <c r="E6" s="34">
        <f t="shared" ref="E6:E16" si="0">D6-C6</f>
        <v>-0.25440000000000002</v>
      </c>
      <c r="G6" s="33" t="s">
        <v>94</v>
      </c>
      <c r="H6" s="34">
        <v>0.25440000000000002</v>
      </c>
      <c r="I6" s="34">
        <v>0.2651</v>
      </c>
      <c r="J6" s="34">
        <f>I6-H6</f>
        <v>1.0699999999999987E-2</v>
      </c>
      <c r="M6" s="33" t="s">
        <v>86</v>
      </c>
      <c r="N6" s="34">
        <v>4.1399999999999999E-2</v>
      </c>
      <c r="O6" s="34">
        <v>0.59519999999999995</v>
      </c>
      <c r="P6" s="34">
        <f>O6-N6</f>
        <v>0.55379999999999996</v>
      </c>
      <c r="R6" s="33" t="s">
        <v>86</v>
      </c>
      <c r="S6" s="34">
        <v>4.1399999999999999E-2</v>
      </c>
      <c r="T6" s="34">
        <v>0</v>
      </c>
      <c r="U6" s="34">
        <f>T6-S6</f>
        <v>-4.1399999999999999E-2</v>
      </c>
      <c r="W6" s="33" t="s">
        <v>22</v>
      </c>
      <c r="X6" s="34">
        <v>0.43940000000000001</v>
      </c>
      <c r="Y6" s="34">
        <v>0.15629999999999999</v>
      </c>
      <c r="Z6" s="34">
        <f>Y6-X6</f>
        <v>-0.28310000000000002</v>
      </c>
    </row>
    <row r="7" spans="2:26" x14ac:dyDescent="0.25">
      <c r="B7" s="33" t="s">
        <v>50</v>
      </c>
      <c r="C7" s="34">
        <v>0</v>
      </c>
      <c r="D7" s="34">
        <v>0</v>
      </c>
      <c r="E7" s="34">
        <f t="shared" si="0"/>
        <v>0</v>
      </c>
      <c r="G7" s="33" t="s">
        <v>50</v>
      </c>
      <c r="H7" s="34">
        <v>0</v>
      </c>
      <c r="I7" s="34">
        <v>0.1207</v>
      </c>
      <c r="J7" s="34">
        <f t="shared" ref="J7:J16" si="1">I7-H7</f>
        <v>0.1207</v>
      </c>
      <c r="M7" s="33" t="s">
        <v>94</v>
      </c>
      <c r="N7" s="34">
        <v>5.6899999999999999E-2</v>
      </c>
      <c r="O7" s="34">
        <v>0</v>
      </c>
      <c r="P7" s="34">
        <f t="shared" ref="P7:P42" si="2">O7-N7</f>
        <v>-5.6899999999999999E-2</v>
      </c>
      <c r="R7" s="33" t="s">
        <v>94</v>
      </c>
      <c r="S7" s="34">
        <v>5.6899999999999999E-2</v>
      </c>
      <c r="T7" s="34">
        <v>0</v>
      </c>
      <c r="U7" s="34">
        <f t="shared" ref="U7:U42" si="3">T7-S7</f>
        <v>-5.6899999999999999E-2</v>
      </c>
      <c r="W7" s="33" t="s">
        <v>13</v>
      </c>
      <c r="X7" s="34">
        <v>0.2412</v>
      </c>
      <c r="Y7" s="34">
        <v>0.1038</v>
      </c>
      <c r="Z7" s="34">
        <f t="shared" ref="Z7:Z14" si="4">Y7-X7</f>
        <v>-0.13739999999999999</v>
      </c>
    </row>
    <row r="8" spans="2:26" x14ac:dyDescent="0.25">
      <c r="B8" s="35" t="s">
        <v>27</v>
      </c>
      <c r="C8" s="36">
        <v>0.21579999999999999</v>
      </c>
      <c r="D8" s="36">
        <v>5.21E-2</v>
      </c>
      <c r="E8" s="36">
        <f t="shared" si="0"/>
        <v>-0.16369999999999998</v>
      </c>
      <c r="G8" s="35" t="s">
        <v>27</v>
      </c>
      <c r="H8" s="36">
        <v>0.21579999999999999</v>
      </c>
      <c r="I8" s="36">
        <v>5.4899999999999997E-2</v>
      </c>
      <c r="J8" s="36">
        <f t="shared" si="1"/>
        <v>-0.16089999999999999</v>
      </c>
      <c r="M8" s="33" t="s">
        <v>5</v>
      </c>
      <c r="N8" s="34">
        <v>0.1242</v>
      </c>
      <c r="O8" s="34">
        <v>0</v>
      </c>
      <c r="P8" s="34">
        <f t="shared" si="2"/>
        <v>-0.1242</v>
      </c>
      <c r="R8" s="33" t="s">
        <v>5</v>
      </c>
      <c r="S8" s="34">
        <v>0.1242</v>
      </c>
      <c r="T8" s="34">
        <v>0</v>
      </c>
      <c r="U8" s="34">
        <f t="shared" si="3"/>
        <v>-0.1242</v>
      </c>
      <c r="W8" s="33" t="s">
        <v>12</v>
      </c>
      <c r="X8" s="34">
        <v>0.31940000000000002</v>
      </c>
      <c r="Y8" s="34">
        <v>0.3624</v>
      </c>
      <c r="Z8" s="34">
        <f t="shared" si="4"/>
        <v>4.2999999999999983E-2</v>
      </c>
    </row>
    <row r="9" spans="2:26" x14ac:dyDescent="0.25">
      <c r="B9" s="37" t="s">
        <v>103</v>
      </c>
      <c r="C9" s="38">
        <v>0.1852</v>
      </c>
      <c r="D9" s="38">
        <v>0.1951</v>
      </c>
      <c r="E9" s="38">
        <f t="shared" si="0"/>
        <v>9.8999999999999921E-3</v>
      </c>
      <c r="G9" s="37" t="s">
        <v>103</v>
      </c>
      <c r="H9" s="38">
        <v>0.1852</v>
      </c>
      <c r="I9" s="38">
        <v>0.27689999999999998</v>
      </c>
      <c r="J9" s="38">
        <f t="shared" si="1"/>
        <v>9.1699999999999976E-2</v>
      </c>
      <c r="M9" s="33" t="s">
        <v>103</v>
      </c>
      <c r="N9" s="34">
        <v>5.5199999999999999E-2</v>
      </c>
      <c r="O9" s="34">
        <v>0</v>
      </c>
      <c r="P9" s="34">
        <f t="shared" si="2"/>
        <v>-5.5199999999999999E-2</v>
      </c>
      <c r="R9" s="33" t="s">
        <v>103</v>
      </c>
      <c r="S9" s="34">
        <v>5.5199999999999999E-2</v>
      </c>
      <c r="T9" s="34">
        <v>0</v>
      </c>
      <c r="U9" s="34">
        <f t="shared" si="3"/>
        <v>-5.5199999999999999E-2</v>
      </c>
      <c r="W9" s="33" t="s">
        <v>9</v>
      </c>
      <c r="X9" s="34">
        <v>0</v>
      </c>
      <c r="Y9" s="34">
        <v>7.6200000000000004E-2</v>
      </c>
      <c r="Z9" s="34">
        <f t="shared" si="4"/>
        <v>7.6200000000000004E-2</v>
      </c>
    </row>
    <row r="10" spans="2:26" x14ac:dyDescent="0.25">
      <c r="B10" s="35" t="s">
        <v>46</v>
      </c>
      <c r="C10" s="36">
        <v>0.2772</v>
      </c>
      <c r="D10" s="36">
        <v>0</v>
      </c>
      <c r="E10" s="36">
        <f t="shared" si="0"/>
        <v>-0.2772</v>
      </c>
      <c r="G10" s="35" t="s">
        <v>46</v>
      </c>
      <c r="H10" s="36">
        <v>0.2772</v>
      </c>
      <c r="I10" s="36">
        <v>0</v>
      </c>
      <c r="J10" s="36">
        <f t="shared" si="1"/>
        <v>-0.2772</v>
      </c>
      <c r="M10" s="33" t="s">
        <v>27</v>
      </c>
      <c r="N10" s="34">
        <v>4.8300000000000003E-2</v>
      </c>
      <c r="O10" s="34">
        <v>0</v>
      </c>
      <c r="P10" s="34">
        <f t="shared" si="2"/>
        <v>-4.8300000000000003E-2</v>
      </c>
      <c r="R10" s="33" t="s">
        <v>27</v>
      </c>
      <c r="S10" s="34">
        <v>4.8300000000000003E-2</v>
      </c>
      <c r="T10" s="34">
        <v>0</v>
      </c>
      <c r="U10" s="34">
        <f t="shared" si="3"/>
        <v>-4.8300000000000003E-2</v>
      </c>
      <c r="W10" s="33" t="s">
        <v>17</v>
      </c>
      <c r="X10" s="34">
        <v>0</v>
      </c>
      <c r="Y10" s="34">
        <v>0.27429999999999999</v>
      </c>
      <c r="Z10" s="34">
        <f t="shared" si="4"/>
        <v>0.27429999999999999</v>
      </c>
    </row>
    <row r="11" spans="2:26" x14ac:dyDescent="0.25">
      <c r="B11" s="33" t="s">
        <v>32</v>
      </c>
      <c r="C11" s="34">
        <v>0</v>
      </c>
      <c r="D11" s="34">
        <v>0.33910000000000001</v>
      </c>
      <c r="E11" s="34">
        <f t="shared" si="0"/>
        <v>0.33910000000000001</v>
      </c>
      <c r="G11" s="33" t="s">
        <v>32</v>
      </c>
      <c r="H11" s="34">
        <v>0</v>
      </c>
      <c r="I11" s="34">
        <v>0</v>
      </c>
      <c r="J11" s="34">
        <f t="shared" si="1"/>
        <v>0</v>
      </c>
      <c r="M11" s="33" t="s">
        <v>16</v>
      </c>
      <c r="N11" s="34">
        <v>9.6600000000000005E-2</v>
      </c>
      <c r="O11" s="34">
        <v>0</v>
      </c>
      <c r="P11" s="34">
        <f t="shared" si="2"/>
        <v>-9.6600000000000005E-2</v>
      </c>
      <c r="R11" s="33" t="s">
        <v>16</v>
      </c>
      <c r="S11" s="34">
        <v>9.6600000000000005E-2</v>
      </c>
      <c r="T11" s="34">
        <v>0</v>
      </c>
      <c r="U11" s="34">
        <f t="shared" si="3"/>
        <v>-9.6600000000000005E-2</v>
      </c>
      <c r="W11" s="33" t="s">
        <v>60</v>
      </c>
      <c r="X11" s="34">
        <v>0</v>
      </c>
      <c r="Y11" s="34">
        <v>0</v>
      </c>
      <c r="Z11" s="34">
        <f t="shared" si="4"/>
        <v>0</v>
      </c>
    </row>
    <row r="12" spans="2:26" x14ac:dyDescent="0.25">
      <c r="B12" s="33" t="s">
        <v>48</v>
      </c>
      <c r="C12" s="34">
        <v>0</v>
      </c>
      <c r="D12" s="34">
        <v>0</v>
      </c>
      <c r="E12" s="34">
        <f t="shared" si="0"/>
        <v>0</v>
      </c>
      <c r="G12" s="33" t="s">
        <v>48</v>
      </c>
      <c r="H12" s="34">
        <v>0</v>
      </c>
      <c r="I12" s="34">
        <v>0</v>
      </c>
      <c r="J12" s="34">
        <f t="shared" si="1"/>
        <v>0</v>
      </c>
      <c r="M12" s="33" t="s">
        <v>22</v>
      </c>
      <c r="N12" s="34">
        <v>0.1076</v>
      </c>
      <c r="O12" s="34">
        <v>0</v>
      </c>
      <c r="P12" s="34">
        <f t="shared" si="2"/>
        <v>-0.1076</v>
      </c>
      <c r="R12" s="33" t="s">
        <v>22</v>
      </c>
      <c r="S12" s="34">
        <v>0.1076</v>
      </c>
      <c r="T12" s="34">
        <v>0</v>
      </c>
      <c r="U12" s="34">
        <f t="shared" si="3"/>
        <v>-0.1076</v>
      </c>
      <c r="W12" s="33" t="s">
        <v>24</v>
      </c>
      <c r="X12" s="34">
        <v>0</v>
      </c>
      <c r="Y12" s="34">
        <v>2.7E-2</v>
      </c>
      <c r="Z12" s="34">
        <f t="shared" si="4"/>
        <v>2.7E-2</v>
      </c>
    </row>
    <row r="13" spans="2:26" x14ac:dyDescent="0.25">
      <c r="B13" s="33" t="s">
        <v>53</v>
      </c>
      <c r="C13" s="34">
        <v>0</v>
      </c>
      <c r="D13" s="34">
        <v>0</v>
      </c>
      <c r="E13" s="34">
        <f t="shared" si="0"/>
        <v>0</v>
      </c>
      <c r="G13" s="33" t="s">
        <v>53</v>
      </c>
      <c r="H13" s="34">
        <v>0</v>
      </c>
      <c r="I13" s="34">
        <v>0</v>
      </c>
      <c r="J13" s="34">
        <f t="shared" si="1"/>
        <v>0</v>
      </c>
      <c r="M13" s="33" t="s">
        <v>20</v>
      </c>
      <c r="N13" s="34">
        <v>6.93E-2</v>
      </c>
      <c r="O13" s="34">
        <v>0</v>
      </c>
      <c r="P13" s="34">
        <f t="shared" si="2"/>
        <v>-6.93E-2</v>
      </c>
      <c r="R13" s="33" t="s">
        <v>20</v>
      </c>
      <c r="S13" s="34">
        <v>6.93E-2</v>
      </c>
      <c r="T13" s="34">
        <v>0</v>
      </c>
      <c r="U13" s="34">
        <f t="shared" si="3"/>
        <v>-6.93E-2</v>
      </c>
      <c r="W13" s="33" t="s">
        <v>30</v>
      </c>
      <c r="X13" s="34">
        <v>0</v>
      </c>
      <c r="Y13" s="34">
        <v>0</v>
      </c>
      <c r="Z13" s="34">
        <f t="shared" si="4"/>
        <v>0</v>
      </c>
    </row>
    <row r="14" spans="2:26" x14ac:dyDescent="0.25">
      <c r="B14" s="33" t="s">
        <v>44</v>
      </c>
      <c r="C14" s="34">
        <v>0</v>
      </c>
      <c r="D14" s="34">
        <v>0</v>
      </c>
      <c r="E14" s="34">
        <f t="shared" si="0"/>
        <v>0</v>
      </c>
      <c r="G14" s="33" t="s">
        <v>44</v>
      </c>
      <c r="H14" s="34">
        <v>0</v>
      </c>
      <c r="I14" s="34">
        <v>0</v>
      </c>
      <c r="J14" s="34">
        <f t="shared" si="1"/>
        <v>0</v>
      </c>
      <c r="M14" s="33" t="s">
        <v>100</v>
      </c>
      <c r="N14" s="34">
        <v>1.38E-2</v>
      </c>
      <c r="O14" s="34">
        <v>0</v>
      </c>
      <c r="P14" s="34">
        <f t="shared" si="2"/>
        <v>-1.38E-2</v>
      </c>
      <c r="R14" s="33" t="s">
        <v>100</v>
      </c>
      <c r="S14" s="34">
        <v>1.38E-2</v>
      </c>
      <c r="T14" s="34">
        <v>0</v>
      </c>
      <c r="U14" s="34">
        <f t="shared" si="3"/>
        <v>-1.38E-2</v>
      </c>
      <c r="W14" s="33" t="s">
        <v>84</v>
      </c>
      <c r="X14" s="34">
        <v>0</v>
      </c>
      <c r="Y14" s="34">
        <v>0</v>
      </c>
      <c r="Z14" s="34">
        <f t="shared" si="4"/>
        <v>0</v>
      </c>
    </row>
    <row r="15" spans="2:26" x14ac:dyDescent="0.25">
      <c r="B15" s="37" t="s">
        <v>91</v>
      </c>
      <c r="C15" s="38">
        <v>6.7400000000000002E-2</v>
      </c>
      <c r="D15" s="38">
        <v>0.19650000000000001</v>
      </c>
      <c r="E15" s="38">
        <f t="shared" si="0"/>
        <v>0.12909999999999999</v>
      </c>
      <c r="G15" s="37" t="s">
        <v>91</v>
      </c>
      <c r="H15" s="38">
        <v>6.7400000000000002E-2</v>
      </c>
      <c r="I15" s="38">
        <v>0.16420000000000001</v>
      </c>
      <c r="J15" s="38">
        <f t="shared" si="1"/>
        <v>9.6800000000000011E-2</v>
      </c>
      <c r="M15" s="33" t="s">
        <v>91</v>
      </c>
      <c r="N15" s="34">
        <v>1.5100000000000001E-2</v>
      </c>
      <c r="O15" s="34">
        <v>0</v>
      </c>
      <c r="P15" s="34">
        <f t="shared" si="2"/>
        <v>-1.5100000000000001E-2</v>
      </c>
      <c r="R15" s="33" t="s">
        <v>91</v>
      </c>
      <c r="S15" s="34">
        <v>1.5100000000000001E-2</v>
      </c>
      <c r="T15" s="34">
        <v>0</v>
      </c>
      <c r="U15" s="34">
        <f t="shared" si="3"/>
        <v>-1.5100000000000001E-2</v>
      </c>
    </row>
    <row r="16" spans="2:26" x14ac:dyDescent="0.25">
      <c r="B16" s="37" t="s">
        <v>92</v>
      </c>
      <c r="C16" s="38">
        <v>0</v>
      </c>
      <c r="D16" s="38">
        <v>0.2172</v>
      </c>
      <c r="E16" s="38">
        <f t="shared" si="0"/>
        <v>0.2172</v>
      </c>
      <c r="G16" s="37" t="s">
        <v>92</v>
      </c>
      <c r="H16" s="38">
        <v>0</v>
      </c>
      <c r="I16" s="38">
        <v>0.1183</v>
      </c>
      <c r="J16" s="38">
        <f t="shared" si="1"/>
        <v>0.1183</v>
      </c>
      <c r="M16" s="33" t="s">
        <v>59</v>
      </c>
      <c r="N16" s="34">
        <v>4.6899999999999997E-2</v>
      </c>
      <c r="O16" s="34">
        <v>0</v>
      </c>
      <c r="P16" s="34">
        <f t="shared" si="2"/>
        <v>-4.6899999999999997E-2</v>
      </c>
      <c r="R16" s="33" t="s">
        <v>59</v>
      </c>
      <c r="S16" s="34">
        <v>4.6899999999999997E-2</v>
      </c>
      <c r="T16" s="34">
        <v>0</v>
      </c>
      <c r="U16" s="34">
        <f t="shared" si="3"/>
        <v>-4.6899999999999997E-2</v>
      </c>
    </row>
    <row r="17" spans="13:21" x14ac:dyDescent="0.25">
      <c r="M17" s="33" t="s">
        <v>46</v>
      </c>
      <c r="N17" s="34">
        <v>6.2E-2</v>
      </c>
      <c r="O17" s="34">
        <v>0</v>
      </c>
      <c r="P17" s="34">
        <f t="shared" si="2"/>
        <v>-6.2E-2</v>
      </c>
      <c r="R17" s="33" t="s">
        <v>46</v>
      </c>
      <c r="S17" s="34">
        <v>6.2E-2</v>
      </c>
      <c r="T17" s="34">
        <v>0</v>
      </c>
      <c r="U17" s="34">
        <f t="shared" si="3"/>
        <v>-6.2E-2</v>
      </c>
    </row>
    <row r="18" spans="13:21" x14ac:dyDescent="0.25">
      <c r="M18" s="33" t="s">
        <v>43</v>
      </c>
      <c r="N18" s="34">
        <v>3.5900000000000001E-2</v>
      </c>
      <c r="O18" s="34">
        <v>0</v>
      </c>
      <c r="P18" s="34">
        <f t="shared" si="2"/>
        <v>-3.5900000000000001E-2</v>
      </c>
      <c r="R18" s="33" t="s">
        <v>43</v>
      </c>
      <c r="S18" s="34">
        <v>3.5900000000000001E-2</v>
      </c>
      <c r="T18" s="34">
        <v>0</v>
      </c>
      <c r="U18" s="34">
        <f t="shared" si="3"/>
        <v>-3.5900000000000001E-2</v>
      </c>
    </row>
    <row r="19" spans="13:21" x14ac:dyDescent="0.25">
      <c r="M19" s="33" t="s">
        <v>13</v>
      </c>
      <c r="N19" s="34">
        <v>5.91E-2</v>
      </c>
      <c r="O19" s="34">
        <v>0</v>
      </c>
      <c r="P19" s="34">
        <f t="shared" si="2"/>
        <v>-5.91E-2</v>
      </c>
      <c r="R19" s="33" t="s">
        <v>13</v>
      </c>
      <c r="S19" s="34">
        <v>5.91E-2</v>
      </c>
      <c r="T19" s="34">
        <v>0</v>
      </c>
      <c r="U19" s="34">
        <f t="shared" si="3"/>
        <v>-5.91E-2</v>
      </c>
    </row>
    <row r="20" spans="13:21" x14ac:dyDescent="0.25">
      <c r="M20" s="33" t="s">
        <v>12</v>
      </c>
      <c r="N20" s="34">
        <v>7.8200000000000006E-2</v>
      </c>
      <c r="O20" s="34">
        <v>0</v>
      </c>
      <c r="P20" s="34">
        <f t="shared" si="2"/>
        <v>-7.8200000000000006E-2</v>
      </c>
      <c r="R20" s="33" t="s">
        <v>12</v>
      </c>
      <c r="S20" s="34">
        <v>7.8200000000000006E-2</v>
      </c>
      <c r="T20" s="34">
        <v>0</v>
      </c>
      <c r="U20" s="34">
        <f t="shared" si="3"/>
        <v>-7.8200000000000006E-2</v>
      </c>
    </row>
    <row r="21" spans="13:21" x14ac:dyDescent="0.25">
      <c r="M21" s="33" t="s">
        <v>28</v>
      </c>
      <c r="N21" s="34">
        <v>8.9599999999999999E-2</v>
      </c>
      <c r="O21" s="34">
        <v>0</v>
      </c>
      <c r="P21" s="34">
        <f t="shared" si="2"/>
        <v>-8.9599999999999999E-2</v>
      </c>
      <c r="R21" s="33" t="s">
        <v>28</v>
      </c>
      <c r="S21" s="34">
        <v>8.9599999999999999E-2</v>
      </c>
      <c r="T21" s="34">
        <v>0</v>
      </c>
      <c r="U21" s="34">
        <f t="shared" si="3"/>
        <v>-8.9599999999999999E-2</v>
      </c>
    </row>
    <row r="22" spans="13:21" x14ac:dyDescent="0.25">
      <c r="M22" s="33" t="s">
        <v>50</v>
      </c>
      <c r="N22" s="34">
        <v>0</v>
      </c>
      <c r="O22" s="34">
        <v>0.1867</v>
      </c>
      <c r="P22" s="34">
        <f t="shared" si="2"/>
        <v>0.1867</v>
      </c>
      <c r="R22" s="33" t="s">
        <v>50</v>
      </c>
      <c r="S22" s="34">
        <v>0</v>
      </c>
      <c r="T22" s="34">
        <v>0</v>
      </c>
      <c r="U22" s="34">
        <f t="shared" si="3"/>
        <v>0</v>
      </c>
    </row>
    <row r="23" spans="13:21" x14ac:dyDescent="0.25">
      <c r="M23" s="33" t="s">
        <v>25</v>
      </c>
      <c r="N23" s="34">
        <v>0</v>
      </c>
      <c r="O23" s="34">
        <v>0.21809999999999999</v>
      </c>
      <c r="P23" s="34">
        <f t="shared" si="2"/>
        <v>0.21809999999999999</v>
      </c>
      <c r="R23" s="33" t="s">
        <v>25</v>
      </c>
      <c r="S23" s="34">
        <v>0</v>
      </c>
      <c r="T23" s="34">
        <v>0</v>
      </c>
      <c r="U23" s="34">
        <f t="shared" si="3"/>
        <v>0</v>
      </c>
    </row>
    <row r="24" spans="13:21" x14ac:dyDescent="0.25">
      <c r="M24" s="33" t="s">
        <v>9</v>
      </c>
      <c r="N24" s="34">
        <v>0</v>
      </c>
      <c r="O24" s="34">
        <v>0</v>
      </c>
      <c r="P24" s="34">
        <f t="shared" si="2"/>
        <v>0</v>
      </c>
      <c r="R24" s="33" t="s">
        <v>9</v>
      </c>
      <c r="S24" s="34">
        <v>0</v>
      </c>
      <c r="T24" s="34">
        <v>0</v>
      </c>
      <c r="U24" s="34">
        <f t="shared" si="3"/>
        <v>0</v>
      </c>
    </row>
    <row r="25" spans="13:21" x14ac:dyDescent="0.25">
      <c r="M25" s="33" t="s">
        <v>17</v>
      </c>
      <c r="N25" s="34">
        <v>0</v>
      </c>
      <c r="O25" s="34">
        <v>0</v>
      </c>
      <c r="P25" s="34">
        <f t="shared" si="2"/>
        <v>0</v>
      </c>
      <c r="R25" s="33" t="s">
        <v>17</v>
      </c>
      <c r="S25" s="34">
        <v>0</v>
      </c>
      <c r="T25" s="34">
        <v>0</v>
      </c>
      <c r="U25" s="34">
        <f t="shared" si="3"/>
        <v>0</v>
      </c>
    </row>
    <row r="26" spans="13:21" x14ac:dyDescent="0.25">
      <c r="M26" s="33" t="s">
        <v>34</v>
      </c>
      <c r="N26" s="34">
        <v>0</v>
      </c>
      <c r="O26" s="34">
        <v>0</v>
      </c>
      <c r="P26" s="34">
        <f t="shared" si="2"/>
        <v>0</v>
      </c>
      <c r="R26" s="33" t="s">
        <v>34</v>
      </c>
      <c r="S26" s="34">
        <v>0</v>
      </c>
      <c r="T26" s="34">
        <v>0</v>
      </c>
      <c r="U26" s="34">
        <f t="shared" si="3"/>
        <v>0</v>
      </c>
    </row>
    <row r="27" spans="13:21" x14ac:dyDescent="0.25">
      <c r="M27" s="33" t="s">
        <v>60</v>
      </c>
      <c r="N27" s="34">
        <v>0</v>
      </c>
      <c r="O27" s="34">
        <v>0</v>
      </c>
      <c r="P27" s="34">
        <f t="shared" si="2"/>
        <v>0</v>
      </c>
      <c r="R27" s="33" t="s">
        <v>60</v>
      </c>
      <c r="S27" s="34">
        <v>0</v>
      </c>
      <c r="T27" s="34">
        <v>0</v>
      </c>
      <c r="U27" s="34">
        <f t="shared" si="3"/>
        <v>0</v>
      </c>
    </row>
    <row r="28" spans="13:21" x14ac:dyDescent="0.25">
      <c r="M28" s="33" t="s">
        <v>24</v>
      </c>
      <c r="N28" s="34">
        <v>0</v>
      </c>
      <c r="O28" s="34">
        <v>0</v>
      </c>
      <c r="P28" s="34">
        <f t="shared" si="2"/>
        <v>0</v>
      </c>
      <c r="R28" s="33" t="s">
        <v>24</v>
      </c>
      <c r="S28" s="34">
        <v>0</v>
      </c>
      <c r="T28" s="34">
        <v>0.73240000000000005</v>
      </c>
      <c r="U28" s="34">
        <f t="shared" si="3"/>
        <v>0.73240000000000005</v>
      </c>
    </row>
    <row r="29" spans="13:21" x14ac:dyDescent="0.25">
      <c r="M29" s="33" t="s">
        <v>30</v>
      </c>
      <c r="N29" s="34">
        <v>0</v>
      </c>
      <c r="O29" s="34">
        <v>0</v>
      </c>
      <c r="P29" s="34">
        <f t="shared" si="2"/>
        <v>0</v>
      </c>
      <c r="R29" s="33" t="s">
        <v>30</v>
      </c>
      <c r="S29" s="34">
        <v>0</v>
      </c>
      <c r="T29" s="34">
        <v>0</v>
      </c>
      <c r="U29" s="34">
        <f t="shared" si="3"/>
        <v>0</v>
      </c>
    </row>
    <row r="30" spans="13:21" x14ac:dyDescent="0.25">
      <c r="M30" s="33" t="s">
        <v>32</v>
      </c>
      <c r="N30" s="34">
        <v>0</v>
      </c>
      <c r="O30" s="34">
        <v>0</v>
      </c>
      <c r="P30" s="34">
        <f t="shared" si="2"/>
        <v>0</v>
      </c>
      <c r="R30" s="33" t="s">
        <v>32</v>
      </c>
      <c r="S30" s="34">
        <v>0</v>
      </c>
      <c r="T30" s="34">
        <v>0</v>
      </c>
      <c r="U30" s="34">
        <f t="shared" si="3"/>
        <v>0</v>
      </c>
    </row>
    <row r="31" spans="13:21" x14ac:dyDescent="0.25">
      <c r="M31" s="33" t="s">
        <v>84</v>
      </c>
      <c r="N31" s="34">
        <v>0</v>
      </c>
      <c r="O31" s="34">
        <v>0</v>
      </c>
      <c r="P31" s="34">
        <f t="shared" si="2"/>
        <v>0</v>
      </c>
      <c r="R31" s="33" t="s">
        <v>84</v>
      </c>
      <c r="S31" s="34">
        <v>0</v>
      </c>
      <c r="T31" s="34">
        <v>0.2676</v>
      </c>
      <c r="U31" s="34">
        <f t="shared" si="3"/>
        <v>0.2676</v>
      </c>
    </row>
    <row r="32" spans="13:21" x14ac:dyDescent="0.25">
      <c r="M32" s="33" t="s">
        <v>48</v>
      </c>
      <c r="N32" s="34">
        <v>0</v>
      </c>
      <c r="O32" s="34">
        <v>0</v>
      </c>
      <c r="P32" s="34">
        <f t="shared" si="2"/>
        <v>0</v>
      </c>
      <c r="R32" s="33" t="s">
        <v>48</v>
      </c>
      <c r="S32" s="34">
        <v>0</v>
      </c>
      <c r="T32" s="34">
        <v>0</v>
      </c>
      <c r="U32" s="34">
        <f t="shared" si="3"/>
        <v>0</v>
      </c>
    </row>
    <row r="33" spans="13:21" x14ac:dyDescent="0.25">
      <c r="M33" s="33" t="s">
        <v>53</v>
      </c>
      <c r="N33" s="34">
        <v>0</v>
      </c>
      <c r="O33" s="34">
        <v>0</v>
      </c>
      <c r="P33" s="34">
        <f t="shared" si="2"/>
        <v>0</v>
      </c>
      <c r="R33" s="33" t="s">
        <v>53</v>
      </c>
      <c r="S33" s="34">
        <v>0</v>
      </c>
      <c r="T33" s="34">
        <v>0</v>
      </c>
      <c r="U33" s="34">
        <f t="shared" si="3"/>
        <v>0</v>
      </c>
    </row>
    <row r="34" spans="13:21" x14ac:dyDescent="0.25">
      <c r="M34" s="33" t="s">
        <v>44</v>
      </c>
      <c r="N34" s="34">
        <v>0</v>
      </c>
      <c r="O34" s="34">
        <v>0</v>
      </c>
      <c r="P34" s="34">
        <f t="shared" si="2"/>
        <v>0</v>
      </c>
      <c r="R34" s="33" t="s">
        <v>44</v>
      </c>
      <c r="S34" s="34">
        <v>0</v>
      </c>
      <c r="T34" s="34">
        <v>0</v>
      </c>
      <c r="U34" s="34">
        <f t="shared" si="3"/>
        <v>0</v>
      </c>
    </row>
    <row r="35" spans="13:21" x14ac:dyDescent="0.25">
      <c r="M35" s="33" t="s">
        <v>55</v>
      </c>
      <c r="N35" s="34">
        <v>0</v>
      </c>
      <c r="O35" s="34">
        <v>0</v>
      </c>
      <c r="P35" s="34">
        <f t="shared" si="2"/>
        <v>0</v>
      </c>
      <c r="R35" s="33" t="s">
        <v>55</v>
      </c>
      <c r="S35" s="34">
        <v>0</v>
      </c>
      <c r="T35" s="34">
        <v>0</v>
      </c>
      <c r="U35" s="34">
        <f t="shared" si="3"/>
        <v>0</v>
      </c>
    </row>
    <row r="36" spans="13:21" x14ac:dyDescent="0.25">
      <c r="M36" s="33" t="s">
        <v>73</v>
      </c>
      <c r="N36" s="34">
        <v>0</v>
      </c>
      <c r="O36" s="34">
        <v>0</v>
      </c>
      <c r="P36" s="34">
        <f t="shared" si="2"/>
        <v>0</v>
      </c>
      <c r="R36" s="33" t="s">
        <v>73</v>
      </c>
      <c r="S36" s="34">
        <v>0</v>
      </c>
      <c r="T36" s="34">
        <v>0</v>
      </c>
      <c r="U36" s="34">
        <f t="shared" si="3"/>
        <v>0</v>
      </c>
    </row>
    <row r="37" spans="13:21" x14ac:dyDescent="0.25">
      <c r="M37" s="33" t="s">
        <v>56</v>
      </c>
      <c r="N37" s="34">
        <v>0</v>
      </c>
      <c r="O37" s="34">
        <v>0</v>
      </c>
      <c r="P37" s="34">
        <f t="shared" si="2"/>
        <v>0</v>
      </c>
      <c r="R37" s="33" t="s">
        <v>56</v>
      </c>
      <c r="S37" s="34">
        <v>0</v>
      </c>
      <c r="T37" s="34">
        <v>0</v>
      </c>
      <c r="U37" s="34">
        <f t="shared" si="3"/>
        <v>0</v>
      </c>
    </row>
    <row r="38" spans="13:21" x14ac:dyDescent="0.25">
      <c r="M38" s="33" t="s">
        <v>41</v>
      </c>
      <c r="N38" s="34">
        <v>0</v>
      </c>
      <c r="O38" s="34">
        <v>0</v>
      </c>
      <c r="P38" s="34">
        <f t="shared" si="2"/>
        <v>0</v>
      </c>
      <c r="R38" s="33" t="s">
        <v>41</v>
      </c>
      <c r="S38" s="34">
        <v>0</v>
      </c>
      <c r="T38" s="34">
        <v>0</v>
      </c>
      <c r="U38" s="34">
        <f t="shared" si="3"/>
        <v>0</v>
      </c>
    </row>
    <row r="39" spans="13:21" x14ac:dyDescent="0.25">
      <c r="M39" s="33" t="s">
        <v>89</v>
      </c>
      <c r="N39" s="34">
        <v>0</v>
      </c>
      <c r="O39" s="34">
        <v>0</v>
      </c>
      <c r="P39" s="34">
        <f t="shared" si="2"/>
        <v>0</v>
      </c>
      <c r="R39" s="33" t="s">
        <v>89</v>
      </c>
      <c r="S39" s="34">
        <v>0</v>
      </c>
      <c r="T39" s="34">
        <v>0</v>
      </c>
      <c r="U39" s="34">
        <f t="shared" si="3"/>
        <v>0</v>
      </c>
    </row>
    <row r="40" spans="13:21" x14ac:dyDescent="0.25">
      <c r="M40" s="33" t="s">
        <v>92</v>
      </c>
      <c r="N40" s="34">
        <v>0</v>
      </c>
      <c r="O40" s="34">
        <v>0</v>
      </c>
      <c r="P40" s="34">
        <f t="shared" si="2"/>
        <v>0</v>
      </c>
      <c r="R40" s="33" t="s">
        <v>92</v>
      </c>
      <c r="S40" s="34">
        <v>0</v>
      </c>
      <c r="T40" s="34">
        <v>0</v>
      </c>
      <c r="U40" s="34">
        <f t="shared" si="3"/>
        <v>0</v>
      </c>
    </row>
    <row r="41" spans="13:21" x14ac:dyDescent="0.25">
      <c r="M41" s="33" t="s">
        <v>98</v>
      </c>
      <c r="N41" s="34">
        <v>0</v>
      </c>
      <c r="O41" s="34">
        <v>0</v>
      </c>
      <c r="P41" s="34">
        <f t="shared" si="2"/>
        <v>0</v>
      </c>
      <c r="R41" s="33" t="s">
        <v>98</v>
      </c>
      <c r="S41" s="34">
        <v>0</v>
      </c>
      <c r="T41" s="34">
        <v>0</v>
      </c>
      <c r="U41" s="34">
        <f t="shared" si="3"/>
        <v>0</v>
      </c>
    </row>
    <row r="42" spans="13:21" x14ac:dyDescent="0.25">
      <c r="M42" s="33" t="s">
        <v>99</v>
      </c>
      <c r="N42" s="34">
        <v>0</v>
      </c>
      <c r="O42" s="34">
        <v>0</v>
      </c>
      <c r="P42" s="34">
        <f t="shared" si="2"/>
        <v>0</v>
      </c>
      <c r="R42" s="33" t="s">
        <v>99</v>
      </c>
      <c r="S42" s="34">
        <v>0</v>
      </c>
      <c r="T42" s="34">
        <v>0</v>
      </c>
      <c r="U42" s="34">
        <f t="shared" si="3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F4B0C-3879-4A30-880B-B04980CC1636}">
  <dimension ref="A1:AC14"/>
  <sheetViews>
    <sheetView zoomScaleNormal="100" workbookViewId="0">
      <selection activeCell="A10" sqref="A10:E10"/>
    </sheetView>
  </sheetViews>
  <sheetFormatPr defaultRowHeight="15" outlineLevelCol="1" x14ac:dyDescent="0.25"/>
  <cols>
    <col min="1" max="1" width="16.140625" bestFit="1" customWidth="1"/>
    <col min="2" max="2" width="15.140625" bestFit="1" customWidth="1"/>
    <col min="3" max="3" width="5.5703125" bestFit="1" customWidth="1"/>
    <col min="4" max="4" width="15.140625" bestFit="1" customWidth="1"/>
    <col min="5" max="5" width="10.5703125" bestFit="1" customWidth="1"/>
    <col min="6" max="6" width="12" customWidth="1"/>
    <col min="7" max="7" width="14.28515625" bestFit="1" customWidth="1"/>
    <col min="8" max="8" width="15.140625" bestFit="1" customWidth="1"/>
    <col min="9" max="9" width="5.5703125" bestFit="1" customWidth="1"/>
    <col min="10" max="10" width="10.140625" hidden="1" customWidth="1" outlineLevel="1"/>
    <col min="11" max="11" width="12" hidden="1" customWidth="1" outlineLevel="1"/>
    <col min="12" max="12" width="15.5703125" hidden="1" customWidth="1" outlineLevel="1"/>
    <col min="13" max="13" width="6" customWidth="1" collapsed="1"/>
    <col min="14" max="14" width="15.140625" hidden="1" customWidth="1"/>
    <col min="15" max="15" width="5.5703125" hidden="1" customWidth="1"/>
    <col min="16" max="16" width="0" hidden="1" customWidth="1"/>
    <col min="17" max="17" width="14.28515625" bestFit="1" customWidth="1"/>
    <col min="18" max="18" width="15.140625" bestFit="1" customWidth="1"/>
    <col min="19" max="19" width="5.5703125" bestFit="1" customWidth="1"/>
    <col min="20" max="20" width="15.140625" customWidth="1" outlineLevel="1"/>
    <col min="21" max="21" width="10.5703125" customWidth="1" outlineLevel="1"/>
    <col min="22" max="22" width="15" customWidth="1" outlineLevel="1"/>
    <col min="24" max="24" width="14.28515625" bestFit="1" customWidth="1"/>
    <col min="25" max="25" width="15.140625" bestFit="1" customWidth="1"/>
    <col min="26" max="26" width="5.5703125" bestFit="1" customWidth="1"/>
    <col min="27" max="27" width="15.140625" bestFit="1" customWidth="1"/>
    <col min="28" max="28" width="10.5703125" bestFit="1" customWidth="1"/>
    <col min="29" max="29" width="15.5703125" bestFit="1" customWidth="1"/>
  </cols>
  <sheetData>
    <row r="1" spans="1:29" x14ac:dyDescent="0.25">
      <c r="H1" s="45" t="s">
        <v>114</v>
      </c>
      <c r="I1" s="45"/>
      <c r="J1" s="45"/>
      <c r="K1" s="45"/>
      <c r="L1" s="45"/>
      <c r="M1" s="26"/>
      <c r="N1" s="45" t="s">
        <v>109</v>
      </c>
      <c r="O1" s="45"/>
      <c r="R1" s="45" t="s">
        <v>108</v>
      </c>
      <c r="S1" s="45"/>
      <c r="T1" s="45"/>
      <c r="U1" s="45"/>
      <c r="V1" s="45"/>
      <c r="Y1" s="45" t="s">
        <v>108</v>
      </c>
      <c r="Z1" s="45"/>
      <c r="AA1" s="45"/>
      <c r="AB1" s="45"/>
      <c r="AC1" s="45"/>
    </row>
    <row r="2" spans="1:29" x14ac:dyDescent="0.25">
      <c r="H2" s="46">
        <v>46000</v>
      </c>
      <c r="I2" s="46"/>
      <c r="J2" s="46"/>
      <c r="K2" s="46"/>
      <c r="L2" s="46"/>
      <c r="M2" s="27"/>
      <c r="N2" s="46">
        <v>45684</v>
      </c>
      <c r="O2" s="45"/>
      <c r="R2" s="46">
        <v>45685</v>
      </c>
      <c r="S2" s="46"/>
      <c r="T2" s="46"/>
      <c r="U2" s="46"/>
      <c r="V2" s="46"/>
      <c r="Y2" s="46">
        <v>45688</v>
      </c>
      <c r="Z2" s="46"/>
      <c r="AA2" s="46"/>
      <c r="AB2" s="46"/>
      <c r="AC2" s="46"/>
    </row>
    <row r="3" spans="1:29" x14ac:dyDescent="0.25">
      <c r="A3" s="20" t="s">
        <v>104</v>
      </c>
      <c r="B3" s="10" t="s">
        <v>106</v>
      </c>
      <c r="C3" s="10" t="s">
        <v>107</v>
      </c>
      <c r="D3" t="s">
        <v>111</v>
      </c>
      <c r="E3" t="s">
        <v>112</v>
      </c>
      <c r="G3" s="28" t="s">
        <v>104</v>
      </c>
      <c r="H3" s="23" t="s">
        <v>106</v>
      </c>
      <c r="I3" s="23" t="s">
        <v>107</v>
      </c>
      <c r="J3" s="28" t="s">
        <v>111</v>
      </c>
      <c r="K3" s="28" t="s">
        <v>112</v>
      </c>
      <c r="L3" s="28" t="s">
        <v>113</v>
      </c>
      <c r="N3" s="23" t="s">
        <v>106</v>
      </c>
      <c r="O3" s="23" t="s">
        <v>107</v>
      </c>
      <c r="Q3" s="28" t="s">
        <v>104</v>
      </c>
      <c r="R3" s="23" t="s">
        <v>106</v>
      </c>
      <c r="S3" s="23" t="s">
        <v>107</v>
      </c>
      <c r="T3" s="28" t="s">
        <v>111</v>
      </c>
      <c r="U3" s="28" t="s">
        <v>112</v>
      </c>
      <c r="V3" s="28" t="s">
        <v>113</v>
      </c>
      <c r="X3" s="28" t="s">
        <v>104</v>
      </c>
      <c r="Y3" s="23" t="s">
        <v>106</v>
      </c>
      <c r="Z3" s="23" t="s">
        <v>107</v>
      </c>
      <c r="AA3" s="28" t="s">
        <v>111</v>
      </c>
      <c r="AB3" s="28" t="s">
        <v>112</v>
      </c>
      <c r="AC3" s="28" t="s">
        <v>113</v>
      </c>
    </row>
    <row r="4" spans="1:29" x14ac:dyDescent="0.25">
      <c r="A4" s="21" t="s">
        <v>115</v>
      </c>
      <c r="B4" s="12">
        <v>218.85600000000002</v>
      </c>
      <c r="C4" s="22">
        <v>0.23199208873650332</v>
      </c>
      <c r="D4" s="29">
        <v>3.586522645026835E-2</v>
      </c>
      <c r="E4" s="12">
        <v>7.849319999999949</v>
      </c>
      <c r="F4" s="12"/>
      <c r="G4" s="21" t="s">
        <v>36</v>
      </c>
      <c r="H4" s="12">
        <v>238.614968</v>
      </c>
      <c r="I4" s="22">
        <v>0.38101621514787376</v>
      </c>
      <c r="J4" s="29">
        <v>0.15967772461784535</v>
      </c>
      <c r="K4" s="12">
        <v>38.101495149999977</v>
      </c>
      <c r="L4" s="12">
        <v>1.7999999999999998</v>
      </c>
      <c r="N4" s="12">
        <v>233.65908899999999</v>
      </c>
      <c r="O4" s="22">
        <v>0.30679033555941537</v>
      </c>
      <c r="Q4" s="21" t="s">
        <v>38</v>
      </c>
      <c r="R4" s="12">
        <v>210.14336800000001</v>
      </c>
      <c r="S4" s="22">
        <v>0.29827679581416749</v>
      </c>
      <c r="T4" s="29">
        <v>0.11801519297244734</v>
      </c>
      <c r="U4" s="12">
        <v>24.8001101264</v>
      </c>
      <c r="V4" s="12"/>
      <c r="X4" s="40" t="s">
        <v>115</v>
      </c>
      <c r="Y4" s="41">
        <v>218.85600000000002</v>
      </c>
      <c r="Z4" s="42">
        <v>0.23199208873650332</v>
      </c>
      <c r="AA4" s="43">
        <v>3.586522645026835E-2</v>
      </c>
      <c r="AB4" s="41">
        <v>7.849319999999949</v>
      </c>
      <c r="AC4" s="12"/>
    </row>
    <row r="5" spans="1:29" x14ac:dyDescent="0.25">
      <c r="A5" s="21" t="s">
        <v>38</v>
      </c>
      <c r="B5" s="12">
        <v>210.14336800000001</v>
      </c>
      <c r="C5" s="22">
        <v>0.22275651056605106</v>
      </c>
      <c r="D5" s="29">
        <v>0.11801519297244734</v>
      </c>
      <c r="E5" s="12">
        <v>24.8001101264</v>
      </c>
      <c r="F5" s="12"/>
      <c r="G5" s="21" t="s">
        <v>38</v>
      </c>
      <c r="H5" s="12">
        <v>159.887845</v>
      </c>
      <c r="I5" s="22">
        <v>0.25530611956434301</v>
      </c>
      <c r="J5" s="29">
        <v>0.1083576745186603</v>
      </c>
      <c r="K5" s="12">
        <v>17.32507506799999</v>
      </c>
      <c r="L5" s="12"/>
      <c r="N5" s="12">
        <v>210.14336800000001</v>
      </c>
      <c r="O5" s="22">
        <v>0.27591460131176709</v>
      </c>
      <c r="Q5" s="21" t="s">
        <v>36</v>
      </c>
      <c r="R5" s="12">
        <v>177.40437299999999</v>
      </c>
      <c r="S5" s="22">
        <v>0.25180717547965348</v>
      </c>
      <c r="T5" s="29">
        <v>0.17124807148919596</v>
      </c>
      <c r="U5" s="12">
        <v>30.380156749999998</v>
      </c>
      <c r="V5" s="12"/>
      <c r="X5" s="40" t="s">
        <v>38</v>
      </c>
      <c r="Y5" s="41">
        <v>210.14336800000001</v>
      </c>
      <c r="Z5" s="42">
        <v>0.22275651056605106</v>
      </c>
      <c r="AA5" s="43">
        <v>0.11801519297244734</v>
      </c>
      <c r="AB5" s="41">
        <v>24.8001101264</v>
      </c>
      <c r="AC5" s="12"/>
    </row>
    <row r="6" spans="1:29" x14ac:dyDescent="0.25">
      <c r="A6" s="21" t="s">
        <v>36</v>
      </c>
      <c r="B6" s="12">
        <v>177.40437299999999</v>
      </c>
      <c r="C6" s="22">
        <v>0.18805246848731463</v>
      </c>
      <c r="D6" s="29">
        <v>0.17124807148919596</v>
      </c>
      <c r="E6" s="12">
        <v>30.380156749999998</v>
      </c>
      <c r="F6" s="12"/>
      <c r="G6" s="21" t="s">
        <v>37</v>
      </c>
      <c r="H6" s="12">
        <v>84.915515999999997</v>
      </c>
      <c r="I6" s="22">
        <v>0.13559161348859186</v>
      </c>
      <c r="J6" s="29">
        <v>0.28530609176301791</v>
      </c>
      <c r="K6" s="12">
        <v>24.226914000000008</v>
      </c>
      <c r="L6" s="12"/>
      <c r="N6" s="12">
        <v>149.810948</v>
      </c>
      <c r="O6" s="22">
        <v>0.19669917915067334</v>
      </c>
      <c r="Q6" s="21" t="s">
        <v>40</v>
      </c>
      <c r="R6" s="12">
        <v>162.11427700000002</v>
      </c>
      <c r="S6" s="22">
        <v>0.23010446420222211</v>
      </c>
      <c r="T6" s="29">
        <v>0.13072196842971429</v>
      </c>
      <c r="U6" s="12">
        <v>21.191897399999959</v>
      </c>
      <c r="V6" s="12"/>
      <c r="X6" s="40" t="s">
        <v>36</v>
      </c>
      <c r="Y6" s="41">
        <v>177.40437299999999</v>
      </c>
      <c r="Z6" s="42">
        <v>0.18805246848731463</v>
      </c>
      <c r="AA6" s="43">
        <v>0.17124807148919596</v>
      </c>
      <c r="AB6" s="41">
        <v>30.380156749999998</v>
      </c>
      <c r="AC6" s="12"/>
    </row>
    <row r="7" spans="1:29" x14ac:dyDescent="0.25">
      <c r="A7" s="21" t="s">
        <v>40</v>
      </c>
      <c r="B7" s="12">
        <v>172.11133100000001</v>
      </c>
      <c r="C7" s="22">
        <v>0.18244172960261401</v>
      </c>
      <c r="D7" s="29">
        <v>0.1289374887235053</v>
      </c>
      <c r="E7" s="12">
        <v>22.191602799999998</v>
      </c>
      <c r="F7" s="12"/>
      <c r="G7" s="21" t="s">
        <v>39</v>
      </c>
      <c r="H7" s="12">
        <v>76.938714000000004</v>
      </c>
      <c r="I7" s="22">
        <v>0.12285439531448307</v>
      </c>
      <c r="J7" s="29">
        <v>7.9955036025166626E-2</v>
      </c>
      <c r="K7" s="12">
        <v>6.1516376495999907</v>
      </c>
      <c r="L7" s="12">
        <v>-4.4000000000000004</v>
      </c>
      <c r="N7" s="12">
        <v>108.030807</v>
      </c>
      <c r="O7" s="22">
        <v>0.14184257788612895</v>
      </c>
      <c r="Q7" s="21" t="s">
        <v>37</v>
      </c>
      <c r="R7" s="12">
        <v>94.882213999999991</v>
      </c>
      <c r="S7" s="22">
        <v>0.13467549816596705</v>
      </c>
      <c r="T7" s="29">
        <v>0.28159743932619463</v>
      </c>
      <c r="U7" s="12">
        <v>26.71858850000001</v>
      </c>
      <c r="V7" s="12">
        <v>10.31</v>
      </c>
      <c r="X7" s="40" t="s">
        <v>40</v>
      </c>
      <c r="Y7" s="41">
        <v>172.11133100000001</v>
      </c>
      <c r="Z7" s="42">
        <v>0.18244172960261401</v>
      </c>
      <c r="AA7" s="43">
        <v>0.1289374887235053</v>
      </c>
      <c r="AB7" s="41">
        <v>22.191602799999998</v>
      </c>
      <c r="AC7" s="12">
        <v>0</v>
      </c>
    </row>
    <row r="8" spans="1:29" x14ac:dyDescent="0.25">
      <c r="A8" s="21" t="s">
        <v>37</v>
      </c>
      <c r="B8" s="12">
        <v>94.882213999999991</v>
      </c>
      <c r="C8" s="22">
        <v>0.10057719692310878</v>
      </c>
      <c r="D8" s="29">
        <v>0.28159743932619463</v>
      </c>
      <c r="E8" s="12">
        <v>26.71858850000001</v>
      </c>
      <c r="F8" s="12"/>
      <c r="G8" s="21" t="s">
        <v>40</v>
      </c>
      <c r="H8" s="12">
        <v>65.902309000000002</v>
      </c>
      <c r="I8" s="22">
        <v>0.10523165648470827</v>
      </c>
      <c r="J8" s="29">
        <v>0.29383162280399011</v>
      </c>
      <c r="K8" s="12">
        <v>19.364182400000004</v>
      </c>
      <c r="L8" s="12"/>
      <c r="N8" s="12">
        <v>59.980460999999991</v>
      </c>
      <c r="O8" s="22">
        <v>7.875330609201521E-2</v>
      </c>
      <c r="Q8" s="21" t="s">
        <v>39</v>
      </c>
      <c r="R8" s="12">
        <v>59.980460999999991</v>
      </c>
      <c r="S8" s="22">
        <v>8.5136066337989938E-2</v>
      </c>
      <c r="T8" s="29">
        <v>9.1757028336277635E-2</v>
      </c>
      <c r="U8" s="12">
        <v>5.5036288595999991</v>
      </c>
      <c r="V8" s="12"/>
      <c r="X8" s="40" t="s">
        <v>37</v>
      </c>
      <c r="Y8" s="41">
        <v>94.882213999999991</v>
      </c>
      <c r="Z8" s="42">
        <v>0.10057719692310878</v>
      </c>
      <c r="AA8" s="43">
        <v>0.28159743932619463</v>
      </c>
      <c r="AB8" s="41">
        <v>26.71858850000001</v>
      </c>
      <c r="AC8" s="12"/>
    </row>
    <row r="9" spans="1:29" x14ac:dyDescent="0.25">
      <c r="A9" s="21" t="s">
        <v>39</v>
      </c>
      <c r="B9" s="12">
        <v>59.980460999999991</v>
      </c>
      <c r="C9" s="22">
        <v>6.35805846345011E-2</v>
      </c>
      <c r="D9" s="29">
        <v>9.1757028336277635E-2</v>
      </c>
      <c r="E9" s="12">
        <v>5.5036288595999991</v>
      </c>
      <c r="F9" s="12"/>
      <c r="G9" s="21" t="s">
        <v>74</v>
      </c>
      <c r="H9" s="12">
        <v>2.9170551999999998E-16</v>
      </c>
      <c r="I9" s="22">
        <v>4.657902817234096E-19</v>
      </c>
      <c r="J9" s="29">
        <v>9.799364235548258E-2</v>
      </c>
      <c r="K9" s="12">
        <v>2.8585286400000075E-17</v>
      </c>
      <c r="L9" s="12"/>
      <c r="N9" s="12">
        <v>2.9170551999999998E-16</v>
      </c>
      <c r="O9" s="22">
        <v>3.830042937697739E-19</v>
      </c>
      <c r="Q9" s="21" t="s">
        <v>74</v>
      </c>
      <c r="R9" s="12">
        <v>2.9170551999999998E-16</v>
      </c>
      <c r="S9" s="22">
        <v>4.1404584239320622E-19</v>
      </c>
      <c r="T9" s="29">
        <v>9.799364235548258E-2</v>
      </c>
      <c r="U9" s="12">
        <v>2.8585286400000075E-17</v>
      </c>
      <c r="V9" s="12"/>
      <c r="X9" s="40" t="s">
        <v>39</v>
      </c>
      <c r="Y9" s="41">
        <v>59.980460999999991</v>
      </c>
      <c r="Z9" s="42">
        <v>6.35805846345011E-2</v>
      </c>
      <c r="AA9" s="43">
        <v>9.1757028336277635E-2</v>
      </c>
      <c r="AB9" s="41">
        <v>5.5036288595999991</v>
      </c>
      <c r="AC9" s="12"/>
    </row>
    <row r="10" spans="1:29" x14ac:dyDescent="0.25">
      <c r="A10" s="21" t="s">
        <v>96</v>
      </c>
      <c r="B10" s="12">
        <v>9.99925</v>
      </c>
      <c r="C10" s="22">
        <v>1.0599421049907156E-2</v>
      </c>
      <c r="D10" s="29">
        <v>0.19999999999999996</v>
      </c>
      <c r="E10" s="12">
        <v>1.9998499999999986</v>
      </c>
      <c r="F10" s="12"/>
      <c r="G10" s="21" t="s">
        <v>96</v>
      </c>
      <c r="H10" s="12">
        <v>3.8291999999999999E-17</v>
      </c>
      <c r="I10" s="22">
        <v>6.1143997095950747E-20</v>
      </c>
      <c r="J10" s="29">
        <v>0.19999999999999996</v>
      </c>
      <c r="K10" s="12">
        <v>7.6584000000000023E-18</v>
      </c>
      <c r="L10" s="12"/>
      <c r="N10" s="12">
        <v>3.8291999999999999E-17</v>
      </c>
      <c r="O10" s="22">
        <v>5.0276732565884192E-20</v>
      </c>
      <c r="Q10" s="21" t="s">
        <v>96</v>
      </c>
      <c r="R10" s="12">
        <v>3.8291999999999999E-17</v>
      </c>
      <c r="S10" s="22">
        <v>5.4351537114966676E-20</v>
      </c>
      <c r="T10" s="29">
        <v>0.19999999999999996</v>
      </c>
      <c r="U10" s="12">
        <v>7.6584000000000023E-18</v>
      </c>
      <c r="V10" s="12"/>
      <c r="X10" s="40" t="s">
        <v>96</v>
      </c>
      <c r="Y10" s="41">
        <v>9.99925</v>
      </c>
      <c r="Z10" s="42">
        <v>1.0599421049907156E-2</v>
      </c>
      <c r="AA10" s="43">
        <v>0.19999999999999996</v>
      </c>
      <c r="AB10" s="41">
        <v>1.9998499999999986</v>
      </c>
      <c r="AC10" s="12"/>
    </row>
    <row r="11" spans="1:29" x14ac:dyDescent="0.25">
      <c r="A11" s="21" t="s">
        <v>74</v>
      </c>
      <c r="B11" s="12">
        <v>2.9170551999999998E-16</v>
      </c>
      <c r="C11" s="22">
        <v>3.0921415396775884E-19</v>
      </c>
      <c r="D11" s="29">
        <v>9.799364235548258E-2</v>
      </c>
      <c r="E11" s="12">
        <v>2.8585286400000075E-17</v>
      </c>
      <c r="F11" s="12"/>
      <c r="G11" s="21" t="s">
        <v>87</v>
      </c>
      <c r="H11" s="12">
        <v>1.3353E-17</v>
      </c>
      <c r="I11" s="22">
        <v>2.1321837282519334E-20</v>
      </c>
      <c r="J11" s="29">
        <v>7.0000000000000062E-2</v>
      </c>
      <c r="K11" s="12">
        <v>9.3470999999999986E-19</v>
      </c>
      <c r="L11" s="12"/>
      <c r="N11" s="12">
        <v>1.3353E-17</v>
      </c>
      <c r="O11" s="22">
        <v>1.7532257650481865E-20</v>
      </c>
      <c r="Q11" s="21" t="s">
        <v>87</v>
      </c>
      <c r="R11" s="12">
        <v>1.3353E-17</v>
      </c>
      <c r="S11" s="22">
        <v>1.8953203674296199E-20</v>
      </c>
      <c r="T11" s="29">
        <v>7.0000000000000062E-2</v>
      </c>
      <c r="U11" s="12">
        <v>9.3470999999999986E-19</v>
      </c>
      <c r="V11" s="12"/>
      <c r="X11" s="40" t="s">
        <v>74</v>
      </c>
      <c r="Y11" s="41">
        <v>2.9170551999999998E-16</v>
      </c>
      <c r="Z11" s="42">
        <v>3.0921415396775884E-19</v>
      </c>
      <c r="AA11" s="43">
        <v>9.799364235548258E-2</v>
      </c>
      <c r="AB11" s="41">
        <v>2.8585286400000075E-17</v>
      </c>
      <c r="AC11" s="12"/>
    </row>
    <row r="12" spans="1:29" x14ac:dyDescent="0.25">
      <c r="A12" s="21" t="s">
        <v>87</v>
      </c>
      <c r="B12" s="12">
        <v>1.3353E-17</v>
      </c>
      <c r="C12" s="22">
        <v>1.4154468513079507E-20</v>
      </c>
      <c r="D12" s="29">
        <v>7.0000000000000062E-2</v>
      </c>
      <c r="E12" s="12">
        <v>9.3470999999999986E-19</v>
      </c>
      <c r="F12" s="12"/>
      <c r="G12" s="21" t="s">
        <v>71</v>
      </c>
      <c r="H12" s="12">
        <v>5.5999999999999995E-18</v>
      </c>
      <c r="I12" s="22">
        <v>8.9419822348616982E-21</v>
      </c>
      <c r="J12" s="29">
        <v>7.0000000000000062E-2</v>
      </c>
      <c r="K12" s="12">
        <v>3.9200000000000069E-19</v>
      </c>
      <c r="L12" s="12"/>
      <c r="N12" s="12">
        <v>5.5999999999999995E-18</v>
      </c>
      <c r="O12" s="22">
        <v>7.3527029763123223E-21</v>
      </c>
      <c r="Q12" s="21" t="s">
        <v>71</v>
      </c>
      <c r="R12" s="12">
        <v>5.5999999999999995E-18</v>
      </c>
      <c r="S12" s="22">
        <v>7.9486213267474501E-21</v>
      </c>
      <c r="T12" s="29">
        <v>7.0000000000000062E-2</v>
      </c>
      <c r="U12" s="12">
        <v>3.9200000000000069E-19</v>
      </c>
      <c r="V12" s="12"/>
      <c r="X12" s="40" t="s">
        <v>87</v>
      </c>
      <c r="Y12" s="41">
        <v>1.3353E-17</v>
      </c>
      <c r="Z12" s="42">
        <v>1.4154468513079507E-20</v>
      </c>
      <c r="AA12" s="43">
        <v>7.0000000000000062E-2</v>
      </c>
      <c r="AB12" s="41">
        <v>9.3470999999999986E-19</v>
      </c>
      <c r="AC12" s="12"/>
    </row>
    <row r="13" spans="1:29" x14ac:dyDescent="0.25">
      <c r="A13" s="21" t="s">
        <v>71</v>
      </c>
      <c r="B13" s="12">
        <v>5.5999999999999995E-18</v>
      </c>
      <c r="C13" s="22">
        <v>5.9361209970227834E-21</v>
      </c>
      <c r="D13" s="29">
        <v>7.0000000000000062E-2</v>
      </c>
      <c r="E13" s="12">
        <v>3.9200000000000069E-19</v>
      </c>
      <c r="F13" s="12"/>
      <c r="G13" s="31" t="s">
        <v>105</v>
      </c>
      <c r="H13" s="24">
        <v>626.25935200000004</v>
      </c>
      <c r="I13" s="25">
        <v>1</v>
      </c>
      <c r="J13" s="30">
        <v>0.16793250900243595</v>
      </c>
      <c r="K13" s="24">
        <v>105.16930426759973</v>
      </c>
      <c r="L13" s="24">
        <f>SUM(L4:L12)</f>
        <v>-2.6000000000000005</v>
      </c>
      <c r="N13" s="24">
        <v>761.62467300000003</v>
      </c>
      <c r="O13" s="25">
        <v>1</v>
      </c>
      <c r="Q13" s="31" t="s">
        <v>105</v>
      </c>
      <c r="R13" s="24">
        <v>704.52469299999996</v>
      </c>
      <c r="S13" s="25">
        <v>1</v>
      </c>
      <c r="T13" s="30">
        <v>0.15413850318515387</v>
      </c>
      <c r="U13" s="24">
        <v>108.59438163600009</v>
      </c>
      <c r="V13" s="24">
        <f>SUM(V4:V12)</f>
        <v>10.31</v>
      </c>
      <c r="X13" s="40" t="s">
        <v>71</v>
      </c>
      <c r="Y13" s="41">
        <v>5.5999999999999995E-18</v>
      </c>
      <c r="Z13" s="42">
        <v>5.9361209970227834E-21</v>
      </c>
      <c r="AA13" s="43">
        <v>7.0000000000000062E-2</v>
      </c>
      <c r="AB13" s="41">
        <v>3.9200000000000069E-19</v>
      </c>
    </row>
    <row r="14" spans="1:29" x14ac:dyDescent="0.25">
      <c r="A14" s="21" t="s">
        <v>105</v>
      </c>
      <c r="B14" s="12">
        <v>943.37699699999996</v>
      </c>
      <c r="C14" s="22">
        <v>1</v>
      </c>
      <c r="D14" s="29">
        <v>0.12661243322217675</v>
      </c>
      <c r="E14" s="12">
        <v>119.4432570360002</v>
      </c>
      <c r="X14" s="31" t="s">
        <v>105</v>
      </c>
      <c r="Y14" s="24">
        <v>943.37699699999996</v>
      </c>
      <c r="Z14" s="25">
        <v>1</v>
      </c>
      <c r="AA14" s="30">
        <v>0.12661243322217675</v>
      </c>
      <c r="AB14" s="24">
        <v>119.4432570360002</v>
      </c>
      <c r="AC14" s="24">
        <f>SUM(AC4:AC13)</f>
        <v>0</v>
      </c>
    </row>
  </sheetData>
  <mergeCells count="8">
    <mergeCell ref="Y1:AC1"/>
    <mergeCell ref="Y2:AC2"/>
    <mergeCell ref="H1:L1"/>
    <mergeCell ref="H2:L2"/>
    <mergeCell ref="N2:O2"/>
    <mergeCell ref="N1:O1"/>
    <mergeCell ref="R2:V2"/>
    <mergeCell ref="R1:V1"/>
  </mergeCells>
  <conditionalFormatting sqref="G4:G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Positions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walton</cp:lastModifiedBy>
  <dcterms:created xsi:type="dcterms:W3CDTF">2015-06-05T18:17:20Z</dcterms:created>
  <dcterms:modified xsi:type="dcterms:W3CDTF">2025-02-05T04:30:04Z</dcterms:modified>
</cp:coreProperties>
</file>