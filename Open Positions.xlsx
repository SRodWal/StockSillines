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E491BBA8-F07A-4ADA-BF55-508DB06735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3" sheetId="5" r:id="rId3"/>
    <sheet name="Sheet1" sheetId="4" r:id="rId4"/>
  </sheets>
  <definedNames>
    <definedName name="_xlnm._FilterDatabase" localSheetId="0" hidden="1">Positions!$A$1:$X$46</definedName>
    <definedName name="_xlnm._FilterDatabase" localSheetId="3" hidden="1">Sheet1!$R$5:$U$42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14" i="3" l="1"/>
  <c r="DI14" i="3"/>
  <c r="DJ13" i="3"/>
  <c r="DI13" i="3"/>
  <c r="DJ12" i="3"/>
  <c r="DI12" i="3"/>
  <c r="DJ11" i="3"/>
  <c r="DI11" i="3"/>
  <c r="DJ10" i="3"/>
  <c r="DI10" i="3"/>
  <c r="DJ9" i="3"/>
  <c r="DI9" i="3"/>
  <c r="DJ8" i="3"/>
  <c r="DI8" i="3"/>
  <c r="DJ7" i="3"/>
  <c r="DI7" i="3"/>
  <c r="DJ6" i="3"/>
  <c r="DI6" i="3"/>
  <c r="DJ5" i="3"/>
  <c r="DI5" i="3"/>
  <c r="DJ4" i="3"/>
  <c r="DI4" i="3"/>
  <c r="R3" i="1"/>
  <c r="T3" i="1" s="1"/>
  <c r="M3" i="1"/>
  <c r="S3" i="1" s="1"/>
  <c r="J3" i="1"/>
  <c r="G3" i="1"/>
  <c r="L3" i="1" s="1"/>
  <c r="O21" i="1" a="1"/>
  <c r="O22" i="1" a="1"/>
  <c r="O6" i="1" a="1"/>
  <c r="O13" i="1" a="1"/>
  <c r="O24" i="1" a="1"/>
  <c r="O5" i="1" a="1"/>
  <c r="O17" i="1" a="1"/>
  <c r="O8" i="1" a="1"/>
  <c r="O7" i="1" a="1"/>
  <c r="O20" i="1" a="1"/>
  <c r="O15" i="1" a="1"/>
  <c r="O25" i="1" a="1"/>
  <c r="O10" i="1" a="1"/>
  <c r="O23" i="1" a="1"/>
  <c r="O9" i="1" a="1"/>
  <c r="O14" i="1" a="1"/>
  <c r="U3" i="1" l="1"/>
  <c r="O14" i="1"/>
  <c r="O15" i="1"/>
  <c r="O22" i="1"/>
  <c r="O24" i="1"/>
  <c r="O6" i="1"/>
  <c r="O21" i="1"/>
  <c r="O9" i="1"/>
  <c r="O23" i="1"/>
  <c r="O10" i="1"/>
  <c r="O25" i="1"/>
  <c r="O20" i="1"/>
  <c r="O7" i="1"/>
  <c r="O8" i="1"/>
  <c r="O17" i="1"/>
  <c r="O5" i="1"/>
  <c r="O13" i="1"/>
  <c r="P3" i="1"/>
  <c r="Q3" i="1" s="1"/>
  <c r="N3" i="1"/>
  <c r="BF4" i="3"/>
  <c r="BG4" i="3"/>
  <c r="BQ4" i="3"/>
  <c r="BR4" i="3"/>
  <c r="CB4" i="3"/>
  <c r="CC4" i="3"/>
  <c r="CM4" i="3"/>
  <c r="CN4" i="3"/>
  <c r="BF5" i="3"/>
  <c r="BG5" i="3"/>
  <c r="BQ5" i="3"/>
  <c r="BR5" i="3"/>
  <c r="CB5" i="3"/>
  <c r="CC5" i="3"/>
  <c r="CM5" i="3"/>
  <c r="CN5" i="3"/>
  <c r="BF6" i="3"/>
  <c r="BG6" i="3"/>
  <c r="BQ6" i="3"/>
  <c r="BR6" i="3"/>
  <c r="CB6" i="3"/>
  <c r="CC6" i="3"/>
  <c r="CM6" i="3"/>
  <c r="CN6" i="3"/>
  <c r="BF7" i="3"/>
  <c r="BG7" i="3"/>
  <c r="BQ7" i="3"/>
  <c r="BR7" i="3"/>
  <c r="CB7" i="3"/>
  <c r="CC7" i="3"/>
  <c r="CM7" i="3"/>
  <c r="CN7" i="3"/>
  <c r="BF8" i="3"/>
  <c r="BG8" i="3"/>
  <c r="BQ8" i="3"/>
  <c r="BR8" i="3"/>
  <c r="CB8" i="3"/>
  <c r="CC8" i="3"/>
  <c r="CM8" i="3"/>
  <c r="CN8" i="3"/>
  <c r="BF9" i="3"/>
  <c r="BG9" i="3"/>
  <c r="BQ9" i="3"/>
  <c r="BR9" i="3"/>
  <c r="CB9" i="3"/>
  <c r="CC9" i="3"/>
  <c r="CM9" i="3"/>
  <c r="CN9" i="3"/>
  <c r="BF10" i="3"/>
  <c r="BG10" i="3"/>
  <c r="BQ10" i="3"/>
  <c r="BR10" i="3"/>
  <c r="CB10" i="3"/>
  <c r="CC10" i="3"/>
  <c r="CM10" i="3"/>
  <c r="CN10" i="3"/>
  <c r="BF11" i="3"/>
  <c r="BG11" i="3"/>
  <c r="BQ11" i="3"/>
  <c r="BR11" i="3"/>
  <c r="CB11" i="3"/>
  <c r="CC11" i="3"/>
  <c r="CM11" i="3"/>
  <c r="CN11" i="3"/>
  <c r="BF12" i="3"/>
  <c r="BG12" i="3"/>
  <c r="BQ12" i="3"/>
  <c r="BR12" i="3"/>
  <c r="CB12" i="3"/>
  <c r="CC12" i="3"/>
  <c r="CM12" i="3"/>
  <c r="CN12" i="3"/>
  <c r="P13" i="3"/>
  <c r="Z13" i="3"/>
  <c r="BF13" i="3"/>
  <c r="BG13" i="3"/>
  <c r="BQ13" i="3"/>
  <c r="BR13" i="3"/>
  <c r="CB13" i="3"/>
  <c r="CC13" i="3"/>
  <c r="CM13" i="3"/>
  <c r="CN13" i="3"/>
  <c r="AG14" i="3"/>
  <c r="AN14" i="3"/>
  <c r="BF14" i="3"/>
  <c r="BG14" i="3"/>
  <c r="BQ14" i="3"/>
  <c r="BR14" i="3"/>
  <c r="CB14" i="3"/>
  <c r="CC14" i="3"/>
  <c r="CM14" i="3"/>
  <c r="CN14" i="3"/>
  <c r="O2" i="1" a="1"/>
  <c r="O2" i="1" l="1"/>
  <c r="CY14" i="3"/>
  <c r="CX14" i="3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2" i="3"/>
  <c r="CO2" i="3" s="1"/>
  <c r="O46" i="1"/>
  <c r="P46" i="1" s="1"/>
  <c r="O45" i="1"/>
  <c r="P45" i="1" s="1"/>
  <c r="O44" i="1"/>
  <c r="P44" i="1" s="1"/>
  <c r="O43" i="1"/>
  <c r="P43" i="1" s="1"/>
  <c r="O42" i="1"/>
  <c r="P42" i="1" s="1"/>
  <c r="O41" i="1"/>
  <c r="P41" i="1" s="1"/>
  <c r="O40" i="1"/>
  <c r="P40" i="1" s="1"/>
  <c r="O39" i="1"/>
  <c r="P39" i="1" s="1"/>
  <c r="O38" i="1"/>
  <c r="P38" i="1" s="1"/>
  <c r="O37" i="1"/>
  <c r="P37" i="1" s="1"/>
  <c r="O36" i="1"/>
  <c r="P36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O28" i="1"/>
  <c r="P28" i="1" s="1"/>
  <c r="O27" i="1"/>
  <c r="P27" i="1" s="1"/>
  <c r="O26" i="1"/>
  <c r="P26" i="1" s="1"/>
  <c r="CC2" i="3"/>
  <c r="CD2" i="3" s="1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AO15" i="4"/>
  <c r="AO14" i="4"/>
  <c r="AO13" i="4"/>
  <c r="AO12" i="4"/>
  <c r="AO11" i="4"/>
  <c r="AO10" i="4"/>
  <c r="AO9" i="4"/>
  <c r="AO8" i="4"/>
  <c r="AO7" i="4"/>
  <c r="AA7" i="4"/>
  <c r="CY2" i="3" l="1"/>
  <c r="CZ2" i="3" s="1"/>
  <c r="P24" i="1"/>
  <c r="P9" i="1"/>
  <c r="P16" i="1"/>
  <c r="P6" i="1"/>
  <c r="P22" i="1"/>
  <c r="P15" i="1"/>
  <c r="P8" i="1"/>
  <c r="P21" i="1"/>
  <c r="P14" i="1"/>
  <c r="P4" i="1"/>
  <c r="P7" i="1"/>
  <c r="P25" i="1"/>
  <c r="P19" i="1"/>
  <c r="P10" i="1"/>
  <c r="P5" i="1"/>
  <c r="P17" i="1"/>
  <c r="P12" i="1"/>
  <c r="P13" i="1"/>
  <c r="P23" i="1"/>
  <c r="P18" i="1"/>
  <c r="P11" i="1"/>
  <c r="P2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R2" i="3" l="1"/>
  <c r="BS2" i="3" s="1"/>
  <c r="BG2" i="3" l="1"/>
  <c r="BH2" i="3" s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4" i="1" l="1"/>
  <c r="S4" i="1"/>
  <c r="U4" i="1" s="1"/>
  <c r="R16" i="1" l="1"/>
  <c r="T16" i="1" s="1"/>
  <c r="M16" i="1"/>
  <c r="S16" i="1" s="1"/>
  <c r="J16" i="1"/>
  <c r="G16" i="1"/>
  <c r="R19" i="1"/>
  <c r="T19" i="1" s="1"/>
  <c r="M19" i="1"/>
  <c r="S19" i="1" s="1"/>
  <c r="J19" i="1"/>
  <c r="G19" i="1"/>
  <c r="R18" i="1"/>
  <c r="T18" i="1" s="1"/>
  <c r="M18" i="1"/>
  <c r="S18" i="1" s="1"/>
  <c r="J18" i="1"/>
  <c r="G18" i="1"/>
  <c r="L18" i="1" s="1"/>
  <c r="U16" i="1" l="1"/>
  <c r="L19" i="1"/>
  <c r="Q19" i="1"/>
  <c r="L16" i="1"/>
  <c r="Q16" i="1"/>
  <c r="Q18" i="1"/>
  <c r="U18" i="1"/>
  <c r="U19" i="1"/>
  <c r="N16" i="1"/>
  <c r="N19" i="1"/>
  <c r="N18" i="1"/>
  <c r="N6" i="1" l="1"/>
  <c r="N43" i="1"/>
  <c r="R14" i="1"/>
  <c r="T14" i="1" s="1"/>
  <c r="M14" i="1"/>
  <c r="S14" i="1" s="1"/>
  <c r="J14" i="1"/>
  <c r="G14" i="1"/>
  <c r="H6" i="1"/>
  <c r="R6" i="1" s="1"/>
  <c r="T6" i="1" s="1"/>
  <c r="R30" i="1"/>
  <c r="T30" i="1" s="1"/>
  <c r="M30" i="1"/>
  <c r="S30" i="1" s="1"/>
  <c r="J30" i="1"/>
  <c r="G30" i="1"/>
  <c r="R12" i="1"/>
  <c r="T12" i="1" s="1"/>
  <c r="M12" i="1"/>
  <c r="S12" i="1" s="1"/>
  <c r="J12" i="1"/>
  <c r="G12" i="1"/>
  <c r="R23" i="1"/>
  <c r="T23" i="1" s="1"/>
  <c r="M23" i="1"/>
  <c r="S23" i="1" s="1"/>
  <c r="J23" i="1"/>
  <c r="G23" i="1"/>
  <c r="S6" i="1"/>
  <c r="G6" i="1"/>
  <c r="R41" i="1"/>
  <c r="T41" i="1" s="1"/>
  <c r="M41" i="1"/>
  <c r="S41" i="1" s="1"/>
  <c r="J41" i="1"/>
  <c r="G41" i="1"/>
  <c r="R20" i="1"/>
  <c r="T20" i="1" s="1"/>
  <c r="M20" i="1"/>
  <c r="S20" i="1" s="1"/>
  <c r="J20" i="1"/>
  <c r="G20" i="1"/>
  <c r="R35" i="1"/>
  <c r="T35" i="1" s="1"/>
  <c r="M35" i="1"/>
  <c r="S35" i="1" s="1"/>
  <c r="J35" i="1"/>
  <c r="G35" i="1"/>
  <c r="M29" i="1"/>
  <c r="S29" i="1" s="1"/>
  <c r="M11" i="1"/>
  <c r="S11" i="1" s="1"/>
  <c r="J11" i="1"/>
  <c r="G11" i="1"/>
  <c r="R38" i="1"/>
  <c r="T38" i="1" s="1"/>
  <c r="G38" i="1"/>
  <c r="H44" i="1"/>
  <c r="M44" i="1" s="1"/>
  <c r="S44" i="1" s="1"/>
  <c r="M15" i="1"/>
  <c r="S15" i="1" s="1"/>
  <c r="R42" i="1"/>
  <c r="T42" i="1" s="1"/>
  <c r="H5" i="1"/>
  <c r="M5" i="1" s="1"/>
  <c r="S5" i="1" s="1"/>
  <c r="H36" i="1"/>
  <c r="J36" i="1" s="1"/>
  <c r="R45" i="1"/>
  <c r="T45" i="1" s="1"/>
  <c r="H2" i="1"/>
  <c r="J2" i="1" s="1"/>
  <c r="H7" i="1"/>
  <c r="M7" i="1" s="1"/>
  <c r="S7" i="1" s="1"/>
  <c r="R37" i="1"/>
  <c r="T37" i="1" s="1"/>
  <c r="J34" i="1"/>
  <c r="H21" i="1"/>
  <c r="R21" i="1" s="1"/>
  <c r="T21" i="1" s="1"/>
  <c r="M32" i="1"/>
  <c r="S32" i="1" s="1"/>
  <c r="M28" i="1"/>
  <c r="S28" i="1" s="1"/>
  <c r="R40" i="1"/>
  <c r="T40" i="1" s="1"/>
  <c r="R26" i="1"/>
  <c r="T26" i="1" s="1"/>
  <c r="M26" i="1"/>
  <c r="S26" i="1" s="1"/>
  <c r="J26" i="1"/>
  <c r="G26" i="1"/>
  <c r="D26" i="1"/>
  <c r="R33" i="1"/>
  <c r="T33" i="1" s="1"/>
  <c r="M33" i="1"/>
  <c r="S33" i="1" s="1"/>
  <c r="J33" i="1"/>
  <c r="G33" i="1"/>
  <c r="J43" i="1"/>
  <c r="R43" i="1"/>
  <c r="T43" i="1" s="1"/>
  <c r="S43" i="1"/>
  <c r="G43" i="1"/>
  <c r="R39" i="1"/>
  <c r="T39" i="1" s="1"/>
  <c r="M39" i="1"/>
  <c r="S39" i="1" s="1"/>
  <c r="J39" i="1"/>
  <c r="G39" i="1"/>
  <c r="M22" i="1"/>
  <c r="S22" i="1" s="1"/>
  <c r="R22" i="1"/>
  <c r="T22" i="1" s="1"/>
  <c r="M17" i="1"/>
  <c r="S17" i="1" s="1"/>
  <c r="R17" i="1"/>
  <c r="T17" i="1" s="1"/>
  <c r="M24" i="1"/>
  <c r="S24" i="1" s="1"/>
  <c r="R24" i="1"/>
  <c r="T24" i="1" s="1"/>
  <c r="M13" i="1"/>
  <c r="S13" i="1" s="1"/>
  <c r="R13" i="1"/>
  <c r="T13" i="1" s="1"/>
  <c r="M10" i="1"/>
  <c r="S10" i="1" s="1"/>
  <c r="R10" i="1"/>
  <c r="T10" i="1" s="1"/>
  <c r="M25" i="1"/>
  <c r="S25" i="1" s="1"/>
  <c r="R25" i="1"/>
  <c r="T25" i="1" s="1"/>
  <c r="M31" i="1"/>
  <c r="S31" i="1" s="1"/>
  <c r="R31" i="1"/>
  <c r="T31" i="1" s="1"/>
  <c r="M27" i="1"/>
  <c r="S27" i="1" s="1"/>
  <c r="R27" i="1"/>
  <c r="T27" i="1" s="1"/>
  <c r="M9" i="1"/>
  <c r="S9" i="1" s="1"/>
  <c r="R9" i="1"/>
  <c r="T9" i="1" s="1"/>
  <c r="M8" i="1"/>
  <c r="S8" i="1" s="1"/>
  <c r="R8" i="1"/>
  <c r="T8" i="1" s="1"/>
  <c r="J22" i="1"/>
  <c r="J17" i="1"/>
  <c r="J24" i="1"/>
  <c r="J13" i="1"/>
  <c r="J10" i="1"/>
  <c r="J25" i="1"/>
  <c r="J31" i="1"/>
  <c r="J27" i="1"/>
  <c r="J9" i="1"/>
  <c r="J8" i="1"/>
  <c r="G27" i="1"/>
  <c r="G24" i="1"/>
  <c r="G40" i="1"/>
  <c r="G37" i="1"/>
  <c r="G44" i="1"/>
  <c r="G46" i="1"/>
  <c r="G42" i="1"/>
  <c r="G5" i="1"/>
  <c r="G45" i="1"/>
  <c r="G17" i="1"/>
  <c r="G22" i="1"/>
  <c r="G28" i="1"/>
  <c r="G36" i="1"/>
  <c r="G32" i="1"/>
  <c r="G13" i="1"/>
  <c r="G15" i="1"/>
  <c r="G29" i="1"/>
  <c r="G34" i="1"/>
  <c r="G2" i="1"/>
  <c r="G9" i="1"/>
  <c r="G21" i="1"/>
  <c r="G8" i="1"/>
  <c r="G25" i="1"/>
  <c r="G10" i="1"/>
  <c r="G31" i="1"/>
  <c r="G7" i="1"/>
  <c r="L2" i="1" l="1"/>
  <c r="Q2" i="1"/>
  <c r="L15" i="1"/>
  <c r="Q15" i="1"/>
  <c r="L7" i="1"/>
  <c r="Q7" i="1"/>
  <c r="L34" i="1"/>
  <c r="Q34" i="1"/>
  <c r="L26" i="1"/>
  <c r="Q26" i="1"/>
  <c r="L6" i="1"/>
  <c r="Q6" i="1"/>
  <c r="L37" i="1"/>
  <c r="Q37" i="1"/>
  <c r="L31" i="1"/>
  <c r="Q31" i="1"/>
  <c r="L27" i="1"/>
  <c r="Q27" i="1"/>
  <c r="L46" i="1"/>
  <c r="Q46" i="1"/>
  <c r="L39" i="1"/>
  <c r="Q39" i="1"/>
  <c r="L44" i="1"/>
  <c r="Q44" i="1"/>
  <c r="L20" i="1"/>
  <c r="P20" i="1"/>
  <c r="Q20" i="1" s="1"/>
  <c r="Q28" i="1"/>
  <c r="L28" i="1"/>
  <c r="L22" i="1"/>
  <c r="Q22" i="1"/>
  <c r="L38" i="1"/>
  <c r="Q38" i="1"/>
  <c r="Q12" i="1"/>
  <c r="L12" i="1"/>
  <c r="L30" i="1"/>
  <c r="Q30" i="1"/>
  <c r="L29" i="1"/>
  <c r="Q29" i="1"/>
  <c r="L35" i="1"/>
  <c r="Q35" i="1"/>
  <c r="L23" i="1"/>
  <c r="Q23" i="1"/>
  <c r="L32" i="1"/>
  <c r="Q32" i="1"/>
  <c r="L10" i="1"/>
  <c r="Q10" i="1"/>
  <c r="L25" i="1"/>
  <c r="Q25" i="1"/>
  <c r="L8" i="1"/>
  <c r="Q8" i="1"/>
  <c r="L17" i="1"/>
  <c r="Q17" i="1"/>
  <c r="L33" i="1"/>
  <c r="Q33" i="1"/>
  <c r="L13" i="1"/>
  <c r="Q13" i="1"/>
  <c r="L24" i="1"/>
  <c r="Q24" i="1"/>
  <c r="L43" i="1"/>
  <c r="Q43" i="1"/>
  <c r="L21" i="1"/>
  <c r="Q21" i="1"/>
  <c r="L45" i="1"/>
  <c r="Q45" i="1"/>
  <c r="L11" i="1"/>
  <c r="Q11" i="1"/>
  <c r="L41" i="1"/>
  <c r="Q41" i="1"/>
  <c r="L42" i="1"/>
  <c r="Q42" i="1"/>
  <c r="L40" i="1"/>
  <c r="Q40" i="1"/>
  <c r="L14" i="1"/>
  <c r="Q14" i="1"/>
  <c r="L36" i="1"/>
  <c r="Q36" i="1"/>
  <c r="L9" i="1"/>
  <c r="Q9" i="1"/>
  <c r="L5" i="1"/>
  <c r="Q5" i="1"/>
  <c r="N9" i="1"/>
  <c r="N7" i="1"/>
  <c r="N35" i="1"/>
  <c r="N30" i="1"/>
  <c r="N20" i="1"/>
  <c r="N26" i="1"/>
  <c r="N44" i="1"/>
  <c r="N23" i="1"/>
  <c r="N32" i="1"/>
  <c r="N13" i="1"/>
  <c r="N10" i="1"/>
  <c r="N25" i="1"/>
  <c r="N24" i="1"/>
  <c r="N12" i="1"/>
  <c r="N41" i="1"/>
  <c r="N17" i="1"/>
  <c r="N31" i="1"/>
  <c r="N29" i="1"/>
  <c r="N33" i="1"/>
  <c r="N22" i="1"/>
  <c r="N27" i="1"/>
  <c r="N28" i="1"/>
  <c r="N8" i="1"/>
  <c r="N39" i="1"/>
  <c r="N5" i="1"/>
  <c r="N14" i="1"/>
  <c r="N11" i="1"/>
  <c r="N15" i="1"/>
  <c r="J7" i="1"/>
  <c r="R7" i="1"/>
  <c r="T7" i="1" s="1"/>
  <c r="U7" i="1" s="1"/>
  <c r="U23" i="1"/>
  <c r="U14" i="1"/>
  <c r="U12" i="1"/>
  <c r="U30" i="1"/>
  <c r="J6" i="1"/>
  <c r="U6" i="1"/>
  <c r="R44" i="1"/>
  <c r="T44" i="1" s="1"/>
  <c r="U44" i="1" s="1"/>
  <c r="R15" i="1"/>
  <c r="T15" i="1" s="1"/>
  <c r="U15" i="1" s="1"/>
  <c r="U35" i="1"/>
  <c r="U41" i="1"/>
  <c r="U20" i="1"/>
  <c r="R11" i="1"/>
  <c r="T11" i="1" s="1"/>
  <c r="U11" i="1" s="1"/>
  <c r="M36" i="1"/>
  <c r="J15" i="1"/>
  <c r="J42" i="1"/>
  <c r="R36" i="1"/>
  <c r="T36" i="1" s="1"/>
  <c r="M45" i="1"/>
  <c r="J38" i="1"/>
  <c r="M38" i="1"/>
  <c r="R29" i="1"/>
  <c r="T29" i="1" s="1"/>
  <c r="U29" i="1" s="1"/>
  <c r="J29" i="1"/>
  <c r="M37" i="1"/>
  <c r="R2" i="1"/>
  <c r="T2" i="1" s="1"/>
  <c r="J44" i="1"/>
  <c r="J45" i="1"/>
  <c r="M34" i="1"/>
  <c r="J37" i="1"/>
  <c r="M42" i="1"/>
  <c r="R34" i="1"/>
  <c r="T34" i="1" s="1"/>
  <c r="J5" i="1"/>
  <c r="M2" i="1"/>
  <c r="R5" i="1"/>
  <c r="T5" i="1" s="1"/>
  <c r="U5" i="1" s="1"/>
  <c r="M21" i="1"/>
  <c r="J46" i="1"/>
  <c r="R46" i="1"/>
  <c r="T46" i="1" s="1"/>
  <c r="M46" i="1"/>
  <c r="J21" i="1"/>
  <c r="R28" i="1"/>
  <c r="T28" i="1" s="1"/>
  <c r="U28" i="1" s="1"/>
  <c r="J28" i="1"/>
  <c r="J32" i="1"/>
  <c r="R32" i="1"/>
  <c r="T32" i="1" s="1"/>
  <c r="U32" i="1" s="1"/>
  <c r="M40" i="1"/>
  <c r="J40" i="1"/>
  <c r="U43" i="1"/>
  <c r="U26" i="1"/>
  <c r="U33" i="1"/>
  <c r="U39" i="1"/>
  <c r="U31" i="1"/>
  <c r="U17" i="1"/>
  <c r="U25" i="1"/>
  <c r="U24" i="1"/>
  <c r="U8" i="1"/>
  <c r="U13" i="1"/>
  <c r="U27" i="1"/>
  <c r="U10" i="1"/>
  <c r="U9" i="1"/>
  <c r="U22" i="1"/>
  <c r="K3" i="1" l="1"/>
  <c r="K4" i="1"/>
  <c r="K16" i="1"/>
  <c r="S34" i="1"/>
  <c r="U34" i="1" s="1"/>
  <c r="N34" i="1"/>
  <c r="S36" i="1"/>
  <c r="U36" i="1" s="1"/>
  <c r="N36" i="1"/>
  <c r="S46" i="1"/>
  <c r="U46" i="1" s="1"/>
  <c r="N46" i="1"/>
  <c r="S37" i="1"/>
  <c r="U37" i="1" s="1"/>
  <c r="N37" i="1"/>
  <c r="S21" i="1"/>
  <c r="U21" i="1" s="1"/>
  <c r="N21" i="1"/>
  <c r="S2" i="1"/>
  <c r="U2" i="1" s="1"/>
  <c r="N2" i="1"/>
  <c r="S40" i="1"/>
  <c r="U40" i="1" s="1"/>
  <c r="N40" i="1"/>
  <c r="S45" i="1"/>
  <c r="U45" i="1" s="1"/>
  <c r="N45" i="1"/>
  <c r="S38" i="1"/>
  <c r="U38" i="1" s="1"/>
  <c r="N38" i="1"/>
  <c r="K18" i="1"/>
  <c r="K19" i="1"/>
  <c r="S42" i="1"/>
  <c r="U42" i="1" s="1"/>
  <c r="N42" i="1"/>
  <c r="K14" i="1"/>
  <c r="K20" i="1"/>
  <c r="K12" i="1"/>
  <c r="K41" i="1"/>
  <c r="K23" i="1"/>
  <c r="K30" i="1"/>
  <c r="K11" i="1"/>
  <c r="K6" i="1"/>
  <c r="K35" i="1"/>
  <c r="K46" i="1"/>
  <c r="K38" i="1"/>
  <c r="K17" i="1"/>
  <c r="K25" i="1"/>
  <c r="K34" i="1"/>
  <c r="K31" i="1"/>
  <c r="K32" i="1"/>
  <c r="K24" i="1"/>
  <c r="K13" i="1"/>
  <c r="K37" i="1"/>
  <c r="K36" i="1"/>
  <c r="K28" i="1"/>
  <c r="K42" i="1"/>
  <c r="K27" i="1"/>
  <c r="K21" i="1"/>
  <c r="K7" i="1"/>
  <c r="K9" i="1"/>
  <c r="K15" i="1"/>
  <c r="K45" i="1"/>
  <c r="K2" i="1"/>
  <c r="K43" i="1"/>
  <c r="K29" i="1"/>
  <c r="K10" i="1"/>
  <c r="K26" i="1"/>
  <c r="K39" i="1"/>
  <c r="K5" i="1"/>
  <c r="K44" i="1"/>
  <c r="K8" i="1"/>
  <c r="K22" i="1"/>
  <c r="K33" i="1"/>
  <c r="K40" i="1"/>
  <c r="V3" i="1" l="1"/>
  <c r="V4" i="1"/>
  <c r="V18" i="1"/>
  <c r="V16" i="1"/>
  <c r="V19" i="1"/>
  <c r="V14" i="1"/>
  <c r="V40" i="1"/>
  <c r="V12" i="1"/>
  <c r="V23" i="1"/>
  <c r="V30" i="1"/>
  <c r="V41" i="1"/>
  <c r="V11" i="1"/>
  <c r="V6" i="1"/>
  <c r="V35" i="1"/>
  <c r="V20" i="1"/>
  <c r="V22" i="1"/>
  <c r="V38" i="1"/>
  <c r="V10" i="1"/>
  <c r="V46" i="1"/>
  <c r="V42" i="1"/>
  <c r="V5" i="1"/>
  <c r="V29" i="1"/>
  <c r="V33" i="1"/>
  <c r="V44" i="1"/>
  <c r="V39" i="1"/>
  <c r="V25" i="1"/>
  <c r="V13" i="1"/>
  <c r="V2" i="1"/>
  <c r="V36" i="1"/>
  <c r="V26" i="1"/>
  <c r="V31" i="1"/>
  <c r="V34" i="1"/>
  <c r="V37" i="1"/>
  <c r="V27" i="1"/>
  <c r="V32" i="1"/>
  <c r="V24" i="1"/>
  <c r="V21" i="1"/>
  <c r="V43" i="1"/>
  <c r="V15" i="1"/>
  <c r="V9" i="1"/>
  <c r="V45" i="1"/>
  <c r="V17" i="1"/>
  <c r="V28" i="1"/>
  <c r="V7" i="1"/>
  <c r="V8" i="1"/>
  <c r="X3" i="1" l="1"/>
  <c r="W3" i="1"/>
  <c r="X4" i="1"/>
  <c r="W4" i="1"/>
  <c r="X16" i="1"/>
  <c r="W16" i="1"/>
  <c r="X19" i="1"/>
  <c r="W19" i="1"/>
  <c r="X18" i="1"/>
  <c r="W18" i="1"/>
  <c r="X14" i="1"/>
  <c r="W14" i="1"/>
  <c r="X30" i="1"/>
  <c r="W30" i="1"/>
  <c r="X12" i="1"/>
  <c r="W12" i="1"/>
  <c r="X23" i="1"/>
  <c r="W23" i="1"/>
  <c r="X6" i="1"/>
  <c r="W6" i="1"/>
  <c r="X41" i="1"/>
  <c r="W41" i="1"/>
  <c r="W20" i="1"/>
  <c r="X20" i="1"/>
  <c r="X35" i="1"/>
  <c r="W35" i="1"/>
  <c r="W11" i="1"/>
  <c r="X11" i="1"/>
  <c r="W40" i="1"/>
  <c r="W46" i="1"/>
  <c r="W8" i="1"/>
  <c r="W2" i="1"/>
  <c r="W5" i="1"/>
  <c r="X32" i="1"/>
  <c r="W37" i="1"/>
  <c r="W39" i="1"/>
  <c r="W25" i="1"/>
  <c r="W31" i="1"/>
  <c r="W7" i="1"/>
  <c r="W43" i="1"/>
  <c r="W22" i="1"/>
  <c r="W27" i="1"/>
  <c r="W15" i="1"/>
  <c r="W29" i="1"/>
  <c r="W17" i="1"/>
  <c r="W9" i="1"/>
  <c r="X15" i="1"/>
  <c r="W21" i="1"/>
  <c r="X43" i="1"/>
  <c r="W34" i="1"/>
  <c r="X39" i="1"/>
  <c r="W26" i="1"/>
  <c r="W13" i="1"/>
  <c r="X22" i="1"/>
  <c r="W33" i="1"/>
  <c r="X42" i="1"/>
  <c r="W42" i="1"/>
  <c r="W38" i="1"/>
  <c r="X28" i="1"/>
  <c r="W36" i="1"/>
  <c r="W44" i="1"/>
  <c r="X40" i="1"/>
  <c r="W10" i="1"/>
  <c r="W24" i="1"/>
  <c r="X21" i="1"/>
  <c r="X46" i="1"/>
  <c r="X2" i="1"/>
  <c r="X44" i="1"/>
  <c r="X17" i="1"/>
  <c r="X9" i="1"/>
  <c r="X33" i="1"/>
  <c r="X25" i="1"/>
  <c r="X34" i="1"/>
  <c r="X10" i="1"/>
  <c r="W28" i="1"/>
  <c r="X26" i="1"/>
  <c r="W45" i="1"/>
  <c r="X24" i="1"/>
  <c r="W32" i="1"/>
  <c r="X38" i="1"/>
  <c r="X45" i="1"/>
  <c r="X5" i="1"/>
  <c r="X7" i="1"/>
  <c r="X36" i="1"/>
  <c r="X37" i="1"/>
  <c r="X31" i="1"/>
  <c r="X27" i="1"/>
  <c r="X29" i="1"/>
  <c r="X8" i="1"/>
  <c r="X1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</futureMetadata>
  <cellMetadata count="1">
    <bk>
      <rc t="1" v="0"/>
    </bk>
  </cellMetadata>
  <valueMetadata count="1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</valueMetadata>
</metadata>
</file>

<file path=xl/sharedStrings.xml><?xml version="1.0" encoding="utf-8"?>
<sst xmlns="http://schemas.openxmlformats.org/spreadsheetml/2006/main" count="705" uniqueCount="169">
  <si>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</si>
  <si>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</si>
  <si>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</si>
  <si>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</si>
  <si>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</si>
  <si>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</si>
  <si>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</si>
  <si>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</si>
  <si>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</si>
  <si>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</si>
  <si>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</si>
  <si>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</si>
  <si>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</si>
  <si>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</si>
  <si>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</si>
  <si>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</si>
  <si>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</si>
  <si>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</si>
  <si>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</si>
  <si>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</si>
  <si>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</si>
  <si>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</si>
  <si>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</si>
  <si>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</si>
  <si>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</si>
  <si>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</si>
  <si>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</si>
  <si>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</si>
  <si>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</si>
  <si>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</si>
  <si>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</si>
  <si>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</si>
  <si>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</si>
  <si>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</si>
  <si>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</si>
  <si>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</si>
  <si>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</si>
  <si>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</si>
  <si>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</si>
  <si>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</si>
  <si>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</si>
  <si>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</si>
  <si>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</si>
  <si>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</si>
  <si>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</si>
  <si>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</si>
  <si>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</si>
  <si>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</si>
  <si>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</si>
  <si>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</si>
  <si>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</si>
  <si>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</si>
  <si>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</si>
  <si>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</si>
  <si>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</si>
  <si>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</si>
  <si>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</si>
  <si>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</si>
  <si>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</si>
  <si>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</si>
  <si>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</si>
  <si>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</si>
  <si>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</si>
  <si>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</si>
  <si>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</si>
  <si>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</si>
  <si>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</si>
  <si>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</si>
  <si>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</si>
  <si>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</si>
  <si>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</si>
  <si>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</si>
  <si>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</si>
  <si>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</si>
  <si>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</si>
  <si>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</si>
  <si>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</si>
  <si>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</si>
  <si>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</si>
  <si>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</si>
  <si>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</si>
  <si>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</si>
  <si>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</si>
  <si>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</si>
  <si>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</si>
  <si>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</si>
  <si>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</si>
  <si>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</si>
  <si>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</si>
  <si>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</si>
  <si>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</si>
  <si>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</si>
  <si>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</si>
  <si>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</si>
  <si>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</si>
  <si>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</si>
  <si>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</si>
  <si>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</si>
  <si>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</si>
  <si>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</si>
  <si>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</si>
  <si>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</si>
  <si>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</si>
  <si>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</si>
  <si>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</si>
  <si>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</si>
  <si>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</si>
  <si>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</si>
  <si>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</si>
  <si>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</si>
  <si>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</si>
  <si>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</si>
  <si>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</si>
  <si>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</si>
  <si>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</si>
  <si>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</si>
  <si>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</si>
  <si>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</si>
  <si>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</si>
  <si>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</si>
  <si>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</si>
  <si>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</si>
  <si>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</si>
  <si>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</si>
  <si>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</si>
  <si>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</si>
  <si>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</si>
  <si>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</si>
  <si>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</si>
  <si>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</si>
  <si>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</si>
  <si>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</si>
  <si>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</si>
  <si>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</si>
  <si>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</si>
  <si>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</si>
  <si>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</si>
  <si>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</si>
  <si>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</si>
  <si>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</si>
  <si>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</si>
  <si>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</si>
  <si>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</si>
  <si>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</si>
  <si>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</si>
  <si>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</si>
  <si>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</si>
  <si>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</si>
  <si>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</si>
  <si>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</si>
  <si>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</si>
  <si>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</si>
  <si>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</si>
  <si>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</si>
  <si>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</si>
  <si>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</si>
  <si>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</si>
  <si>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</si>
  <si>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</si>
  <si>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</si>
  <si>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</si>
  <si>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</si>
  <si>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</si>
  <si>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</si>
  <si>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</si>
  <si>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P&amp;L vs LW</t>
  </si>
  <si>
    <t>BND.US</t>
  </si>
  <si>
    <t>Vanguard Bonds</t>
  </si>
  <si>
    <t>WK14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</si>
</sst>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theme="8" tint="-0.499984740745262"/>
      </patternFill>
    </fill>
    <fill>
      <patternFill patternType="solid">
        <fgColor theme="8" tint="0.79998168889431442"/>
        <bgColor theme="8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79998168889431442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3" fillId="13" borderId="6" xfId="0" applyFont="1" applyFill="1" applyBorder="1"/>
    <xf numFmtId="0" fontId="3" fillId="13" borderId="6" xfId="0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left"/>
    </xf>
    <xf numFmtId="44" fontId="2" fillId="14" borderId="7" xfId="0" applyNumberFormat="1" applyFont="1" applyFill="1" applyBorder="1"/>
    <xf numFmtId="9" fontId="2" fillId="14" borderId="7" xfId="0" applyNumberFormat="1" applyFont="1" applyFill="1" applyBorder="1"/>
    <xf numFmtId="10" fontId="2" fillId="14" borderId="7" xfId="0" applyNumberFormat="1" applyFont="1" applyFill="1" applyBorder="1"/>
    <xf numFmtId="0" fontId="3" fillId="13" borderId="8" xfId="0" applyFont="1" applyFill="1" applyBorder="1" applyAlignment="1">
      <alignment horizontal="left"/>
    </xf>
    <xf numFmtId="44" fontId="3" fillId="13" borderId="8" xfId="0" applyNumberFormat="1" applyFont="1" applyFill="1" applyBorder="1"/>
    <xf numFmtId="9" fontId="3" fillId="13" borderId="8" xfId="0" applyNumberFormat="1" applyFont="1" applyFill="1" applyBorder="1"/>
    <xf numFmtId="10" fontId="3" fillId="13" borderId="8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</cellXfs>
  <cellStyles count="3">
    <cellStyle name="Currency" xfId="1" builtinId="4"/>
    <cellStyle name="Normal" xfId="0" builtinId="0"/>
    <cellStyle name="Percent" xfId="2" builtinId="5"/>
  </cellStyles>
  <dxfs count="16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ichStyles" Target="richData/richStyl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51.422884490741" createdVersion="8" refreshedVersion="8" minRefreshableVersion="3" recordCount="45" xr:uid="{F7C2E8EE-41B2-4379-9483-1E1726C2B887}">
  <cacheSource type="worksheet">
    <worksheetSource ref="A1:X46" sheet="Positions"/>
  </cacheSource>
  <cacheFields count="30">
    <cacheField name="Chapter" numFmtId="0">
      <sharedItems count="10">
        <s v="Tech"/>
        <s v="ETF"/>
        <s v="Energy"/>
        <s v="US Consumer"/>
        <s v="Banking"/>
        <s v="Asia Consumer"/>
        <s v="Health"/>
        <s v="Forex"/>
        <s v="Industrials"/>
        <s v="Automotive"/>
      </sharedItems>
    </cacheField>
    <cacheField name="Name" numFmtId="0">
      <sharedItems count="45">
        <s v="TSMC"/>
        <s v="Vanguard Bonds"/>
        <s v="Emergin Markets"/>
        <s v="First Solar"/>
        <s v="APA"/>
        <s v="Altaria"/>
        <s v="Pepsi"/>
        <s v="Kimberly Clark"/>
        <s v="Microsoft"/>
        <s v="ING Group NV"/>
        <s v="Albertson Companies"/>
        <s v="Master Card"/>
        <s v="YPF"/>
        <s v="NextEra Energy"/>
        <s v="Bitcoin ETF"/>
        <s v="Ingredion"/>
        <s v="Robotics &amp; AI"/>
        <s v="Batterey Value-Chain"/>
        <s v="Excelon"/>
        <s v="Google"/>
        <s v="MSG"/>
        <s v="Agios"/>
        <s v="Yum! Brands"/>
        <s v="Apple2"/>
        <s v="Gold"/>
        <s v="ASML"/>
        <s v="LVMH"/>
        <s v="Visa"/>
        <s v="HCA Healthcare"/>
        <s v="QualComm2"/>
        <s v="Applied Material"/>
        <s v="Japan Yen"/>
        <s v="Nvidia"/>
        <s v="3M"/>
        <s v="Duke Energy"/>
        <s v="Walmart"/>
        <s v="Palantir"/>
        <s v="Aptive Autoparts"/>
        <s v="Yum China Holding"/>
        <s v="PG&amp;E"/>
        <s v="Jinko Solar"/>
        <s v="Mexican Peso"/>
        <s v="SolarWinds"/>
        <s v="Canadian Solar"/>
        <s v="Maxeon Solar"/>
      </sharedItems>
    </cacheField>
    <cacheField name="Ticker" numFmtId="0">
      <sharedItems containsBlank="1" count="48">
        <s v="TSM"/>
        <s v="BND.US"/>
        <s v="VWO.US"/>
        <s v="FSLR"/>
        <s v="APA"/>
        <s v="MO"/>
        <s v="PEP"/>
        <s v="KMB"/>
        <s v="MSFT"/>
        <s v="ING"/>
        <s v="ACI"/>
        <s v="MA"/>
        <s v="YPF"/>
        <s v="NEE"/>
        <s v="VBTC.DE"/>
        <s v="INGR"/>
        <s v="BOTZ.UK"/>
        <s v="BATT.NL"/>
        <s v="EXC"/>
        <s v="GOOGL"/>
        <s v="DAR"/>
        <s v="AGIO"/>
        <s v="YUM"/>
        <s v="AAPL"/>
        <s v="GC=F"/>
        <s v="ASML"/>
        <s v="MC.PA"/>
        <s v="V"/>
        <s v="HCA"/>
        <s v="QCOM"/>
        <s v="AMAT"/>
        <s v="USDJPY=X"/>
        <s v="NVDA"/>
        <s v="MMM"/>
        <s v="DUK"/>
        <s v="WMT"/>
        <s v="PLTR"/>
        <s v="APTV"/>
        <s v="YUMC"/>
        <s v="PCG"/>
        <s v="JKS"/>
        <s v="USDMXN=X"/>
        <s v="SWI"/>
        <s v="CSIQ"/>
        <s v="MAXN"/>
        <s v="BONDS" u="1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4-05T00:00:00"/>
    </cacheField>
    <cacheField name="Volume" numFmtId="164">
      <sharedItems containsSemiMixedTypes="0" containsString="0" containsNumber="1" minValue="9.9999999999999998E-20" maxValue="4.4473000000000003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82.91662099999999"/>
    </cacheField>
    <cacheField name="Expected Return QoQ%" numFmtId="10">
      <sharedItems containsSemiMixedTypes="0" containsString="0" containsNumber="1" minValue="3.5000000000000003E-2" maxValue="1"/>
    </cacheField>
    <cacheField name="Volatility" numFmtId="0">
      <sharedItems containsSemiMixedTypes="0" containsString="0" containsNumber="1" minValue="0.15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4.0016240357287861E-2" maxValue="0.59136"/>
    </cacheField>
    <cacheField name="W/Avg Volatility" numFmtId="9">
      <sharedItems containsSemiMixedTypes="0" containsString="0" containsNumber="1" minValue="2.5499999999999999E-19" maxValue="67.679149769999995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239.83878000000007"/>
    </cacheField>
    <cacheField name="Close Price" numFmtId="44">
      <sharedItems containsSemiMixedTypes="0" containsString="0" containsNumber="1" minValue="10.92" maxValue="2742.9"/>
    </cacheField>
    <cacheField name="Actual Value" numFmtId="44">
      <sharedItems containsSemiMixedTypes="0" containsString="0" containsNumber="1" minValue="1.092E-18" maxValue="165.80938700000002"/>
    </cacheField>
    <cacheField name="Actual P&amp;L" numFmtId="44">
      <sharedItems containsSemiMixedTypes="0" containsString="0" containsNumber="1" minValue="-21.631904000000006" maxValue="5.7547500000000014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64.75"/>
    </cacheField>
    <cacheField name="Normalized Risk" numFmtId="44">
      <sharedItems containsSemiMixedTypes="0" containsString="0" containsNumber="1" minValue="0" maxValue="182.30285714285662"/>
    </cacheField>
    <cacheField name="Risk Mix" numFmtId="9">
      <sharedItems containsSemiMixedTypes="0" containsString="0" containsNumber="1" minValue="0" maxValue="9.1811733314880087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8">
          <x v="2"/>
          <x v="4"/>
          <x v="3"/>
          <x v="2"/>
          <x v="2"/>
          <x v="3"/>
          <x v="3"/>
          <x v="3"/>
          <x v="3"/>
          <x v="2"/>
          <x v="2"/>
          <x v="2"/>
          <x v="2"/>
          <x v="2"/>
          <x v="2"/>
          <x v="2"/>
          <x v="3"/>
          <x v="3"/>
          <x v="2"/>
          <x v="2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2"/>
          <x v="2"/>
          <x v="2"/>
          <x v="3"/>
          <x v="2"/>
          <x v="2"/>
          <x v="2"/>
          <x v="3"/>
          <x v="1"/>
          <x v="0"/>
        </discretePr>
        <groupItems count="5">
          <s v="LVMH"/>
          <m/>
          <s v="Group1"/>
          <s v="Group2"/>
          <s v="BND.US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F7C2E8EE-41B2-4379-9483-1E1726C2B887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d v="2024-07-11T00:00:00"/>
    <n v="1.0547"/>
    <n v="173.43"/>
    <n v="182.91662099999999"/>
    <n v="0.31119183532260863"/>
    <n v="0.37"/>
    <n v="0.84105901438542874"/>
    <n v="0.49736865874696712"/>
    <n v="67.679149769999995"/>
    <n v="227.40000000000006"/>
    <n v="239.83878000000007"/>
    <n v="157.21"/>
    <n v="165.80938700000002"/>
    <n v="-17.107233999999977"/>
    <n v="163.79737688634319"/>
    <n v="53.970000000000056"/>
    <n v="-4.8163115568284098"/>
    <n v="49.153688443171646"/>
    <n v="15.596311556828354"/>
    <n v="6.4117724011622565E-2"/>
    <n v="8.5551657287558217E-2"/>
  </r>
  <r>
    <x v="1"/>
    <x v="1"/>
    <x v="1"/>
    <d v="2025-03-27T00:00:00"/>
    <n v="2"/>
    <n v="73.5"/>
    <n v="147"/>
    <n v="4.4999999999999998E-2"/>
    <n v="0.16500000000000001"/>
    <n v="0.27272727272727271"/>
    <n v="0.16127999999999998"/>
    <n v="24.255000000000003"/>
    <n v="76.80749999999999"/>
    <n v="153.61499999999998"/>
    <n v="74.14"/>
    <n v="148.28"/>
    <n v="1.2800000000000011"/>
    <n v="65.625"/>
    <n v="3.3074999999999903"/>
    <n v="-3.9375"/>
    <n v="-0.63000000000000966"/>
    <n v="65.38000000000001"/>
    <n v="1.5295197308045272E-2"/>
    <n v="0.35863398426480375"/>
  </r>
  <r>
    <x v="1"/>
    <x v="2"/>
    <x v="2"/>
    <d v="2025-01-31T00:00:00"/>
    <n v="3"/>
    <n v="44.95"/>
    <n v="134.85000000000002"/>
    <n v="8.3000000000000004E-2"/>
    <n v="0.16800000000000001"/>
    <n v="0.49404761904761907"/>
    <n v="0.29215999999999998"/>
    <n v="22.654800000000005"/>
    <n v="48.68085"/>
    <n v="146.04255000000001"/>
    <n v="42.29"/>
    <n v="126.87"/>
    <n v="-7.9800000000000182"/>
    <n v="41.428571428571431"/>
    <n v="3.7308499999999967"/>
    <n v="-1.7607142857142861"/>
    <n v="1.9701357142857105"/>
    <n v="62.779864285714289"/>
    <n v="1.5928674127885182E-2"/>
    <n v="0.34437125818888603"/>
  </r>
  <r>
    <x v="2"/>
    <x v="3"/>
    <x v="3"/>
    <d v="2024-08-07T00:00:00"/>
    <n v="0.57440000000000002"/>
    <n v="158.26"/>
    <n v="90.904544000000001"/>
    <n v="0.23859471755339334"/>
    <n v="0.52980000000000005"/>
    <n v="0.45034865525366802"/>
    <n v="0.2663181807708091"/>
    <n v="48.161227411200002"/>
    <n v="196.02"/>
    <n v="112.59388800000001"/>
    <n v="120.6"/>
    <n v="69.272639999999996"/>
    <n v="-21.631904000000006"/>
    <n v="122.56765221725638"/>
    <n v="37.760000000000019"/>
    <n v="-17.846173891371805"/>
    <n v="19.913826108628214"/>
    <n v="44.836173891371786"/>
    <n v="2.2303419609861909E-2"/>
    <n v="0.24594334172303811"/>
  </r>
  <r>
    <x v="2"/>
    <x v="4"/>
    <x v="4"/>
    <d v="2024-12-01T00:00:00"/>
    <n v="4.4473000000000003"/>
    <n v="20.23"/>
    <n v="89.968879000000001"/>
    <n v="0.31389026198714776"/>
    <n v="0.45929999999999999"/>
    <n v="0.68341010665610225"/>
    <n v="0.4041414006721526"/>
    <n v="41.322706124699998"/>
    <n v="26.58"/>
    <n v="118.209234"/>
    <n v="17.670000000000002"/>
    <n v="78.583791000000005"/>
    <n v="-11.385087999999996"/>
    <n v="17.661801998555216"/>
    <n v="6.3499999999999979"/>
    <n v="-1.2840990007223922"/>
    <n v="5.0659009992776056"/>
    <n v="59.684099000722398"/>
    <n v="1.6754881396264291E-2"/>
    <n v="0.32738981679235335"/>
  </r>
  <r>
    <x v="3"/>
    <x v="5"/>
    <x v="5"/>
    <d v="2024-09-18T00:00:00"/>
    <n v="1.5346"/>
    <n v="51.96"/>
    <n v="79.737815999999995"/>
    <n v="0.18430000000000002"/>
    <n v="0.19980000000000001"/>
    <n v="0.92242242242242245"/>
    <n v="0.54548372372372367"/>
    <n v="15.9316156368"/>
    <n v="61.536227999999994"/>
    <n v="94.433495488799991"/>
    <n v="55.71"/>
    <n v="85.492565999999997"/>
    <n v="5.7547500000000014"/>
    <n v="51.166912850812416"/>
    <n v="9.5762279999999933"/>
    <n v="-0.39654357459379241"/>
    <n v="9.1796844254062009"/>
    <n v="55.570315574593799"/>
    <n v="1.7995219024042938E-2"/>
    <n v="0.30482416153822345"/>
  </r>
  <r>
    <x v="3"/>
    <x v="6"/>
    <x v="6"/>
    <d v="2024-06-17T00:00:00"/>
    <n v="0.5"/>
    <n v="157.79"/>
    <n v="78.894999999999996"/>
    <n v="6.7199999999999996E-2"/>
    <n v="0.16439999999999999"/>
    <n v="0.40875912408759124"/>
    <n v="0.24172379562043794"/>
    <n v="12.970337999999998"/>
    <n v="168.39348799999999"/>
    <n v="84.196743999999995"/>
    <n v="148.07499999999999"/>
    <n v="74.037499999999994"/>
    <n v="-4.8575000000000017"/>
    <n v="143.81152023332115"/>
    <n v="10.603487999999999"/>
    <n v="-6.9892398833394225"/>
    <n v="3.6142481166605762"/>
    <n v="61.135751883339424"/>
    <n v="1.635704099801082E-2"/>
    <n v="0.33535268092607057"/>
  </r>
  <r>
    <x v="3"/>
    <x v="7"/>
    <x v="7"/>
    <d v="2024-09-09T00:00:00"/>
    <n v="0.5"/>
    <n v="138.28"/>
    <n v="69.14"/>
    <n v="7.0000000000000007E-2"/>
    <n v="0.18340000000000001"/>
    <n v="0.38167938931297712"/>
    <n v="0.22570992366412215"/>
    <n v="12.680276000000001"/>
    <n v="147.95960000000002"/>
    <n v="73.979800000000012"/>
    <n v="141.07"/>
    <n v="70.534999999999997"/>
    <n v="1.394999999999996"/>
    <n v="124.19615591880726"/>
    <n v="9.679600000000022"/>
    <n v="-7.0419220405963685"/>
    <n v="2.6376779594036535"/>
    <n v="62.112322040596347"/>
    <n v="1.6099865004988934E-2"/>
    <n v="0.34070953694337186"/>
  </r>
  <r>
    <x v="0"/>
    <x v="8"/>
    <x v="8"/>
    <d v="2024-10-09T00:00:00"/>
    <n v="0.16059999999999999"/>
    <n v="421.18"/>
    <n v="67.641508000000002"/>
    <n v="0.15"/>
    <n v="0.1963"/>
    <n v="0.76413652572592972"/>
    <n v="0.45187977585328576"/>
    <n v="13.278028020400001"/>
    <n v="484.35699999999997"/>
    <n v="77.787734199999989"/>
    <n v="367.24"/>
    <n v="58.978743999999999"/>
    <n v="-8.6627640000000028"/>
    <n v="402.54229188569246"/>
    <n v="63.176999999999964"/>
    <n v="-9.3188540571537715"/>
    <n v="53.858145942846193"/>
    <n v="10.891854057153807"/>
    <n v="9.1811733314880087E-2"/>
    <n v="5.9745931730618491E-2"/>
  </r>
  <r>
    <x v="4"/>
    <x v="9"/>
    <x v="9"/>
    <d v="2025-03-01T00:00:00"/>
    <n v="3.9380999999999999"/>
    <n v="16.670000000000002"/>
    <n v="65.648127000000002"/>
    <n v="9.0200000000000002E-2"/>
    <n v="0.41289999999999999"/>
    <n v="0.21845483167837249"/>
    <n v="0.12918544926132236"/>
    <n v="27.1061116383"/>
    <n v="18.173634000000003"/>
    <n v="71.569588055400018"/>
    <n v="17.55"/>
    <n v="69.113655000000008"/>
    <n v="3.4655280000000062"/>
    <n v="12.603008996749075"/>
    <n v="1.5036340000000017"/>
    <n v="-2.0334955016254632"/>
    <n v="-0.52986150162546153"/>
    <n v="65.279861501625462"/>
    <n v="1.531865995112597E-2"/>
    <n v="0.35808468679385913"/>
  </r>
  <r>
    <x v="3"/>
    <x v="10"/>
    <x v="10"/>
    <d v="2024-12-04T00:00:00"/>
    <n v="3"/>
    <n v="20.71"/>
    <n v="62.13"/>
    <n v="0.2"/>
    <n v="0.2"/>
    <n v="1"/>
    <n v="0.59136"/>
    <n v="12.426000000000002"/>
    <n v="24.852"/>
    <n v="74.555999999999997"/>
    <n v="22.45"/>
    <n v="67.349999999999994"/>
    <n v="5.2199999999999918"/>
    <n v="20.71"/>
    <n v="4.1419999999999995"/>
    <n v="0"/>
    <n v="4.1419999999999995"/>
    <n v="60.608000000000004"/>
    <n v="1.6499472016895458E-2"/>
    <n v="0.33245776259286058"/>
  </r>
  <r>
    <x v="4"/>
    <x v="11"/>
    <x v="11"/>
    <d v="2025-03-01T00:00:00"/>
    <n v="0.11940000000000001"/>
    <n v="505.42"/>
    <n v="60.347148000000004"/>
    <n v="0.10929999999999999"/>
    <n v="0.30499999999999999"/>
    <n v="0.35836065573770493"/>
    <n v="0.21192015737704917"/>
    <n v="18.405880140000001"/>
    <n v="560.66240600000003"/>
    <n v="66.943091276400011"/>
    <n v="527"/>
    <n v="62.9238"/>
    <n v="2.5766519999999957"/>
    <n v="422.69800117086226"/>
    <n v="55.242406000000017"/>
    <n v="-41.36099941456888"/>
    <n v="13.881406585431137"/>
    <n v="50.868593414568863"/>
    <n v="1.9658495210398291E-2"/>
    <n v="0.27903344035199124"/>
  </r>
  <r>
    <x v="2"/>
    <x v="12"/>
    <x v="12"/>
    <d v="2024-12-01T00:00:00"/>
    <n v="1.5004999999999999"/>
    <n v="40"/>
    <n v="60.019999999999996"/>
    <n v="0.1"/>
    <n v="0.2"/>
    <n v="0.5"/>
    <n v="0.29568"/>
    <n v="12.004"/>
    <n v="44"/>
    <n v="66.021999999999991"/>
    <n v="33.29"/>
    <n v="49.951644999999999"/>
    <n v="-10.068354999999997"/>
    <n v="36.363636363636367"/>
    <n v="4"/>
    <n v="-1.8181818181818166"/>
    <n v="2.1818181818181834"/>
    <n v="62.568181818181813"/>
    <n v="1.5982564475118054E-2"/>
    <n v="0.34321009993360652"/>
  </r>
  <r>
    <x v="2"/>
    <x v="13"/>
    <x v="13"/>
    <d v="2024-08-07T00:00:00"/>
    <n v="0.74609999999999999"/>
    <n v="73.7"/>
    <n v="54.987569999999998"/>
    <n v="0.1"/>
    <n v="0.25990000000000002"/>
    <n v="0.38476337052712584"/>
    <n v="0.22753366679492112"/>
    <n v="14.291269443000001"/>
    <n v="81.070000000000007"/>
    <n v="60.486327000000003"/>
    <n v="70.13"/>
    <n v="52.323992999999994"/>
    <n v="-2.6635770000000036"/>
    <n v="63.539960341408751"/>
    <n v="7.3700000000000045"/>
    <n v="-5.080019829295626"/>
    <n v="2.2899801707043785"/>
    <n v="62.460019829295618"/>
    <n v="1.601024147499502E-2"/>
    <n v="0.34261679058793104"/>
  </r>
  <r>
    <x v="1"/>
    <x v="14"/>
    <x v="14"/>
    <d v="2024-07-08T00:00:00"/>
    <n v="1"/>
    <n v="48.68"/>
    <n v="48.68"/>
    <n v="0.1"/>
    <n v="0.2"/>
    <n v="0.5"/>
    <n v="0.29568"/>
    <n v="9.7360000000000007"/>
    <n v="53.548000000000002"/>
    <n v="53.548000000000002"/>
    <n v="40.35"/>
    <n v="40.35"/>
    <n v="-8.3299999999999983"/>
    <n v="44.254545454545458"/>
    <n v="4.8680000000000021"/>
    <n v="-2.2127272727272711"/>
    <n v="2.655272727272731"/>
    <n v="62.094727272727269"/>
    <n v="1.6104426960567578E-2"/>
    <n v="0.340613022998693"/>
  </r>
  <r>
    <x v="5"/>
    <x v="15"/>
    <x v="15"/>
    <d v="2024-10-15T00:00:00"/>
    <n v="0.34860000000000002"/>
    <n v="131.91"/>
    <n v="45.983826000000001"/>
    <n v="0.1202"/>
    <n v="0.33710000000000001"/>
    <n v="0.35657075051913378"/>
    <n v="0.21086167902699496"/>
    <n v="15.501147744600001"/>
    <n v="147.76558199999999"/>
    <n v="51.511081885199999"/>
    <n v="133.49"/>
    <n v="46.534614000000005"/>
    <n v="0.55078800000000427"/>
    <n v="108.39838934998768"/>
    <n v="15.855581999999998"/>
    <n v="-11.755805325006158"/>
    <n v="4.0997766749938407"/>
    <n v="60.650223325006159"/>
    <n v="1.648798545458445E-2"/>
    <n v="0.33268937347196526"/>
  </r>
  <r>
    <x v="1"/>
    <x v="16"/>
    <x v="16"/>
    <d v="2024-07-08T00:00:00"/>
    <n v="2"/>
    <n v="20.927"/>
    <n v="41.853999999999999"/>
    <n v="3.5000000000000003E-2"/>
    <n v="0.16500000000000001"/>
    <n v="0.21212121212121213"/>
    <n v="0.12544"/>
    <n v="6.9059100000000004"/>
    <n v="21.659444999999998"/>
    <n v="43.318889999999996"/>
    <n v="16.87"/>
    <n v="33.74"/>
    <n v="-8.1139999999999972"/>
    <n v="18.51946902654867"/>
    <n v="0.73244499999999846"/>
    <n v="-1.2037654867256649"/>
    <n v="-0.4713204867256664"/>
    <n v="65.221320486725659"/>
    <n v="1.5332409594551642E-2"/>
    <n v="0.35776356722493252"/>
  </r>
  <r>
    <x v="1"/>
    <x v="17"/>
    <x v="17"/>
    <d v="2024-07-08T00:00:00"/>
    <n v="2"/>
    <n v="16.399000000000001"/>
    <n v="32.798000000000002"/>
    <n v="3.5000000000000003E-2"/>
    <n v="0.16500000000000001"/>
    <n v="0.21212121212121213"/>
    <n v="0.12544"/>
    <n v="5.4116700000000009"/>
    <n v="16.972964999999999"/>
    <n v="33.945929999999997"/>
    <n v="12.95"/>
    <n v="25.9"/>
    <n v="-6.8980000000000032"/>
    <n v="14.512389380530973"/>
    <n v="0.57396499999999762"/>
    <n v="-0.9433053097345141"/>
    <n v="-0.36934030973451648"/>
    <n v="65.119340309734511"/>
    <n v="1.5356420922625852E-2"/>
    <n v="0.35720416745144884"/>
  </r>
  <r>
    <x v="2"/>
    <x v="18"/>
    <x v="18"/>
    <d v="2024-12-01T00:00:00"/>
    <n v="0.75290000000000001"/>
    <n v="41.16"/>
    <n v="30.989363999999998"/>
    <n v="0.1"/>
    <n v="0.2"/>
    <n v="0.5"/>
    <n v="0.29568"/>
    <n v="6.1978727999999998"/>
    <n v="45.276000000000003"/>
    <n v="34.088300400000001"/>
    <n v="45.325000000000003"/>
    <n v="34.125192500000004"/>
    <n v="3.1358285000000059"/>
    <n v="37.418181818181822"/>
    <n v="4.1160000000000068"/>
    <n v="-1.8709090909090875"/>
    <n v="2.2450909090909192"/>
    <n v="62.504909090909081"/>
    <n v="1.5998743371429737E-2"/>
    <n v="0.34286302513585304"/>
  </r>
  <r>
    <x v="0"/>
    <x v="19"/>
    <x v="19"/>
    <d v="2025-01-21T00:00:00"/>
    <n v="0.1782"/>
    <n v="168.24"/>
    <n v="29.980368000000002"/>
    <n v="0.1317760342368044"/>
    <n v="0.26790000000000003"/>
    <n v="0.49188515952521233"/>
    <n v="0.29088120793682953"/>
    <n v="8.0317405872000016"/>
    <n v="190.40999999999997"/>
    <n v="33.931061999999997"/>
    <n v="150.38999999999999"/>
    <n v="26.799497999999996"/>
    <n v="-3.1808700000000059"/>
    <n v="148.08243208476298"/>
    <n v="22.169999999999959"/>
    <n v="-10.078783957618512"/>
    <n v="12.091216042381447"/>
    <n v="52.658783957618553"/>
    <n v="1.8990184065109279E-2"/>
    <n v="0.28885331136831249"/>
  </r>
  <r>
    <x v="5"/>
    <x v="20"/>
    <x v="20"/>
    <d v="2024-08-03T00:00:00"/>
    <n v="0.52270000000000005"/>
    <n v="38.229999999999997"/>
    <n v="19.982821000000001"/>
    <n v="7.0000000000000007E-2"/>
    <n v="0.4"/>
    <n v="0.17500000000000002"/>
    <n v="0.10348800000000001"/>
    <n v="7.9931284000000007"/>
    <n v="40.906100000000002"/>
    <n v="21.381618470000003"/>
    <n v="30.14"/>
    <n v="15.754178000000001"/>
    <n v="-4.2286429999999999"/>
    <n v="28.744360902255639"/>
    <n v="2.6761000000000053"/>
    <n v="-4.7428195488721787"/>
    <n v="-2.0667195488721735"/>
    <n v="66.816719548872172"/>
    <n v="1.4966313921900396E-2"/>
    <n v="0.36651493342483976"/>
  </r>
  <r>
    <x v="6"/>
    <x v="21"/>
    <x v="21"/>
    <d v="2024-12-04T00:00:00"/>
    <n v="0.28749999999999998"/>
    <n v="34.78"/>
    <n v="9.99925"/>
    <n v="0.2"/>
    <n v="0.2"/>
    <n v="1"/>
    <n v="0.59136"/>
    <n v="1.9998500000000001"/>
    <n v="41.735999999999997"/>
    <n v="11.999099999999999"/>
    <n v="26.655000000000001"/>
    <n v="7.6633125"/>
    <n v="-2.3359375"/>
    <n v="34.78"/>
    <n v="6.955999999999996"/>
    <n v="0"/>
    <n v="6.955999999999996"/>
    <n v="57.794000000000004"/>
    <n v="1.7302834204242654E-2"/>
    <n v="0.31702191016518916"/>
  </r>
  <r>
    <x v="5"/>
    <x v="22"/>
    <x v="22"/>
    <d v="2025-02-07T00:00:00"/>
    <n v="2.9999999999999997E-4"/>
    <n v="143.18"/>
    <n v="4.2953999999999999E-2"/>
    <n v="7.0000000000000007E-2"/>
    <n v="0.1623"/>
    <n v="0.43130006161429457"/>
    <n v="0.25505360443622921"/>
    <n v="6.9714341999999995E-3"/>
    <n v="153.20260000000002"/>
    <n v="4.596078E-2"/>
    <n v="153.61000000000001"/>
    <n v="4.6082999999999999E-2"/>
    <n v="3.1289999999999998E-3"/>
    <n v="131.08120479721688"/>
    <n v="10.022600000000011"/>
    <n v="-6.0493976013915614"/>
    <n v="3.9732023986084499"/>
    <n v="60.77679760139155"/>
    <n v="1.6453647435630991E-2"/>
    <n v="0.33338368116614586"/>
  </r>
  <r>
    <x v="0"/>
    <x v="23"/>
    <x v="23"/>
    <d v="2024-07-09T00:00:00"/>
    <n v="1E-4"/>
    <n v="227.38"/>
    <n v="2.2738000000000001E-2"/>
    <n v="0.15"/>
    <n v="0.2271"/>
    <n v="0.66050198150594452"/>
    <n v="0.39059445178335533"/>
    <n v="5.1637998000000004E-3"/>
    <n v="261.48699999999997"/>
    <n v="2.6148699999999997E-2"/>
    <n v="201.25"/>
    <n v="2.0125000000000001E-2"/>
    <n v="-2.6130000000000007E-3"/>
    <n v="211.10389007520189"/>
    <n v="34.106999999999971"/>
    <n v="-8.1380549623990532"/>
    <n v="25.968945037600918"/>
    <n v="38.781054962399082"/>
    <n v="2.5785786409615964E-2"/>
    <n v="0.21272872828322911"/>
  </r>
  <r>
    <x v="7"/>
    <x v="24"/>
    <x v="24"/>
    <d v="2025-03-15T00:00:00"/>
    <n v="9.9999999999999998E-20"/>
    <n v="2742.9"/>
    <n v="2.7429000000000002E-16"/>
    <n v="0.1"/>
    <n v="0.5"/>
    <n v="0.2"/>
    <n v="0.118272"/>
    <n v="1.3714500000000001E-16"/>
    <n v="3017.1900000000005"/>
    <n v="3.0171900000000003E-16"/>
    <n v="2742.9"/>
    <n v="2.7429000000000002E-16"/>
    <n v="0"/>
    <n v="1959.214285714286"/>
    <n v="274.29000000000042"/>
    <n v="-391.84285714285704"/>
    <n v="-117.55285714285662"/>
    <n v="182.30285714285662"/>
    <n v="5.4853775507005768E-3"/>
    <n v="1"/>
  </r>
  <r>
    <x v="0"/>
    <x v="25"/>
    <x v="25"/>
    <d v="2024-07-08T00:00:00"/>
    <n v="9.9999999999999998E-20"/>
    <n v="700.32"/>
    <n v="7.0031999999999998E-17"/>
    <n v="0.1"/>
    <n v="0.45340000000000003"/>
    <n v="0.22055580061755625"/>
    <n v="0.13042787825319807"/>
    <n v="3.1752508800000004E-17"/>
    <n v="770.35200000000009"/>
    <n v="7.7035200000000004E-17"/>
    <n v="700.32"/>
    <n v="7.0031999999999998E-17"/>
    <n v="0"/>
    <n v="517.45234224915032"/>
    <n v="70.032000000000039"/>
    <n v="-91.433828875424865"/>
    <n v="-21.401828875424826"/>
    <n v="86.151828875424826"/>
    <n v="1.1607414642885824E-2"/>
    <n v="0.47257530806505305"/>
  </r>
  <r>
    <x v="5"/>
    <x v="26"/>
    <x v="26"/>
    <d v="2024-09-27T00:00:00"/>
    <n v="9.9999999999999998E-20"/>
    <n v="668.82"/>
    <n v="6.6881999999999999E-17"/>
    <n v="0.05"/>
    <n v="0.28000000000000003"/>
    <n v="0.17857142857142858"/>
    <n v="0.1056"/>
    <n v="1.872696E-17"/>
    <n v="702.26100000000008"/>
    <n v="7.0226100000000009E-17"/>
    <n v="668.82"/>
    <n v="6.6881999999999999E-17"/>
    <n v="0"/>
    <n v="543.7560975609756"/>
    <n v="33.441000000000031"/>
    <n v="-62.531951219512223"/>
    <n v="-29.090951219512192"/>
    <n v="93.840951219512192"/>
    <n v="1.0656328468589433E-2"/>
    <n v="0.51475304715590009"/>
  </r>
  <r>
    <x v="4"/>
    <x v="27"/>
    <x v="27"/>
    <d v="2025-04-04T00:00:00"/>
    <n v="6.1600000000000002E-2"/>
    <n v="324.48"/>
    <n v="19.987968000000002"/>
    <n v="0.10829999999999999"/>
    <n v="0.27510000000000001"/>
    <n v="0.3936750272628135"/>
    <n v="0.23280366412213738"/>
    <n v="5.4986899968000005"/>
    <n v="359.62118400000003"/>
    <n v="22.152664934400004"/>
    <n v="324.48"/>
    <n v="19.987968000000002"/>
    <n v="0"/>
    <n v="278.09393212204321"/>
    <n v="35.14118400000001"/>
    <n v="-23.193033938978402"/>
    <n v="11.948150061021607"/>
    <n v="52.801849938978393"/>
    <n v="1.8938730388341918E-2"/>
    <n v="0.28963808229073268"/>
  </r>
  <r>
    <x v="6"/>
    <x v="28"/>
    <x v="28"/>
    <d v="2024-12-04T00:00:00"/>
    <n v="9.9999999999999998E-20"/>
    <n v="323.75"/>
    <n v="3.2375000000000002E-17"/>
    <n v="0.2"/>
    <n v="0.2"/>
    <n v="1"/>
    <n v="0.59136"/>
    <n v="6.4750000000000006E-18"/>
    <n v="388.5"/>
    <n v="3.8849999999999999E-17"/>
    <n v="323.75"/>
    <n v="3.2375000000000002E-17"/>
    <n v="0"/>
    <n v="323.75"/>
    <n v="64.75"/>
    <n v="0"/>
    <n v="64.75"/>
    <n v="0"/>
    <n v="0"/>
    <n v="0"/>
  </r>
  <r>
    <x v="0"/>
    <x v="29"/>
    <x v="29"/>
    <d v="2024-09-09T00:00:00"/>
    <n v="9.9999999999999998E-20"/>
    <n v="188.12"/>
    <n v="1.8812000000000001E-17"/>
    <n v="0.15"/>
    <n v="0.37780000000000002"/>
    <n v="0.39703546850185278"/>
    <n v="0.23479089465325564"/>
    <n v="7.1071736000000005E-18"/>
    <n v="216.33799999999999"/>
    <n v="2.16338E-17"/>
    <n v="188.12"/>
    <n v="1.8812000000000001E-17"/>
    <n v="0"/>
    <n v="153.21713634142367"/>
    <n v="28.217999999999989"/>
    <n v="-17.451431829288168"/>
    <n v="10.766568170711821"/>
    <n v="53.983431829288179"/>
    <n v="1.8524202076709392E-2"/>
    <n v="0.29611950506615237"/>
  </r>
  <r>
    <x v="0"/>
    <x v="30"/>
    <x v="30"/>
    <d v="2024-07-08T00:00:00"/>
    <n v="9.9999999999999998E-20"/>
    <n v="169.34"/>
    <n v="1.6933999999999999E-17"/>
    <n v="0.1"/>
    <n v="0.4259"/>
    <n v="0.23479690068091102"/>
    <n v="0.13884949518666354"/>
    <n v="7.2121906000000005E-18"/>
    <n v="186.27400000000003"/>
    <n v="1.8627400000000003E-17"/>
    <n v="169.34"/>
    <n v="1.6933999999999999E-17"/>
    <n v="0"/>
    <n v="127.71702239987934"/>
    <n v="16.934000000000026"/>
    <n v="-20.811488800060332"/>
    <n v="-3.8774888000603056"/>
    <n v="68.627488800060306"/>
    <n v="1.4571420541314068E-2"/>
    <n v="0.37644768642480608"/>
  </r>
  <r>
    <x v="7"/>
    <x v="31"/>
    <x v="31"/>
    <d v="2024-10-09T00:00:00"/>
    <n v="9.9999999999999998E-20"/>
    <n v="153.7552"/>
    <n v="1.5375519999999999E-17"/>
    <n v="7.0000000000000007E-2"/>
    <n v="0.19"/>
    <n v="0.36842105263157898"/>
    <n v="0.21786947368421053"/>
    <n v="2.9213487999999999E-18"/>
    <n v="164.51806400000001"/>
    <n v="1.6451806399999999E-17"/>
    <n v="153.7552"/>
    <n v="1.5375519999999999E-17"/>
    <n v="0"/>
    <n v="137.28142857142859"/>
    <n v="10.762864000000008"/>
    <n v="-8.2368857142857053"/>
    <n v="2.5259782857143023"/>
    <n v="62.224021714285698"/>
    <n v="1.6070963792596114E-2"/>
    <n v="0.34132225182584797"/>
  </r>
  <r>
    <x v="0"/>
    <x v="32"/>
    <x v="32"/>
    <d v="2024-07-09T00:00:00"/>
    <n v="9.9999999999999998E-20"/>
    <n v="147.01"/>
    <n v="1.4700999999999999E-17"/>
    <n v="0.15"/>
    <n v="0.52380000000000004"/>
    <n v="0.28636884306987398"/>
    <n v="0.16934707903780066"/>
    <n v="7.7003838000000003E-18"/>
    <n v="169.06149999999997"/>
    <n v="1.6906149999999997E-17"/>
    <n v="147.01"/>
    <n v="1.4700999999999999E-17"/>
    <n v="0"/>
    <n v="107.00975396709855"/>
    <n v="22.051499999999976"/>
    <n v="-20.000123016450722"/>
    <n v="2.0513769835492539"/>
    <n v="62.698623016450746"/>
    <n v="1.5949313587598594E-2"/>
    <n v="0.34392561915427738"/>
  </r>
  <r>
    <x v="8"/>
    <x v="33"/>
    <x v="33"/>
    <d v="2024-12-01T00:00:00"/>
    <n v="9.9999999999999998E-20"/>
    <n v="133.53"/>
    <n v="1.3353E-17"/>
    <n v="7.0000000000000007E-2"/>
    <n v="0.2"/>
    <n v="0.35000000000000003"/>
    <n v="0.20697600000000002"/>
    <n v="2.6706000000000003E-18"/>
    <n v="142.87710000000001"/>
    <n v="1.428771E-17"/>
    <n v="133.53"/>
    <n v="1.3353E-17"/>
    <n v="0"/>
    <n v="118.16814159292036"/>
    <n v="9.3471000000000117"/>
    <n v="-7.6809292035398187"/>
    <n v="1.6661707964601931"/>
    <n v="63.083829203539807"/>
    <n v="1.5851922951181398E-2"/>
    <n v="0.34603862052532669"/>
  </r>
  <r>
    <x v="2"/>
    <x v="34"/>
    <x v="34"/>
    <d v="2024-08-07T00:00:00"/>
    <n v="9.9999999999999998E-20"/>
    <n v="113.58"/>
    <n v="1.1357999999999999E-17"/>
    <n v="6.664905793273479E-2"/>
    <n v="0.16439999999999999"/>
    <n v="0.40540789496797319"/>
    <n v="0.23974201276826063"/>
    <n v="1.8672551999999998E-18"/>
    <n v="121.15000000000002"/>
    <n v="1.2115000000000002E-17"/>
    <n v="113.58"/>
    <n v="1.1357999999999999E-17"/>
    <n v="0"/>
    <n v="103.46609203186667"/>
    <n v="7.5700000000000216"/>
    <n v="-5.0569539840666664"/>
    <n v="2.5130460159333552"/>
    <n v="62.236953984066645"/>
    <n v="1.60676243933148E-2"/>
    <n v="0.34139319020818398"/>
  </r>
  <r>
    <x v="3"/>
    <x v="35"/>
    <x v="35"/>
    <d v="2024-08-01T00:00:00"/>
    <n v="9.9999999999999998E-20"/>
    <n v="86.6"/>
    <n v="8.6599999999999986E-18"/>
    <n v="7.0000000000000007E-2"/>
    <n v="0.17249999999999999"/>
    <n v="0.40579710144927544"/>
    <n v="0.23997217391304351"/>
    <n v="1.4938499999999996E-18"/>
    <n v="92.662000000000006"/>
    <n v="9.2662000000000008E-18"/>
    <n v="86.6"/>
    <n v="8.6599999999999986E-18"/>
    <n v="0"/>
    <n v="78.548752834467123"/>
    <n v="6.0620000000000118"/>
    <n v="-4.0256235827664355"/>
    <n v="2.0363764172335763"/>
    <n v="62.713623582766424"/>
    <n v="1.594549864719981E-2"/>
    <n v="0.34400790292399319"/>
  </r>
  <r>
    <x v="0"/>
    <x v="36"/>
    <x v="36"/>
    <d v="2024-07-08T00:00:00"/>
    <n v="9.9999999999999998E-20"/>
    <n v="64.349999999999994"/>
    <n v="6.4349999999999993E-18"/>
    <n v="0.15"/>
    <n v="0.67300000000000004"/>
    <n v="0.22288261515601782"/>
    <n v="0.1318038632986627"/>
    <n v="4.3307549999999997E-18"/>
    <n v="74.002499999999984"/>
    <n v="7.4002499999999988E-18"/>
    <n v="64.349999999999994"/>
    <n v="6.4349999999999993E-18"/>
    <n v="0"/>
    <n v="42.252133946158892"/>
    <n v="9.6524999999999892"/>
    <n v="-11.048933026920551"/>
    <n v="-1.3964330269205618"/>
    <n v="66.146433026920562"/>
    <n v="1.5117973173141711E-2"/>
    <n v="0.36283815878478926"/>
  </r>
  <r>
    <x v="9"/>
    <x v="37"/>
    <x v="37"/>
    <d v="2024-09-27T00:00:00"/>
    <n v="9.9999999999999998E-20"/>
    <n v="56"/>
    <n v="5.5999999999999995E-18"/>
    <n v="7.0000000000000007E-2"/>
    <n v="0.19"/>
    <n v="0.36842105263157898"/>
    <n v="0.21786947368421053"/>
    <n v="1.0639999999999999E-18"/>
    <n v="59.92"/>
    <n v="5.9920000000000002E-18"/>
    <n v="56"/>
    <n v="5.5999999999999995E-18"/>
    <n v="0"/>
    <n v="50.000000000000007"/>
    <n v="3.9200000000000017"/>
    <n v="-2.9999999999999964"/>
    <n v="0.92000000000000526"/>
    <n v="63.83"/>
    <n v="1.5666614444618518E-2"/>
    <n v="0.3501316490612178"/>
  </r>
  <r>
    <x v="5"/>
    <x v="38"/>
    <x v="38"/>
    <d v="2024-10-09T00:00:00"/>
    <n v="9.9999999999999998E-20"/>
    <n v="47.42"/>
    <n v="4.7419999999999999E-18"/>
    <n v="7.0000000000000007E-2"/>
    <n v="0.4"/>
    <n v="0.17500000000000002"/>
    <n v="0.10348800000000001"/>
    <n v="1.8968000000000002E-18"/>
    <n v="50.739400000000003"/>
    <n v="5.0739400000000001E-18"/>
    <n v="47.42"/>
    <n v="4.7419999999999999E-18"/>
    <n v="0"/>
    <n v="35.654135338345867"/>
    <n v="3.3194000000000017"/>
    <n v="-5.8829323308270673"/>
    <n v="-2.5635323308270657"/>
    <n v="67.313532330827059"/>
    <n v="1.4855853873264021E-2"/>
    <n v="0.36924013910587622"/>
  </r>
  <r>
    <x v="2"/>
    <x v="39"/>
    <x v="39"/>
    <d v="2024-12-01T00:00:00"/>
    <n v="9.9999999999999998E-20"/>
    <n v="26.63"/>
    <n v="2.663E-18"/>
    <n v="0.1"/>
    <n v="0.2"/>
    <n v="0.5"/>
    <n v="0.29568"/>
    <n v="5.3260000000000006E-19"/>
    <n v="29.293000000000003"/>
    <n v="2.9293000000000003E-18"/>
    <n v="26.63"/>
    <n v="2.663E-18"/>
    <n v="0"/>
    <n v="24.209090909090911"/>
    <n v="2.6630000000000038"/>
    <n v="-1.2104545454545441"/>
    <n v="1.4525454545454597"/>
    <n v="63.297454545454542"/>
    <n v="1.5798423604568332E-2"/>
    <n v="0.34721043618012654"/>
  </r>
  <r>
    <x v="2"/>
    <x v="40"/>
    <x v="40"/>
    <d v="2024-08-07T00:00:00"/>
    <n v="9.9999999999999998E-20"/>
    <n v="20.82"/>
    <n v="2.0820000000000002E-18"/>
    <n v="0.05"/>
    <n v="0.7389"/>
    <n v="6.7668155366084726E-2"/>
    <n v="4.0016240357287861E-2"/>
    <n v="1.5383898E-18"/>
    <n v="21.861000000000001"/>
    <n v="2.1860999999999999E-18"/>
    <n v="20.82"/>
    <n v="2.0820000000000002E-18"/>
    <n v="0"/>
    <n v="12.327550476641601"/>
    <n v="1.0410000000000004"/>
    <n v="-4.2462247616791995"/>
    <n v="-3.2052247616791991"/>
    <n v="67.955224761679204"/>
    <n v="1.4715571959433977E-2"/>
    <n v="0.37276006436052705"/>
  </r>
  <r>
    <x v="7"/>
    <x v="41"/>
    <x v="41"/>
    <d v="2024-10-15T00:00:00"/>
    <n v="9.9999999999999998E-20"/>
    <n v="17"/>
    <n v="1.7E-18"/>
    <n v="0.1"/>
    <n v="0.15"/>
    <n v="0.66666666666666674"/>
    <n v="0.39424000000000003"/>
    <n v="2.5499999999999999E-19"/>
    <n v="21.2"/>
    <n v="2.1199999999999999E-18"/>
    <n v="17"/>
    <n v="1.7E-18"/>
    <n v="0"/>
    <n v="16.190476190476193"/>
    <n v="4.1999999999999993"/>
    <n v="-0.40476190476190332"/>
    <n v="3.795238095238096"/>
    <n v="60.954761904761902"/>
    <n v="1.6405609155892349E-2"/>
    <n v="0.33435988256067967"/>
  </r>
  <r>
    <x v="2"/>
    <x v="42"/>
    <x v="42"/>
    <d v="2024-08-07T00:00:00"/>
    <n v="9.9999999999999998E-20"/>
    <n v="13.04"/>
    <n v="1.304E-18"/>
    <n v="5.2147239263803824E-2"/>
    <n v="0.30159999999999998"/>
    <n v="0.17290198694895167"/>
    <n v="0.10224731900213206"/>
    <n v="3.9328639999999997E-19"/>
    <n v="13.72"/>
    <n v="1.3720000000000001E-18"/>
    <n v="13.04"/>
    <n v="1.304E-18"/>
    <n v="0"/>
    <n v="10.436569040286594"/>
    <n v="0.68000000000000149"/>
    <n v="-1.3017154798567026"/>
    <n v="-0.62171547985670106"/>
    <n v="65.371715479856704"/>
    <n v="1.5297135659659027E-2"/>
    <n v="0.35858854054399136"/>
  </r>
  <r>
    <x v="2"/>
    <x v="43"/>
    <x v="43"/>
    <d v="2024-08-07T00:00:00"/>
    <n v="9.9999999999999998E-20"/>
    <n v="11.05"/>
    <n v="1.1050000000000001E-18"/>
    <n v="0.05"/>
    <n v="0.72170000000000001"/>
    <n v="6.9280864625190522E-2"/>
    <n v="4.0969932104752665E-2"/>
    <n v="7.9747850000000009E-19"/>
    <n v="11.602500000000001"/>
    <n v="1.16025E-18"/>
    <n v="11.05"/>
    <n v="1.1050000000000001E-18"/>
    <n v="0"/>
    <n v="6.6100376861877139"/>
    <n v="0.55250000000000021"/>
    <n v="-2.2199811569061434"/>
    <n v="-1.6674811569061432"/>
    <n v="66.417481156906149"/>
    <n v="1.5056277091231111E-2"/>
    <n v="0.36432496011217158"/>
  </r>
  <r>
    <x v="2"/>
    <x v="44"/>
    <x v="44"/>
    <d v="2024-08-07T00:00:00"/>
    <n v="9.9999999999999998E-20"/>
    <n v="10.92"/>
    <n v="1.092E-18"/>
    <n v="1"/>
    <n v="1.8652"/>
    <n v="0.53613553506326406"/>
    <n v="0.31704911001501179"/>
    <n v="2.0367984000000001E-18"/>
    <n v="21.84"/>
    <n v="2.1840000000000001E-18"/>
    <n v="10.92"/>
    <n v="1.092E-18"/>
    <n v="0"/>
    <n v="5.8546000428908433"/>
    <n v="10.92"/>
    <n v="-2.5326999785545783"/>
    <n v="8.3873000214454212"/>
    <n v="56.362699978554581"/>
    <n v="1.7742230240575585E-2"/>
    <n v="0.309170689159235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37825-BDAE-4FF0-A568-62A14518533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25" firstHeaderRow="0" firstDataRow="1" firstDataCol="1" rowPageCount="1" colPageCount="1"/>
  <pivotFields count="30">
    <pivotField axis="axisRow" showAll="0" sortType="descending">
      <items count="11">
        <item sd="0" x="5"/>
        <item sd="0" x="9"/>
        <item sd="0" x="4"/>
        <item x="2"/>
        <item sd="0" x="7"/>
        <item sd="0" x="6"/>
        <item sd="0" x="8"/>
        <item sd="0" x="0"/>
        <item sd="0" x="3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46">
        <item sd="0" x="33"/>
        <item sd="0" x="21"/>
        <item sd="0" x="10"/>
        <item sd="0" x="5"/>
        <item sd="0" x="4"/>
        <item sd="0" x="23"/>
        <item sd="0" x="30"/>
        <item sd="0" x="37"/>
        <item sd="0" x="25"/>
        <item sd="0" x="17"/>
        <item sd="0" x="14"/>
        <item sd="0" x="43"/>
        <item sd="0" x="34"/>
        <item sd="0" x="2"/>
        <item sd="0" x="18"/>
        <item sd="0" x="3"/>
        <item sd="0" x="24"/>
        <item sd="0" x="19"/>
        <item sd="0" x="28"/>
        <item sd="0" x="9"/>
        <item sd="0" x="15"/>
        <item sd="0" x="31"/>
        <item sd="0" x="40"/>
        <item sd="0" x="7"/>
        <item sd="0" x="26"/>
        <item sd="0" x="11"/>
        <item sd="0" x="44"/>
        <item sd="0" x="41"/>
        <item sd="0" x="8"/>
        <item sd="0" x="20"/>
        <item sd="0" x="13"/>
        <item sd="0" x="32"/>
        <item sd="0" x="36"/>
        <item sd="0" x="6"/>
        <item sd="0" x="39"/>
        <item sd="0" x="29"/>
        <item sd="0" x="16"/>
        <item sd="0" x="42"/>
        <item sd="0" x="0"/>
        <item sd="0" x="27"/>
        <item sd="0" x="35"/>
        <item sd="0" x="12"/>
        <item sd="0" x="38"/>
        <item sd="0" x="22"/>
        <item x="1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items count="49">
        <item sd="0" x="23"/>
        <item sd="0" x="10"/>
        <item sd="0" x="21"/>
        <item sd="0" x="30"/>
        <item sd="0" x="4"/>
        <item sd="0" x="37"/>
        <item sd="0" x="25"/>
        <item sd="0" x="17"/>
        <item sd="0" m="1" x="45"/>
        <item sd="0" x="16"/>
        <item sd="0" x="43"/>
        <item sd="0" x="20"/>
        <item sd="0" x="34"/>
        <item sd="0" x="18"/>
        <item sd="0" x="3"/>
        <item sd="0" x="24"/>
        <item sd="0" x="19"/>
        <item sd="0" x="28"/>
        <item sd="0" x="9"/>
        <item sd="0" x="15"/>
        <item sd="0" x="40"/>
        <item sd="0" x="7"/>
        <item sd="0" x="11"/>
        <item sd="0" x="44"/>
        <item sd="0" x="26"/>
        <item sd="0" x="33"/>
        <item sd="0" x="5"/>
        <item sd="0" x="8"/>
        <item sd="0" x="13"/>
        <item sd="0" x="32"/>
        <item sd="0" x="39"/>
        <item sd="0" x="6"/>
        <item sd="0" x="36"/>
        <item sd="0" x="29"/>
        <item sd="0" x="42"/>
        <item sd="0" x="0"/>
        <item sd="0" x="31"/>
        <item sd="0" x="41"/>
        <item sd="0" x="27"/>
        <item sd="0" x="14"/>
        <item sd="0" x="35"/>
        <item sd="0" x="12"/>
        <item sd="0" x="22"/>
        <item sd="0" x="38"/>
        <item sd="0" x="2"/>
        <item sd="0" m="1" x="47"/>
        <item m="1" x="46"/>
        <item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6">
        <item sd="0" x="0"/>
        <item sd="0" x="1"/>
        <item n="High Risk &gt;=20%" sd="0" x="2"/>
        <item n="Low Risk &lt;20%" sd="0" x="3"/>
        <item x="4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1"/>
  </rowFields>
  <rowItems count="22">
    <i>
      <x v="9"/>
    </i>
    <i>
      <x v="3"/>
    </i>
    <i r="1">
      <x v="15"/>
    </i>
    <i r="1">
      <x v="4"/>
    </i>
    <i r="1">
      <x v="41"/>
    </i>
    <i r="1">
      <x v="30"/>
    </i>
    <i r="1">
      <x v="14"/>
    </i>
    <i r="1">
      <x v="12"/>
    </i>
    <i r="1">
      <x v="34"/>
    </i>
    <i r="1">
      <x v="22"/>
    </i>
    <i r="1">
      <x v="37"/>
    </i>
    <i r="1">
      <x v="11"/>
    </i>
    <i r="1">
      <x v="26"/>
    </i>
    <i>
      <x v="8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">
      <pivotArea outline="0" fieldPosition="0">
        <references count="1">
          <reference field="4294967294" count="1">
            <x v="3"/>
          </reference>
        </references>
      </pivotArea>
    </format>
    <format dxfId="12">
      <pivotArea outline="0" fieldPosition="0">
        <references count="1">
          <reference field="4294967294" count="1">
            <x v="5"/>
          </reference>
        </references>
      </pivotArea>
    </format>
    <format dxfId="11">
      <pivotArea outline="0" fieldPosition="0">
        <references count="1">
          <reference field="4294967294" count="1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9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8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8">
  <a r="1">
    <v t="i">1</v>
  </a>
  <a r="1">
    <v>147.29</v>
  </a>
  <a r="1">
    <v>120.6</v>
  </a>
  <a r="1">
    <v>144.84</v>
  </a>
  <a r="1">
    <v>488.29</v>
  </a>
  <a r="1">
    <v>146.44</v>
  </a>
  <a r="1">
    <v>187.34</v>
  </a>
  <a r="1">
    <v>145.38</v>
  </a>
  <a r="1">
    <v>55.71</v>
  </a>
  <a r="1">
    <v>129.69999999999999</v>
  </a>
  <a r="1">
    <v>359.48</v>
  </a>
  <a r="1">
    <v>27.96</v>
  </a>
  <a r="1">
    <v>137.65</v>
  </a>
  <a r="1">
    <v>14.86</v>
  </a>
  <a r="1">
    <v>25.26</v>
  </a>
  <a r="1">
    <v>45.09</v>
  </a>
  <a r="1">
    <v>66.86</v>
  </a>
  <a r="46">
    <v t="r">0</v>
    <v t="e">#NULL!</v>
    <v t="e">#NULL!</v>
    <v t="r">1</v>
    <v t="r">33</v>
    <v t="r">3</v>
    <v t="r">34</v>
    <v t="r">35</v>
    <v t="r">36</v>
    <v t="e">#NULL!</v>
    <v t="e">#NULL!</v>
    <v t="r">37</v>
    <v t="r">8</v>
    <v t="r">38</v>
    <v t="e">#NULL!</v>
    <v t="r">39</v>
    <v t="e">#NULL!</v>
    <v t="e">#NULL!</v>
    <v t="r">40</v>
    <v t="r">41</v>
    <v t="r">42</v>
    <v t="r">43</v>
    <v t="r">44</v>
    <v t="r">45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48">
  <rv s="0">
    <fb>157.21</fb>
    <v>0</v>
  </rv>
  <rv s="0">
    <fb>120.6</fb>
    <v>0</v>
  </rv>
  <rv s="0">
    <fb>14.86</fb>
    <v>0</v>
  </rv>
  <rv s="0">
    <fb>55.71</fb>
    <v>0</v>
  </rv>
  <rv s="0">
    <fb>146.44</fb>
    <v>0</v>
  </rv>
  <rv s="0">
    <fb>137.65</fb>
    <v>0</v>
  </rv>
  <rv s="0">
    <fb>359.48</fb>
    <v>0</v>
  </rv>
  <rv s="0">
    <fb>488.29</fb>
    <v>0</v>
  </rv>
  <rv s="0">
    <fb>33.29</fb>
    <v>0</v>
  </rv>
  <rv s="0">
    <fb>66.86</fb>
    <v>0</v>
  </rv>
  <rv s="0">
    <fb>129.69999999999999</fb>
    <v>0</v>
  </rv>
  <rv s="0">
    <fb>45.09</fb>
    <v>0</v>
  </rv>
  <rv s="0">
    <fb>145.38</fb>
    <v>0</v>
  </rv>
  <rv s="0">
    <fb>27.96</fb>
    <v>0</v>
  </rv>
  <rv s="0">
    <fb>25.26</fb>
    <v>0</v>
  </rv>
  <rv s="0">
    <fb>147.29</fb>
    <v>0</v>
  </rv>
  <rv s="0">
    <fb>187.34</fb>
    <v>0</v>
  </rv>
  <rv s="1">
    <v>1</v>
    <v>YUM</v>
    <v>Weekly</v>
    <v>45746</v>
    <v>45752</v>
    <v>0</v>
    <v>1</v>
    <v>638793216000000000,638795034708381949,0</v>
    <v>0</v>
    <v>a26em7</v>
    <v>XNYS:YUM</v>
    <v>1</v>
  </rv>
  <rv s="1">
    <v>1</v>
    <v>FSLR</v>
    <v>Weekly</v>
    <v>45746</v>
    <v>45752</v>
    <v>0</v>
    <v>1</v>
    <v>638793216000000000,638795034708399555,0</v>
    <v>0</v>
    <v>a1tdvh</v>
    <v>XNAS:FSLR</v>
    <v>2</v>
  </rv>
  <rv s="1">
    <v>1</v>
    <v>TSM</v>
    <v>Weekly</v>
    <v>45746</v>
    <v>45752</v>
    <v>0</v>
    <v>1</v>
    <v>638793216000000000,638795034708162439,0</v>
    <v>0</v>
    <v>a24kjc</v>
    <v>XNYS:TSM</v>
    <v>3</v>
  </rv>
  <rv s="1">
    <v>1</v>
    <v>MA</v>
    <v>Weekly</v>
    <v>45746</v>
    <v>45752</v>
    <v>0</v>
    <v>1</v>
    <v>638793216000000000,638795034708357036,0</v>
    <v>0</v>
    <v>a1x8w7</v>
    <v>XNYS:MA</v>
    <v>4</v>
  </rv>
  <rv s="1">
    <v>1</v>
    <v>PEP</v>
    <v>Weekly</v>
    <v>45746</v>
    <v>45752</v>
    <v>0</v>
    <v>1</v>
    <v>638793216000000000,638795034708451159,0</v>
    <v>0</v>
    <v>axyhnm</v>
    <v>XNAS:PEP</v>
    <v>5</v>
  </rv>
  <rv s="1">
    <v>1</v>
    <v>AAPL</v>
    <v>Weekly</v>
    <v>45746</v>
    <v>45752</v>
    <v>0</v>
    <v>1</v>
    <v>638793216000000000,638795034708014416,0</v>
    <v>0</v>
    <v>a1mou2</v>
    <v>XNAS:AAPL</v>
    <v>6</v>
  </rv>
  <rv s="1">
    <v>1</v>
    <v>GOOGL</v>
    <v>Weekly</v>
    <v>45746</v>
    <v>45752</v>
    <v>0</v>
    <v>1</v>
    <v>638793216000000000,638795034708263149,0</v>
    <v>0</v>
    <v>a1u3rw</v>
    <v>XNAS:GOOGL</v>
    <v>7</v>
  </rv>
  <rv s="1">
    <v>1</v>
    <v>MO</v>
    <v>Weekly</v>
    <v>45746</v>
    <v>45752</v>
    <v>0</v>
    <v>1</v>
    <v>638793216000000000,638795034708459782,0</v>
    <v>0</v>
    <v>a1xtpr</v>
    <v>XNYS:MO</v>
    <v>8</v>
  </rv>
  <rv s="1">
    <v>1</v>
    <v>INGR</v>
    <v>Weekly</v>
    <v>45746</v>
    <v>45752</v>
    <v>0</v>
    <v>1</v>
    <v>638793216000000000,638795034708432602,0</v>
    <v>0</v>
    <v>a1vkp2</v>
    <v>XNYS:INGR</v>
    <v>9</v>
  </rv>
  <rv s="1">
    <v>1</v>
    <v>MSFT</v>
    <v>Weekly</v>
    <v>45746</v>
    <v>45752</v>
    <v>0</v>
    <v>1</v>
    <v>638793216000000000,638795034708025303,0</v>
    <v>0</v>
    <v>a1xzim</v>
    <v>XNAS:MSFT</v>
    <v>10</v>
  </rv>
  <rv s="1">
    <v>1</v>
    <v>DAR</v>
    <v>Weekly</v>
    <v>45746</v>
    <v>45752</v>
    <v>0</v>
    <v>1</v>
    <v>638793216000000000,638795034708293893,0</v>
    <v>0</v>
    <v>a1qqk2</v>
    <v>XNYS:DAR</v>
    <v>11</v>
  </rv>
  <rv s="1">
    <v>1</v>
    <v>KMB</v>
    <v>Weekly</v>
    <v>45746</v>
    <v>45752</v>
    <v>0</v>
    <v>1</v>
    <v>638793216000000000,638795034708106590,0</v>
    <v>0</v>
    <v>a1wjz2</v>
    <v>XNYS:KMB</v>
    <v>12</v>
  </rv>
  <rv s="1">
    <v>1</v>
    <v>APA</v>
    <v>Weekly</v>
    <v>45746</v>
    <v>45752</v>
    <v>0</v>
    <v>1</v>
    <v>638793216000000000,638795034708308346,0</v>
    <v>0</v>
    <v>a1nkur</v>
    <v>XNAS:APA</v>
    <v>13</v>
  </rv>
  <rv s="1">
    <v>1</v>
    <v>AGIO</v>
    <v>Weekly</v>
    <v>45746</v>
    <v>45752</v>
    <v>0</v>
    <v>1</v>
    <v>638793216000000000,638795034708068701,0</v>
    <v>0</v>
    <v>a1n2qh</v>
    <v>XNAS:AGIO</v>
    <v>14</v>
  </rv>
  <rv s="1">
    <v>1</v>
    <v>EXC</v>
    <v>Weekly</v>
    <v>45746</v>
    <v>45752</v>
    <v>0</v>
    <v>1</v>
    <v>638793216000000000,638795034708500575,0</v>
    <v>0</v>
    <v>a1shjc</v>
    <v>XNAS:EXC</v>
    <v>15</v>
  </rv>
  <rv s="1">
    <v>1</v>
    <v>NEE</v>
    <v>Weekly</v>
    <v>45746</v>
    <v>45752</v>
    <v>0</v>
    <v>1</v>
    <v>638793216000000000,638795034707985245,0</v>
    <v>0</v>
    <v>a1ye2w</v>
    <v>XNYS:NEE</v>
    <v>16</v>
  </rv>
  <rv s="0">
    <fb>17.670000000000002</fb>
    <v>0</v>
  </rv>
  <rv s="0">
    <fb>148.07499999999999</fb>
    <v>0</v>
  </rv>
  <rv s="0">
    <fb>141.07</fb>
    <v>0</v>
  </rv>
  <rv s="0">
    <fb>367.24</fb>
    <v>0</v>
  </rv>
  <rv s="0">
    <fb>527</fb>
    <v>0</v>
  </rv>
  <rv s="0">
    <fb>70.13</fb>
    <v>0</v>
  </rv>
  <rv s="0">
    <fb>133.49</fb>
    <v>0</v>
  </rv>
  <rv s="0">
    <fb>45.325000000000003</fb>
    <v>0</v>
  </rv>
  <rv s="0">
    <fb>150.38999999999999</fb>
    <v>0</v>
  </rv>
  <rv s="0">
    <fb>30.14</fb>
    <v>0</v>
  </rv>
  <rv s="0">
    <fb>26.655000000000001</fb>
    <v>0</v>
  </rv>
  <rv s="0">
    <fb>153.61000000000001</fb>
    <v>0</v>
  </rv>
  <rv s="0">
    <fb>201.25</fb>
    <v>0</v>
  </rv>
  <rv s="2">
    <v>17</v>
  </rv>
  <rv s="3">
    <v>{F7C2E8EE-41B2-4379-9483-1E1726C2B887}</v>
    <v>0</v>
    <v>2</v>
    <v>46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Low" t="a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3">
    <spb s="0">
      <v>1</v>
    </spb>
    <spb s="1">
      <v>1</v>
      <v>2</v>
    </spb>
    <spb s="2">
      <v>0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Low" t="i"/>
    <k n="Date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0" formatCode="General"/>
    </x:dxf>
    <x:dxf>
      <x:numFmt numFmtId="19" formatCode="m/d/yyyy"/>
    </x:dxf>
  </dxfs>
  <richProperties>
    <rPr n="NumberFormat" t="s"/>
  </richProperties>
  <richStyles>
    <rSty dxfid="0">
      <rpv i="0">_([$$-en-US]* #,##0.00_);_([$$-en-US]* (#,##0.00);_([$$-en-US]* "-"??_);_(@_)</rpv>
    </rSty>
    <rSty dxfid="1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"/>
  <sheetViews>
    <sheetView tabSelected="1" workbookViewId="0">
      <selection activeCell="O2" sqref="O2"/>
    </sheetView>
  </sheetViews>
  <sheetFormatPr defaultRowHeight="15" outlineLevelCol="1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 outlineLevel="1"/>
    <col min="5" max="5" width="10.5703125" style="2" customWidth="1" outlineLevel="1"/>
    <col min="6" max="6" width="10.5703125" style="1" customWidth="1" outlineLevel="1"/>
    <col min="7" max="7" width="11.5703125" style="1" customWidth="1" outlineLevel="1"/>
    <col min="8" max="8" width="9.85546875" style="10" customWidth="1" outlineLevel="1"/>
    <col min="9" max="9" width="11.42578125" style="10" customWidth="1" outlineLevel="1"/>
    <col min="10" max="10" width="9.140625" style="10" customWidth="1" outlineLevel="1"/>
    <col min="11" max="11" width="7.5703125" style="10" customWidth="1" outlineLevel="1"/>
    <col min="12" max="12" width="12.7109375" style="10" customWidth="1" outlineLevel="1"/>
    <col min="13" max="13" width="11.42578125" customWidth="1" outlineLevel="1"/>
    <col min="14" max="14" width="14.28515625" customWidth="1" outlineLevel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140</v>
      </c>
      <c r="M1" s="16" t="s">
        <v>64</v>
      </c>
      <c r="N1" s="16" t="s">
        <v>110</v>
      </c>
      <c r="O1" s="16" t="s">
        <v>134</v>
      </c>
      <c r="P1" s="16" t="s">
        <v>135</v>
      </c>
      <c r="Q1" s="16" t="s">
        <v>136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36</v>
      </c>
      <c r="B2" s="3" t="s">
        <v>21</v>
      </c>
      <c r="C2" t="s">
        <v>22</v>
      </c>
      <c r="D2" s="8">
        <v>45484</v>
      </c>
      <c r="E2" s="2">
        <v>1.0547</v>
      </c>
      <c r="F2" s="1">
        <v>173.43</v>
      </c>
      <c r="G2" s="1">
        <f t="shared" ref="G2:G46" si="0">E2*F2</f>
        <v>182.91662099999999</v>
      </c>
      <c r="H2" s="13">
        <f>227.4/F2-1</f>
        <v>0.31119183532260863</v>
      </c>
      <c r="I2" s="11">
        <v>0.37</v>
      </c>
      <c r="J2" s="9">
        <f t="shared" ref="J2:J46" si="1">IFERROR(H2/I2,"")</f>
        <v>0.84105901438542874</v>
      </c>
      <c r="K2" s="9">
        <f t="shared" ref="K2:K46" si="2">IFERROR(J2/SUBTOTAL(9,$J$2:$J$1048576),"")</f>
        <v>4.3266008987418975E-2</v>
      </c>
      <c r="L2" s="9">
        <f t="shared" ref="L2:L46" si="3">I2*G2</f>
        <v>67.679149769999995</v>
      </c>
      <c r="M2" s="12">
        <f>F2/(1-(F2*(1+H2)-F2)/(F2*(1+H2)))</f>
        <v>227.40000000000006</v>
      </c>
      <c r="N2" s="12">
        <f t="shared" ref="N2:N46" si="4">M2*E2</f>
        <v>239.83878000000007</v>
      </c>
      <c r="O2" s="12" cm="1" vm="1">
        <f t="array" aca="1" ref="O2" ca="1">_xlfn.STOCKHISTORY(C2,TODAY()-1,TODAY(),1,0,4)</f>
        <v>157.21</v>
      </c>
      <c r="P2" s="12">
        <f t="shared" ref="P2:P46" ca="1" si="5">IFERROR(O2*E2,G2)</f>
        <v>165.80938700000002</v>
      </c>
      <c r="Q2" s="12">
        <f t="shared" ref="Q2:Q46" ca="1" si="6">P2-G2</f>
        <v>-17.107233999999977</v>
      </c>
      <c r="R2" s="12">
        <f t="shared" ref="R2:R46" si="7">F2/(1+I2-H2)</f>
        <v>163.79737688634319</v>
      </c>
      <c r="S2" s="12">
        <f t="shared" ref="S2:S46" si="8">M2-F2</f>
        <v>53.970000000000056</v>
      </c>
      <c r="T2" s="12">
        <f t="shared" ref="T2:T46" si="9">0.5*(R2-F2)</f>
        <v>-4.8163115568284098</v>
      </c>
      <c r="U2" s="15">
        <f t="shared" ref="U2:U46" si="10">S2+T2</f>
        <v>49.153688443171646</v>
      </c>
      <c r="V2" s="12">
        <f t="shared" ref="V2:V46" si="11">MAX($U$2:$U$277)-U2</f>
        <v>15.596311556828354</v>
      </c>
      <c r="W2" s="9">
        <f t="shared" ref="W2:W46" si="12">IFERROR((SUBTOTAL(109,$V$2:$V$1048576)/V2)/SUBTOTAL(109,$V$2:$V$1048576),0)</f>
        <v>6.4117724011622579E-2</v>
      </c>
      <c r="X2" s="9">
        <f t="shared" ref="X2:X46" si="13">V2/MAX($V$2:$V$28)</f>
        <v>8.5551657287558217E-2</v>
      </c>
    </row>
    <row r="3" spans="1:24" x14ac:dyDescent="0.25">
      <c r="A3" t="s">
        <v>115</v>
      </c>
      <c r="B3" s="7" t="s">
        <v>167</v>
      </c>
      <c r="C3" t="s">
        <v>166</v>
      </c>
      <c r="D3" s="8">
        <v>45743</v>
      </c>
      <c r="E3" s="2">
        <v>2</v>
      </c>
      <c r="F3" s="1">
        <v>73.5</v>
      </c>
      <c r="G3" s="1">
        <f t="shared" si="0"/>
        <v>147</v>
      </c>
      <c r="H3" s="13">
        <v>4.4999999999999998E-2</v>
      </c>
      <c r="I3" s="11">
        <v>0.16500000000000001</v>
      </c>
      <c r="J3" s="9">
        <f t="shared" si="1"/>
        <v>0.27272727272727271</v>
      </c>
      <c r="K3" s="9">
        <f t="shared" si="2"/>
        <v>1.4029717809462763E-2</v>
      </c>
      <c r="L3" s="9">
        <f t="shared" si="3"/>
        <v>24.255000000000003</v>
      </c>
      <c r="M3" s="12">
        <f>F3/(1-(F3*(1+H3)-F3)/(F3*(1+H3)))</f>
        <v>76.80749999999999</v>
      </c>
      <c r="N3" s="12">
        <f t="shared" si="4"/>
        <v>153.61499999999998</v>
      </c>
      <c r="O3" s="12">
        <v>74.14</v>
      </c>
      <c r="P3" s="12">
        <f t="shared" si="5"/>
        <v>148.28</v>
      </c>
      <c r="Q3" s="12">
        <f t="shared" si="6"/>
        <v>1.2800000000000011</v>
      </c>
      <c r="R3" s="12">
        <f t="shared" si="7"/>
        <v>65.625</v>
      </c>
      <c r="S3" s="12">
        <f t="shared" si="8"/>
        <v>3.3074999999999903</v>
      </c>
      <c r="T3" s="12">
        <f t="shared" si="9"/>
        <v>-3.9375</v>
      </c>
      <c r="U3" s="15">
        <f t="shared" si="10"/>
        <v>-0.63000000000000966</v>
      </c>
      <c r="V3" s="12">
        <f t="shared" si="11"/>
        <v>65.38000000000001</v>
      </c>
      <c r="W3" s="9">
        <f t="shared" si="12"/>
        <v>1.5295197308045272E-2</v>
      </c>
      <c r="X3" s="9">
        <f t="shared" si="13"/>
        <v>0.35863398426480375</v>
      </c>
    </row>
    <row r="4" spans="1:24" x14ac:dyDescent="0.25">
      <c r="A4" t="s">
        <v>115</v>
      </c>
      <c r="B4" s="7" t="s">
        <v>128</v>
      </c>
      <c r="C4" t="s">
        <v>119</v>
      </c>
      <c r="D4" s="8">
        <v>45688</v>
      </c>
      <c r="E4" s="2">
        <v>3</v>
      </c>
      <c r="F4" s="1">
        <v>44.95</v>
      </c>
      <c r="G4" s="1">
        <f t="shared" si="0"/>
        <v>134.85000000000002</v>
      </c>
      <c r="H4" s="13">
        <v>8.3000000000000004E-2</v>
      </c>
      <c r="I4" s="11">
        <v>0.16800000000000001</v>
      </c>
      <c r="J4" s="9">
        <f t="shared" si="1"/>
        <v>0.49404761904761907</v>
      </c>
      <c r="K4" s="9">
        <f t="shared" si="2"/>
        <v>2.5414945158808541E-2</v>
      </c>
      <c r="L4" s="9">
        <f t="shared" si="3"/>
        <v>22.654800000000005</v>
      </c>
      <c r="M4" s="12">
        <f>F4/(1-(F4*(1+H4)-F4)/(F4*(1+H4)))</f>
        <v>48.68085</v>
      </c>
      <c r="N4" s="12">
        <f t="shared" si="4"/>
        <v>146.04255000000001</v>
      </c>
      <c r="O4" s="12">
        <v>42.29</v>
      </c>
      <c r="P4" s="12">
        <f t="shared" si="5"/>
        <v>126.87</v>
      </c>
      <c r="Q4" s="12">
        <f t="shared" si="6"/>
        <v>-7.9800000000000182</v>
      </c>
      <c r="R4" s="12">
        <f t="shared" si="7"/>
        <v>41.428571428571431</v>
      </c>
      <c r="S4" s="12">
        <f t="shared" si="8"/>
        <v>3.7308499999999967</v>
      </c>
      <c r="T4" s="12">
        <f t="shared" si="9"/>
        <v>-1.7607142857142861</v>
      </c>
      <c r="U4" s="15">
        <f t="shared" si="10"/>
        <v>1.9701357142857105</v>
      </c>
      <c r="V4" s="12">
        <f t="shared" si="11"/>
        <v>62.779864285714289</v>
      </c>
      <c r="W4" s="9">
        <f t="shared" si="12"/>
        <v>1.5928674127885178E-2</v>
      </c>
      <c r="X4" s="9">
        <f t="shared" si="13"/>
        <v>0.34437125818888603</v>
      </c>
    </row>
    <row r="5" spans="1:24" x14ac:dyDescent="0.25">
      <c r="A5" t="s">
        <v>40</v>
      </c>
      <c r="B5" s="7" t="s">
        <v>47</v>
      </c>
      <c r="C5" t="s">
        <v>46</v>
      </c>
      <c r="D5" s="8">
        <v>45511</v>
      </c>
      <c r="E5" s="2">
        <v>0.57440000000000002</v>
      </c>
      <c r="F5" s="1">
        <v>158.26</v>
      </c>
      <c r="G5" s="1">
        <f t="shared" si="0"/>
        <v>90.904544000000001</v>
      </c>
      <c r="H5" s="13">
        <f>196.02/F5-1</f>
        <v>0.23859471755339334</v>
      </c>
      <c r="I5" s="11">
        <v>0.52980000000000005</v>
      </c>
      <c r="J5" s="9">
        <f t="shared" si="1"/>
        <v>0.45034865525366802</v>
      </c>
      <c r="K5" s="9">
        <f t="shared" si="2"/>
        <v>2.3166970013293306E-2</v>
      </c>
      <c r="L5" s="9">
        <f t="shared" si="3"/>
        <v>48.161227411200002</v>
      </c>
      <c r="M5" s="12">
        <f>F5/(1-(F5*(1+H5)-F5)/(F5*(1+H5)))</f>
        <v>196.02</v>
      </c>
      <c r="N5" s="12">
        <f t="shared" si="4"/>
        <v>112.59388800000001</v>
      </c>
      <c r="O5" s="12" cm="1" vm="2">
        <f t="array" aca="1" ref="O5" ca="1">_xlfn.STOCKHISTORY(C5,TODAY()-1,TODAY(),1,0,4)</f>
        <v>120.6</v>
      </c>
      <c r="P5" s="12">
        <f t="shared" ca="1" si="5"/>
        <v>69.272639999999996</v>
      </c>
      <c r="Q5" s="12">
        <f t="shared" ca="1" si="6"/>
        <v>-21.631904000000006</v>
      </c>
      <c r="R5" s="12">
        <f t="shared" si="7"/>
        <v>122.56765221725638</v>
      </c>
      <c r="S5" s="12">
        <f t="shared" si="8"/>
        <v>37.760000000000019</v>
      </c>
      <c r="T5" s="12">
        <f t="shared" si="9"/>
        <v>-17.846173891371805</v>
      </c>
      <c r="U5" s="15">
        <f t="shared" si="10"/>
        <v>19.913826108628214</v>
      </c>
      <c r="V5" s="12">
        <f t="shared" si="11"/>
        <v>44.836173891371786</v>
      </c>
      <c r="W5" s="9">
        <f t="shared" si="12"/>
        <v>2.2303419609861909E-2</v>
      </c>
      <c r="X5" s="9">
        <f t="shared" si="13"/>
        <v>0.24594334172303811</v>
      </c>
    </row>
    <row r="6" spans="1:24" x14ac:dyDescent="0.25">
      <c r="A6" t="s">
        <v>40</v>
      </c>
      <c r="B6" s="7" t="s">
        <v>94</v>
      </c>
      <c r="C6" t="s">
        <v>94</v>
      </c>
      <c r="D6" s="8">
        <v>45627</v>
      </c>
      <c r="E6" s="2">
        <v>4.4473000000000003</v>
      </c>
      <c r="F6" s="1">
        <v>20.23</v>
      </c>
      <c r="G6" s="1">
        <f t="shared" si="0"/>
        <v>89.968879000000001</v>
      </c>
      <c r="H6" s="13">
        <f>M6/F6-1</f>
        <v>0.31389026198714776</v>
      </c>
      <c r="I6" s="11">
        <v>0.45929999999999999</v>
      </c>
      <c r="J6" s="9">
        <f t="shared" si="1"/>
        <v>0.68341010665610225</v>
      </c>
      <c r="K6" s="9">
        <f t="shared" si="2"/>
        <v>3.5156186796573202E-2</v>
      </c>
      <c r="L6" s="9">
        <f t="shared" si="3"/>
        <v>41.322706124699998</v>
      </c>
      <c r="M6" s="12">
        <v>26.58</v>
      </c>
      <c r="N6" s="12">
        <f t="shared" si="4"/>
        <v>118.209234</v>
      </c>
      <c r="O6" s="12" cm="1" vm="3">
        <f t="array" aca="1" ref="O6" ca="1">_xlfn.STOCKHISTORY(C6,TODAY()-1,TODAY(),1,0,4)</f>
        <v>14.86</v>
      </c>
      <c r="P6" s="12">
        <f t="shared" ca="1" si="5"/>
        <v>78.583791000000005</v>
      </c>
      <c r="Q6" s="12">
        <f t="shared" ca="1" si="6"/>
        <v>-11.385087999999996</v>
      </c>
      <c r="R6" s="12">
        <f t="shared" si="7"/>
        <v>17.661801998555216</v>
      </c>
      <c r="S6" s="12">
        <f t="shared" si="8"/>
        <v>6.3499999999999979</v>
      </c>
      <c r="T6" s="12">
        <f t="shared" si="9"/>
        <v>-1.2840990007223922</v>
      </c>
      <c r="U6" s="15">
        <f t="shared" si="10"/>
        <v>5.0659009992776056</v>
      </c>
      <c r="V6" s="12">
        <f t="shared" si="11"/>
        <v>59.684099000722398</v>
      </c>
      <c r="W6" s="9">
        <f t="shared" si="12"/>
        <v>1.6754881396264291E-2</v>
      </c>
      <c r="X6" s="9">
        <f t="shared" si="13"/>
        <v>0.32738981679235335</v>
      </c>
    </row>
    <row r="7" spans="1:24" x14ac:dyDescent="0.25">
      <c r="A7" t="s">
        <v>38</v>
      </c>
      <c r="B7" s="5" t="s">
        <v>6</v>
      </c>
      <c r="C7" t="s">
        <v>5</v>
      </c>
      <c r="D7" s="8">
        <v>45553</v>
      </c>
      <c r="E7" s="2">
        <v>1.5346</v>
      </c>
      <c r="F7" s="1">
        <v>51.96</v>
      </c>
      <c r="G7" s="1">
        <f t="shared" si="0"/>
        <v>79.737815999999995</v>
      </c>
      <c r="H7" s="13">
        <f>16.68%+7%/4</f>
        <v>0.18430000000000002</v>
      </c>
      <c r="I7" s="11">
        <v>0.19980000000000001</v>
      </c>
      <c r="J7" s="9">
        <f t="shared" si="1"/>
        <v>0.92242242242242245</v>
      </c>
      <c r="K7" s="9">
        <f t="shared" si="2"/>
        <v>4.74515297215947E-2</v>
      </c>
      <c r="L7" s="9">
        <f t="shared" si="3"/>
        <v>15.9316156368</v>
      </c>
      <c r="M7" s="12">
        <f t="shared" ref="M7:M42" si="14">F7/(1-(F7*(1+H7)-F7)/(F7*(1+H7)))</f>
        <v>61.536227999999994</v>
      </c>
      <c r="N7" s="12">
        <f t="shared" si="4"/>
        <v>94.433495488799991</v>
      </c>
      <c r="O7" s="12" cm="1" vm="4">
        <f t="array" aca="1" ref="O7" ca="1">_xlfn.STOCKHISTORY(C7,TODAY()-1,TODAY(),1,0,4)</f>
        <v>55.71</v>
      </c>
      <c r="P7" s="12">
        <f t="shared" ca="1" si="5"/>
        <v>85.492565999999997</v>
      </c>
      <c r="Q7" s="12">
        <f t="shared" ca="1" si="6"/>
        <v>5.7547500000000014</v>
      </c>
      <c r="R7" s="12">
        <f t="shared" si="7"/>
        <v>51.166912850812416</v>
      </c>
      <c r="S7" s="12">
        <f t="shared" si="8"/>
        <v>9.5762279999999933</v>
      </c>
      <c r="T7" s="12">
        <f t="shared" si="9"/>
        <v>-0.39654357459379241</v>
      </c>
      <c r="U7" s="15">
        <f t="shared" si="10"/>
        <v>9.1796844254062009</v>
      </c>
      <c r="V7" s="12">
        <f t="shared" si="11"/>
        <v>55.570315574593799</v>
      </c>
      <c r="W7" s="9">
        <f t="shared" si="12"/>
        <v>1.7995219024042938E-2</v>
      </c>
      <c r="X7" s="9">
        <f t="shared" si="13"/>
        <v>0.30482416153822345</v>
      </c>
    </row>
    <row r="8" spans="1:24" x14ac:dyDescent="0.25">
      <c r="A8" t="s">
        <v>38</v>
      </c>
      <c r="B8" s="5" t="s">
        <v>15</v>
      </c>
      <c r="C8" t="s">
        <v>16</v>
      </c>
      <c r="D8" s="8">
        <v>45460</v>
      </c>
      <c r="E8" s="2">
        <v>0.5</v>
      </c>
      <c r="F8" s="1">
        <v>157.79</v>
      </c>
      <c r="G8" s="1">
        <f t="shared" si="0"/>
        <v>78.894999999999996</v>
      </c>
      <c r="H8" s="13">
        <v>6.7199999999999996E-2</v>
      </c>
      <c r="I8" s="11">
        <v>0.16439999999999999</v>
      </c>
      <c r="J8" s="9">
        <f t="shared" si="1"/>
        <v>0.40875912408759124</v>
      </c>
      <c r="K8" s="9">
        <f t="shared" si="2"/>
        <v>2.1027508930970953E-2</v>
      </c>
      <c r="L8" s="9">
        <f t="shared" si="3"/>
        <v>12.970337999999998</v>
      </c>
      <c r="M8" s="12">
        <f t="shared" si="14"/>
        <v>168.39348799999999</v>
      </c>
      <c r="N8" s="12">
        <f t="shared" si="4"/>
        <v>84.196743999999995</v>
      </c>
      <c r="O8" s="12" cm="1" vm="5">
        <f t="array" aca="1" ref="O8" ca="1">_xlfn.STOCKHISTORY(C8,TODAY()-1,TODAY(),1,0,4)</f>
        <v>146.44</v>
      </c>
      <c r="P8" s="12">
        <f t="shared" ca="1" si="5"/>
        <v>74.037499999999994</v>
      </c>
      <c r="Q8" s="12">
        <f t="shared" ca="1" si="6"/>
        <v>-4.8575000000000017</v>
      </c>
      <c r="R8" s="12">
        <f t="shared" si="7"/>
        <v>143.81152023332115</v>
      </c>
      <c r="S8" s="12">
        <f t="shared" si="8"/>
        <v>10.603487999999999</v>
      </c>
      <c r="T8" s="12">
        <f t="shared" si="9"/>
        <v>-6.9892398833394225</v>
      </c>
      <c r="U8" s="15">
        <f t="shared" si="10"/>
        <v>3.6142481166605762</v>
      </c>
      <c r="V8" s="12">
        <f t="shared" si="11"/>
        <v>61.135751883339424</v>
      </c>
      <c r="W8" s="9">
        <f t="shared" si="12"/>
        <v>1.6357040998010816E-2</v>
      </c>
      <c r="X8" s="9">
        <f t="shared" si="13"/>
        <v>0.33535268092607057</v>
      </c>
    </row>
    <row r="9" spans="1:24" x14ac:dyDescent="0.25">
      <c r="A9" t="s">
        <v>38</v>
      </c>
      <c r="B9" s="5" t="s">
        <v>19</v>
      </c>
      <c r="C9" t="s">
        <v>20</v>
      </c>
      <c r="D9" s="8">
        <v>45544</v>
      </c>
      <c r="E9" s="2">
        <v>0.5</v>
      </c>
      <c r="F9" s="1">
        <v>138.28</v>
      </c>
      <c r="G9" s="1">
        <f t="shared" si="0"/>
        <v>69.14</v>
      </c>
      <c r="H9" s="13">
        <v>7.0000000000000007E-2</v>
      </c>
      <c r="I9" s="11">
        <v>0.18340000000000001</v>
      </c>
      <c r="J9" s="9">
        <f t="shared" si="1"/>
        <v>0.38167938931297712</v>
      </c>
      <c r="K9" s="9">
        <f t="shared" si="2"/>
        <v>1.9634465127746872E-2</v>
      </c>
      <c r="L9" s="9">
        <f t="shared" si="3"/>
        <v>12.680276000000001</v>
      </c>
      <c r="M9" s="12">
        <f t="shared" si="14"/>
        <v>147.95960000000002</v>
      </c>
      <c r="N9" s="12">
        <f t="shared" si="4"/>
        <v>73.979800000000012</v>
      </c>
      <c r="O9" s="12" cm="1" vm="6">
        <f t="array" aca="1" ref="O9" ca="1">_xlfn.STOCKHISTORY(C9,TODAY()-1,TODAY(),1,0,4)</f>
        <v>137.65</v>
      </c>
      <c r="P9" s="12">
        <f t="shared" ca="1" si="5"/>
        <v>70.534999999999997</v>
      </c>
      <c r="Q9" s="12">
        <f t="shared" ca="1" si="6"/>
        <v>1.394999999999996</v>
      </c>
      <c r="R9" s="12">
        <f t="shared" si="7"/>
        <v>124.19615591880726</v>
      </c>
      <c r="S9" s="12">
        <f t="shared" si="8"/>
        <v>9.679600000000022</v>
      </c>
      <c r="T9" s="12">
        <f t="shared" si="9"/>
        <v>-7.0419220405963685</v>
      </c>
      <c r="U9" s="15">
        <f t="shared" si="10"/>
        <v>2.6376779594036535</v>
      </c>
      <c r="V9" s="12">
        <f t="shared" si="11"/>
        <v>62.112322040596347</v>
      </c>
      <c r="W9" s="9">
        <f t="shared" si="12"/>
        <v>1.6099865004988934E-2</v>
      </c>
      <c r="X9" s="9">
        <f t="shared" si="13"/>
        <v>0.34070953694337186</v>
      </c>
    </row>
    <row r="10" spans="1:24" x14ac:dyDescent="0.25">
      <c r="A10" t="s">
        <v>36</v>
      </c>
      <c r="B10" s="3" t="s">
        <v>11</v>
      </c>
      <c r="C10" t="s">
        <v>12</v>
      </c>
      <c r="D10" s="8">
        <v>45574</v>
      </c>
      <c r="E10" s="2">
        <v>0.16059999999999999</v>
      </c>
      <c r="F10" s="1">
        <v>421.18</v>
      </c>
      <c r="G10" s="1">
        <f t="shared" si="0"/>
        <v>67.641508000000002</v>
      </c>
      <c r="H10" s="13">
        <v>0.15</v>
      </c>
      <c r="I10" s="11">
        <v>0.1963</v>
      </c>
      <c r="J10" s="9">
        <f t="shared" si="1"/>
        <v>0.76413652572592972</v>
      </c>
      <c r="K10" s="9">
        <f t="shared" si="2"/>
        <v>3.9308939354072953E-2</v>
      </c>
      <c r="L10" s="9">
        <f t="shared" si="3"/>
        <v>13.278028020400001</v>
      </c>
      <c r="M10" s="12">
        <f t="shared" si="14"/>
        <v>484.35699999999997</v>
      </c>
      <c r="N10" s="12">
        <f t="shared" si="4"/>
        <v>77.787734199999989</v>
      </c>
      <c r="O10" s="12" cm="1" vm="7">
        <f t="array" aca="1" ref="O10" ca="1">_xlfn.STOCKHISTORY(C10,TODAY()-1,TODAY(),1,0,4)</f>
        <v>359.48</v>
      </c>
      <c r="P10" s="12">
        <f t="shared" ca="1" si="5"/>
        <v>58.978743999999999</v>
      </c>
      <c r="Q10" s="12">
        <f t="shared" ca="1" si="6"/>
        <v>-8.6627640000000028</v>
      </c>
      <c r="R10" s="12">
        <f t="shared" si="7"/>
        <v>402.54229188569246</v>
      </c>
      <c r="S10" s="12">
        <f t="shared" si="8"/>
        <v>63.176999999999964</v>
      </c>
      <c r="T10" s="12">
        <f t="shared" si="9"/>
        <v>-9.3188540571537715</v>
      </c>
      <c r="U10" s="15">
        <f t="shared" si="10"/>
        <v>53.858145942846193</v>
      </c>
      <c r="V10" s="12">
        <f t="shared" si="11"/>
        <v>10.891854057153807</v>
      </c>
      <c r="W10" s="9">
        <f t="shared" si="12"/>
        <v>9.1811733314880073E-2</v>
      </c>
      <c r="X10" s="9">
        <f t="shared" si="13"/>
        <v>5.9745931730618491E-2</v>
      </c>
    </row>
    <row r="11" spans="1:24" x14ac:dyDescent="0.25">
      <c r="A11" t="s">
        <v>37</v>
      </c>
      <c r="B11" s="4" t="s">
        <v>85</v>
      </c>
      <c r="C11" s="32" t="s">
        <v>86</v>
      </c>
      <c r="D11" s="8">
        <v>45717</v>
      </c>
      <c r="E11" s="2">
        <v>3.9380999999999999</v>
      </c>
      <c r="F11" s="1">
        <v>16.670000000000002</v>
      </c>
      <c r="G11" s="1">
        <f t="shared" si="0"/>
        <v>65.648127000000002</v>
      </c>
      <c r="H11" s="13">
        <v>9.0200000000000002E-2</v>
      </c>
      <c r="I11" s="11">
        <v>0.41289999999999999</v>
      </c>
      <c r="J11" s="9">
        <f t="shared" si="1"/>
        <v>0.21845483167837249</v>
      </c>
      <c r="K11" s="9">
        <f t="shared" si="2"/>
        <v>1.1237818689391259E-2</v>
      </c>
      <c r="L11" s="9">
        <f t="shared" si="3"/>
        <v>27.1061116383</v>
      </c>
      <c r="M11" s="12">
        <f t="shared" si="14"/>
        <v>18.173634000000003</v>
      </c>
      <c r="N11" s="12">
        <f t="shared" si="4"/>
        <v>71.569588055400018</v>
      </c>
      <c r="O11" s="46">
        <v>17.55</v>
      </c>
      <c r="P11" s="12">
        <f t="shared" si="5"/>
        <v>69.113655000000008</v>
      </c>
      <c r="Q11" s="12">
        <f t="shared" si="6"/>
        <v>3.4655280000000062</v>
      </c>
      <c r="R11" s="12">
        <f t="shared" si="7"/>
        <v>12.603008996749075</v>
      </c>
      <c r="S11" s="12">
        <f t="shared" si="8"/>
        <v>1.5036340000000017</v>
      </c>
      <c r="T11" s="12">
        <f t="shared" si="9"/>
        <v>-2.0334955016254632</v>
      </c>
      <c r="U11" s="15">
        <f t="shared" si="10"/>
        <v>-0.52986150162546153</v>
      </c>
      <c r="V11" s="12">
        <f t="shared" si="11"/>
        <v>65.279861501625462</v>
      </c>
      <c r="W11" s="9">
        <f t="shared" si="12"/>
        <v>1.531865995112597E-2</v>
      </c>
      <c r="X11" s="9">
        <f t="shared" si="13"/>
        <v>0.35808468679385913</v>
      </c>
    </row>
    <row r="12" spans="1:24" x14ac:dyDescent="0.25">
      <c r="A12" t="s">
        <v>38</v>
      </c>
      <c r="B12" s="5" t="s">
        <v>101</v>
      </c>
      <c r="C12" s="32" t="s">
        <v>98</v>
      </c>
      <c r="D12" s="8">
        <v>45630</v>
      </c>
      <c r="E12" s="2">
        <v>3</v>
      </c>
      <c r="F12" s="1">
        <v>20.71</v>
      </c>
      <c r="G12" s="1">
        <f t="shared" si="0"/>
        <v>62.13</v>
      </c>
      <c r="H12" s="13">
        <v>0.2</v>
      </c>
      <c r="I12" s="11">
        <v>0.2</v>
      </c>
      <c r="J12" s="9">
        <f t="shared" si="1"/>
        <v>1</v>
      </c>
      <c r="K12" s="9">
        <f t="shared" si="2"/>
        <v>5.1442298634696799E-2</v>
      </c>
      <c r="L12" s="9">
        <f t="shared" si="3"/>
        <v>12.426000000000002</v>
      </c>
      <c r="M12" s="12">
        <f t="shared" si="14"/>
        <v>24.852</v>
      </c>
      <c r="N12" s="12">
        <f t="shared" si="4"/>
        <v>74.555999999999997</v>
      </c>
      <c r="O12" s="46">
        <v>22.45</v>
      </c>
      <c r="P12" s="12">
        <f t="shared" si="5"/>
        <v>67.349999999999994</v>
      </c>
      <c r="Q12" s="12">
        <f t="shared" si="6"/>
        <v>5.2199999999999918</v>
      </c>
      <c r="R12" s="12">
        <f t="shared" si="7"/>
        <v>20.71</v>
      </c>
      <c r="S12" s="12">
        <f t="shared" si="8"/>
        <v>4.1419999999999995</v>
      </c>
      <c r="T12" s="12">
        <f t="shared" si="9"/>
        <v>0</v>
      </c>
      <c r="U12" s="15">
        <f t="shared" si="10"/>
        <v>4.1419999999999995</v>
      </c>
      <c r="V12" s="12">
        <f t="shared" si="11"/>
        <v>60.608000000000004</v>
      </c>
      <c r="W12" s="9">
        <f t="shared" si="12"/>
        <v>1.6499472016895458E-2</v>
      </c>
      <c r="X12" s="9">
        <f t="shared" si="13"/>
        <v>0.33245776259286058</v>
      </c>
    </row>
    <row r="13" spans="1:24" x14ac:dyDescent="0.25">
      <c r="A13" t="s">
        <v>37</v>
      </c>
      <c r="B13" s="4" t="s">
        <v>8</v>
      </c>
      <c r="C13" t="s">
        <v>28</v>
      </c>
      <c r="D13" s="8">
        <v>45717</v>
      </c>
      <c r="E13" s="2">
        <v>0.11940000000000001</v>
      </c>
      <c r="F13" s="1">
        <v>505.42</v>
      </c>
      <c r="G13" s="1">
        <f t="shared" si="0"/>
        <v>60.347148000000004</v>
      </c>
      <c r="H13" s="13">
        <v>0.10929999999999999</v>
      </c>
      <c r="I13" s="11">
        <v>0.30499999999999999</v>
      </c>
      <c r="J13" s="9">
        <f t="shared" si="1"/>
        <v>0.35836065573770493</v>
      </c>
      <c r="K13" s="9">
        <f t="shared" si="2"/>
        <v>1.8434895871384787E-2</v>
      </c>
      <c r="L13" s="9">
        <f t="shared" si="3"/>
        <v>18.405880140000001</v>
      </c>
      <c r="M13" s="12">
        <f t="shared" si="14"/>
        <v>560.66240600000003</v>
      </c>
      <c r="N13" s="12">
        <f t="shared" si="4"/>
        <v>66.943091276400011</v>
      </c>
      <c r="O13" s="12" cm="1" vm="8">
        <f t="array" aca="1" ref="O13" ca="1">_xlfn.STOCKHISTORY(C13,TODAY()-1,TODAY(),1,0,4)</f>
        <v>488.29</v>
      </c>
      <c r="P13" s="12">
        <f t="shared" ca="1" si="5"/>
        <v>62.9238</v>
      </c>
      <c r="Q13" s="12">
        <f t="shared" ca="1" si="6"/>
        <v>2.5766519999999957</v>
      </c>
      <c r="R13" s="12">
        <f t="shared" si="7"/>
        <v>422.69800117086226</v>
      </c>
      <c r="S13" s="12">
        <f t="shared" si="8"/>
        <v>55.242406000000017</v>
      </c>
      <c r="T13" s="12">
        <f t="shared" si="9"/>
        <v>-41.36099941456888</v>
      </c>
      <c r="U13" s="15">
        <f t="shared" si="10"/>
        <v>13.881406585431137</v>
      </c>
      <c r="V13" s="12">
        <f t="shared" si="11"/>
        <v>50.868593414568863</v>
      </c>
      <c r="W13" s="9">
        <f t="shared" si="12"/>
        <v>1.9658495210398291E-2</v>
      </c>
      <c r="X13" s="9">
        <f t="shared" si="13"/>
        <v>0.27903344035199124</v>
      </c>
    </row>
    <row r="14" spans="1:24" x14ac:dyDescent="0.25">
      <c r="A14" t="s">
        <v>40</v>
      </c>
      <c r="B14" s="7" t="s">
        <v>103</v>
      </c>
      <c r="C14" t="s">
        <v>103</v>
      </c>
      <c r="D14" s="8">
        <v>45627</v>
      </c>
      <c r="E14" s="2">
        <v>1.5004999999999999</v>
      </c>
      <c r="F14" s="1">
        <v>40</v>
      </c>
      <c r="G14" s="1">
        <f t="shared" si="0"/>
        <v>60.019999999999996</v>
      </c>
      <c r="H14" s="13">
        <v>0.1</v>
      </c>
      <c r="I14" s="11">
        <v>0.2</v>
      </c>
      <c r="J14" s="9">
        <f t="shared" si="1"/>
        <v>0.5</v>
      </c>
      <c r="K14" s="9">
        <f t="shared" si="2"/>
        <v>2.57211493173484E-2</v>
      </c>
      <c r="L14" s="9">
        <f t="shared" si="3"/>
        <v>12.004</v>
      </c>
      <c r="M14" s="12">
        <f t="shared" si="14"/>
        <v>44</v>
      </c>
      <c r="N14" s="12">
        <f t="shared" si="4"/>
        <v>66.021999999999991</v>
      </c>
      <c r="O14" s="12" cm="1" vm="9">
        <f t="array" aca="1" ref="O14" ca="1">_xlfn.STOCKHISTORY(C14,TODAY()-1,TODAY(),1,0,4)</f>
        <v>33.29</v>
      </c>
      <c r="P14" s="12">
        <f t="shared" ca="1" si="5"/>
        <v>49.951644999999999</v>
      </c>
      <c r="Q14" s="12">
        <f t="shared" ca="1" si="6"/>
        <v>-10.068354999999997</v>
      </c>
      <c r="R14" s="12">
        <f t="shared" si="7"/>
        <v>36.363636363636367</v>
      </c>
      <c r="S14" s="12">
        <f t="shared" si="8"/>
        <v>4</v>
      </c>
      <c r="T14" s="12">
        <f t="shared" si="9"/>
        <v>-1.8181818181818166</v>
      </c>
      <c r="U14" s="15">
        <f t="shared" si="10"/>
        <v>2.1818181818181834</v>
      </c>
      <c r="V14" s="12">
        <f t="shared" si="11"/>
        <v>62.568181818181813</v>
      </c>
      <c r="W14" s="9">
        <f t="shared" si="12"/>
        <v>1.5982564475118054E-2</v>
      </c>
      <c r="X14" s="9">
        <f t="shared" si="13"/>
        <v>0.34321009993360652</v>
      </c>
    </row>
    <row r="15" spans="1:24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0.74609999999999999</v>
      </c>
      <c r="F15" s="1">
        <v>73.7</v>
      </c>
      <c r="G15" s="1">
        <f t="shared" si="0"/>
        <v>54.987569999999998</v>
      </c>
      <c r="H15" s="13">
        <v>0.1</v>
      </c>
      <c r="I15" s="11">
        <v>0.25990000000000002</v>
      </c>
      <c r="J15" s="9">
        <f t="shared" si="1"/>
        <v>0.38476337052712584</v>
      </c>
      <c r="K15" s="9">
        <f t="shared" si="2"/>
        <v>1.9793112210348903E-2</v>
      </c>
      <c r="L15" s="9">
        <f t="shared" si="3"/>
        <v>14.291269443000001</v>
      </c>
      <c r="M15" s="12">
        <f t="shared" si="14"/>
        <v>81.070000000000007</v>
      </c>
      <c r="N15" s="12">
        <f t="shared" si="4"/>
        <v>60.486327000000003</v>
      </c>
      <c r="O15" s="12" cm="1" vm="10">
        <f t="array" aca="1" ref="O15" ca="1">_xlfn.STOCKHISTORY(C15,TODAY()-1,TODAY(),1,0,4)</f>
        <v>66.86</v>
      </c>
      <c r="P15" s="12">
        <f t="shared" ca="1" si="5"/>
        <v>52.323992999999994</v>
      </c>
      <c r="Q15" s="12">
        <f t="shared" ca="1" si="6"/>
        <v>-2.6635770000000036</v>
      </c>
      <c r="R15" s="12">
        <f t="shared" si="7"/>
        <v>63.539960341408751</v>
      </c>
      <c r="S15" s="12">
        <f t="shared" si="8"/>
        <v>7.3700000000000045</v>
      </c>
      <c r="T15" s="12">
        <f t="shared" si="9"/>
        <v>-5.080019829295626</v>
      </c>
      <c r="U15" s="15">
        <f t="shared" si="10"/>
        <v>2.2899801707043785</v>
      </c>
      <c r="V15" s="12">
        <f t="shared" si="11"/>
        <v>62.460019829295618</v>
      </c>
      <c r="W15" s="9">
        <f t="shared" si="12"/>
        <v>1.6010241474995017E-2</v>
      </c>
      <c r="X15" s="9">
        <f t="shared" si="13"/>
        <v>0.34261679058793104</v>
      </c>
    </row>
    <row r="16" spans="1:24" x14ac:dyDescent="0.25">
      <c r="A16" t="s">
        <v>115</v>
      </c>
      <c r="B16" s="7" t="s">
        <v>129</v>
      </c>
      <c r="C16" t="s">
        <v>118</v>
      </c>
      <c r="D16" s="8">
        <v>45481</v>
      </c>
      <c r="E16" s="2">
        <v>1</v>
      </c>
      <c r="F16" s="1">
        <v>48.68</v>
      </c>
      <c r="G16" s="1">
        <f t="shared" si="0"/>
        <v>48.68</v>
      </c>
      <c r="H16" s="13">
        <v>0.1</v>
      </c>
      <c r="I16" s="11">
        <v>0.2</v>
      </c>
      <c r="J16" s="9">
        <f t="shared" si="1"/>
        <v>0.5</v>
      </c>
      <c r="K16" s="9">
        <f t="shared" si="2"/>
        <v>2.57211493173484E-2</v>
      </c>
      <c r="L16" s="9">
        <f t="shared" si="3"/>
        <v>9.7360000000000007</v>
      </c>
      <c r="M16" s="12">
        <f t="shared" si="14"/>
        <v>53.548000000000002</v>
      </c>
      <c r="N16" s="12">
        <f t="shared" si="4"/>
        <v>53.548000000000002</v>
      </c>
      <c r="O16" s="12">
        <v>40.35</v>
      </c>
      <c r="P16" s="12">
        <f t="shared" si="5"/>
        <v>40.35</v>
      </c>
      <c r="Q16" s="12">
        <f t="shared" si="6"/>
        <v>-8.3299999999999983</v>
      </c>
      <c r="R16" s="12">
        <f t="shared" si="7"/>
        <v>44.254545454545458</v>
      </c>
      <c r="S16" s="12">
        <f t="shared" si="8"/>
        <v>4.8680000000000021</v>
      </c>
      <c r="T16" s="12">
        <f t="shared" si="9"/>
        <v>-2.2127272727272711</v>
      </c>
      <c r="U16" s="15">
        <f t="shared" si="10"/>
        <v>2.655272727272731</v>
      </c>
      <c r="V16" s="12">
        <f t="shared" si="11"/>
        <v>62.094727272727269</v>
      </c>
      <c r="W16" s="9">
        <f t="shared" si="12"/>
        <v>1.6104426960567578E-2</v>
      </c>
      <c r="X16" s="9">
        <f t="shared" si="13"/>
        <v>0.340613022998693</v>
      </c>
    </row>
    <row r="17" spans="1:24" x14ac:dyDescent="0.25">
      <c r="A17" t="s">
        <v>39</v>
      </c>
      <c r="B17" s="6" t="s">
        <v>130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 t="shared" si="0"/>
        <v>45.983826000000001</v>
      </c>
      <c r="H17" s="13">
        <v>0.1202</v>
      </c>
      <c r="I17" s="11">
        <v>0.33710000000000001</v>
      </c>
      <c r="J17" s="9">
        <f t="shared" si="1"/>
        <v>0.35657075051913378</v>
      </c>
      <c r="K17" s="9">
        <f t="shared" si="2"/>
        <v>1.834281903260325E-2</v>
      </c>
      <c r="L17" s="9">
        <f t="shared" si="3"/>
        <v>15.501147744600001</v>
      </c>
      <c r="M17" s="12">
        <f t="shared" si="14"/>
        <v>147.76558199999999</v>
      </c>
      <c r="N17" s="12">
        <f t="shared" si="4"/>
        <v>51.511081885199999</v>
      </c>
      <c r="O17" s="12" cm="1" vm="11">
        <f t="array" aca="1" ref="O17" ca="1">_xlfn.STOCKHISTORY(C17,TODAY()-1,TODAY(),1,0,4)</f>
        <v>129.69999999999999</v>
      </c>
      <c r="P17" s="12">
        <f t="shared" ca="1" si="5"/>
        <v>46.534614000000005</v>
      </c>
      <c r="Q17" s="12">
        <f t="shared" ca="1" si="6"/>
        <v>0.55078800000000427</v>
      </c>
      <c r="R17" s="12">
        <f t="shared" si="7"/>
        <v>108.39838934998768</v>
      </c>
      <c r="S17" s="12">
        <f t="shared" si="8"/>
        <v>15.855581999999998</v>
      </c>
      <c r="T17" s="12">
        <f t="shared" si="9"/>
        <v>-11.755805325006158</v>
      </c>
      <c r="U17" s="15">
        <f t="shared" si="10"/>
        <v>4.0997766749938407</v>
      </c>
      <c r="V17" s="12">
        <f t="shared" si="11"/>
        <v>60.650223325006159</v>
      </c>
      <c r="W17" s="9">
        <f t="shared" si="12"/>
        <v>1.648798545458445E-2</v>
      </c>
      <c r="X17" s="9">
        <f t="shared" si="13"/>
        <v>0.33268937347196526</v>
      </c>
    </row>
    <row r="18" spans="1:24" x14ac:dyDescent="0.25">
      <c r="A18" t="s">
        <v>115</v>
      </c>
      <c r="B18" s="7" t="s">
        <v>126</v>
      </c>
      <c r="C18" t="s">
        <v>116</v>
      </c>
      <c r="D18" s="8">
        <v>45481</v>
      </c>
      <c r="E18" s="2">
        <v>2</v>
      </c>
      <c r="F18" s="1">
        <v>20.927</v>
      </c>
      <c r="G18" s="1">
        <f t="shared" si="0"/>
        <v>41.853999999999999</v>
      </c>
      <c r="H18" s="13">
        <v>3.5000000000000003E-2</v>
      </c>
      <c r="I18" s="11">
        <v>0.16500000000000001</v>
      </c>
      <c r="J18" s="9">
        <f t="shared" si="1"/>
        <v>0.21212121212121213</v>
      </c>
      <c r="K18" s="9">
        <f t="shared" si="2"/>
        <v>1.0912002740693261E-2</v>
      </c>
      <c r="L18" s="9">
        <f t="shared" si="3"/>
        <v>6.9059100000000004</v>
      </c>
      <c r="M18" s="12">
        <f t="shared" si="14"/>
        <v>21.659444999999998</v>
      </c>
      <c r="N18" s="12">
        <f t="shared" si="4"/>
        <v>43.318889999999996</v>
      </c>
      <c r="O18" s="12">
        <v>16.87</v>
      </c>
      <c r="P18" s="12">
        <f t="shared" si="5"/>
        <v>33.74</v>
      </c>
      <c r="Q18" s="12">
        <f t="shared" si="6"/>
        <v>-8.1139999999999972</v>
      </c>
      <c r="R18" s="12">
        <f t="shared" si="7"/>
        <v>18.51946902654867</v>
      </c>
      <c r="S18" s="12">
        <f t="shared" si="8"/>
        <v>0.73244499999999846</v>
      </c>
      <c r="T18" s="12">
        <f t="shared" si="9"/>
        <v>-1.2037654867256649</v>
      </c>
      <c r="U18" s="15">
        <f t="shared" si="10"/>
        <v>-0.4713204867256664</v>
      </c>
      <c r="V18" s="12">
        <f t="shared" si="11"/>
        <v>65.221320486725659</v>
      </c>
      <c r="W18" s="9">
        <f t="shared" si="12"/>
        <v>1.5332409594551641E-2</v>
      </c>
      <c r="X18" s="9">
        <f t="shared" si="13"/>
        <v>0.35776356722493252</v>
      </c>
    </row>
    <row r="19" spans="1:24" x14ac:dyDescent="0.25">
      <c r="A19" t="s">
        <v>115</v>
      </c>
      <c r="B19" s="7" t="s">
        <v>127</v>
      </c>
      <c r="C19" t="s">
        <v>117</v>
      </c>
      <c r="D19" s="8">
        <v>45481</v>
      </c>
      <c r="E19" s="2">
        <v>2</v>
      </c>
      <c r="F19" s="1">
        <v>16.399000000000001</v>
      </c>
      <c r="G19" s="1">
        <f t="shared" si="0"/>
        <v>32.798000000000002</v>
      </c>
      <c r="H19" s="13">
        <v>3.5000000000000003E-2</v>
      </c>
      <c r="I19" s="11">
        <v>0.16500000000000001</v>
      </c>
      <c r="J19" s="9">
        <f t="shared" si="1"/>
        <v>0.21212121212121213</v>
      </c>
      <c r="K19" s="9">
        <f t="shared" si="2"/>
        <v>1.0912002740693261E-2</v>
      </c>
      <c r="L19" s="9">
        <f t="shared" si="3"/>
        <v>5.4116700000000009</v>
      </c>
      <c r="M19" s="12">
        <f t="shared" si="14"/>
        <v>16.972964999999999</v>
      </c>
      <c r="N19" s="12">
        <f t="shared" si="4"/>
        <v>33.945929999999997</v>
      </c>
      <c r="O19" s="12">
        <v>12.95</v>
      </c>
      <c r="P19" s="12">
        <f t="shared" si="5"/>
        <v>25.9</v>
      </c>
      <c r="Q19" s="12">
        <f t="shared" si="6"/>
        <v>-6.8980000000000032</v>
      </c>
      <c r="R19" s="12">
        <f t="shared" si="7"/>
        <v>14.512389380530973</v>
      </c>
      <c r="S19" s="12">
        <f t="shared" si="8"/>
        <v>0.57396499999999762</v>
      </c>
      <c r="T19" s="12">
        <f t="shared" si="9"/>
        <v>-0.9433053097345141</v>
      </c>
      <c r="U19" s="15">
        <f t="shared" si="10"/>
        <v>-0.36934030973451648</v>
      </c>
      <c r="V19" s="12">
        <f t="shared" si="11"/>
        <v>65.119340309734511</v>
      </c>
      <c r="W19" s="9">
        <f t="shared" si="12"/>
        <v>1.5356420922625852E-2</v>
      </c>
      <c r="X19" s="9">
        <f t="shared" si="13"/>
        <v>0.35720416745144884</v>
      </c>
    </row>
    <row r="20" spans="1:24" x14ac:dyDescent="0.25">
      <c r="A20" t="s">
        <v>40</v>
      </c>
      <c r="B20" s="7" t="s">
        <v>90</v>
      </c>
      <c r="C20" s="32" t="s">
        <v>91</v>
      </c>
      <c r="D20" s="8">
        <v>45627</v>
      </c>
      <c r="E20" s="2">
        <v>0.75290000000000001</v>
      </c>
      <c r="F20" s="1">
        <v>41.16</v>
      </c>
      <c r="G20" s="1">
        <f t="shared" si="0"/>
        <v>30.989363999999998</v>
      </c>
      <c r="H20" s="13">
        <v>0.1</v>
      </c>
      <c r="I20" s="11">
        <v>0.2</v>
      </c>
      <c r="J20" s="9">
        <f t="shared" si="1"/>
        <v>0.5</v>
      </c>
      <c r="K20" s="9">
        <f t="shared" si="2"/>
        <v>2.57211493173484E-2</v>
      </c>
      <c r="L20" s="9">
        <f t="shared" si="3"/>
        <v>6.1978727999999998</v>
      </c>
      <c r="M20" s="12">
        <f t="shared" si="14"/>
        <v>45.276000000000003</v>
      </c>
      <c r="N20" s="12">
        <f t="shared" si="4"/>
        <v>34.088300400000001</v>
      </c>
      <c r="O20" s="12" cm="1" vm="12">
        <f t="array" aca="1" ref="O20" ca="1">_xlfn.STOCKHISTORY(C20,TODAY()-1,TODAY(),1,0,4)</f>
        <v>45.09</v>
      </c>
      <c r="P20" s="12">
        <f t="shared" ca="1" si="5"/>
        <v>34.125192500000004</v>
      </c>
      <c r="Q20" s="12">
        <f t="shared" ca="1" si="6"/>
        <v>3.1358285000000059</v>
      </c>
      <c r="R20" s="12">
        <f t="shared" si="7"/>
        <v>37.418181818181822</v>
      </c>
      <c r="S20" s="12">
        <f t="shared" si="8"/>
        <v>4.1160000000000068</v>
      </c>
      <c r="T20" s="12">
        <f t="shared" si="9"/>
        <v>-1.8709090909090875</v>
      </c>
      <c r="U20" s="15">
        <f t="shared" si="10"/>
        <v>2.2450909090909192</v>
      </c>
      <c r="V20" s="12">
        <f t="shared" si="11"/>
        <v>62.504909090909081</v>
      </c>
      <c r="W20" s="9">
        <f t="shared" si="12"/>
        <v>1.5998743371429737E-2</v>
      </c>
      <c r="X20" s="9">
        <f t="shared" si="13"/>
        <v>0.34286302513585304</v>
      </c>
    </row>
    <row r="21" spans="1:24" x14ac:dyDescent="0.25">
      <c r="A21" t="s">
        <v>36</v>
      </c>
      <c r="B21" s="3" t="s">
        <v>18</v>
      </c>
      <c r="C21" t="s">
        <v>17</v>
      </c>
      <c r="D21" s="8">
        <v>45678</v>
      </c>
      <c r="E21" s="2">
        <v>0.1782</v>
      </c>
      <c r="F21" s="1">
        <v>168.24</v>
      </c>
      <c r="G21" s="1">
        <f t="shared" si="0"/>
        <v>29.980368000000002</v>
      </c>
      <c r="H21" s="13">
        <f>190.41/F21-1</f>
        <v>0.1317760342368044</v>
      </c>
      <c r="I21" s="11">
        <v>0.26790000000000003</v>
      </c>
      <c r="J21" s="9">
        <f t="shared" si="1"/>
        <v>0.49188515952521233</v>
      </c>
      <c r="K21" s="9">
        <f t="shared" si="2"/>
        <v>2.5303703270271448E-2</v>
      </c>
      <c r="L21" s="9">
        <f t="shared" si="3"/>
        <v>8.0317405872000016</v>
      </c>
      <c r="M21" s="12">
        <f t="shared" si="14"/>
        <v>190.40999999999997</v>
      </c>
      <c r="N21" s="12">
        <f t="shared" si="4"/>
        <v>33.931061999999997</v>
      </c>
      <c r="O21" s="12" cm="1" vm="13">
        <f t="array" aca="1" ref="O21" ca="1">_xlfn.STOCKHISTORY(C21,TODAY()-1,TODAY(),1,0,4)</f>
        <v>145.38</v>
      </c>
      <c r="P21" s="12">
        <f t="shared" ca="1" si="5"/>
        <v>26.799497999999996</v>
      </c>
      <c r="Q21" s="12">
        <f t="shared" ca="1" si="6"/>
        <v>-3.1808700000000059</v>
      </c>
      <c r="R21" s="12">
        <f t="shared" si="7"/>
        <v>148.08243208476298</v>
      </c>
      <c r="S21" s="12">
        <f t="shared" si="8"/>
        <v>22.169999999999959</v>
      </c>
      <c r="T21" s="12">
        <f t="shared" si="9"/>
        <v>-10.078783957618512</v>
      </c>
      <c r="U21" s="15">
        <f t="shared" si="10"/>
        <v>12.091216042381447</v>
      </c>
      <c r="V21" s="12">
        <f t="shared" si="11"/>
        <v>52.658783957618553</v>
      </c>
      <c r="W21" s="9">
        <f t="shared" si="12"/>
        <v>1.8990184065109279E-2</v>
      </c>
      <c r="X21" s="9">
        <f t="shared" si="13"/>
        <v>0.28885331136831249</v>
      </c>
    </row>
    <row r="22" spans="1:24" x14ac:dyDescent="0.25">
      <c r="A22" t="s">
        <v>39</v>
      </c>
      <c r="B22" s="6" t="s">
        <v>42</v>
      </c>
      <c r="C22" t="s">
        <v>41</v>
      </c>
      <c r="D22" s="8">
        <v>45507</v>
      </c>
      <c r="E22" s="2">
        <v>0.52270000000000005</v>
      </c>
      <c r="F22" s="1">
        <v>38.229999999999997</v>
      </c>
      <c r="G22" s="1">
        <f t="shared" si="0"/>
        <v>19.982821000000001</v>
      </c>
      <c r="H22" s="13">
        <v>7.0000000000000007E-2</v>
      </c>
      <c r="I22" s="11">
        <v>0.4</v>
      </c>
      <c r="J22" s="9">
        <f t="shared" si="1"/>
        <v>0.17500000000000002</v>
      </c>
      <c r="K22" s="9">
        <f t="shared" si="2"/>
        <v>9.0024022610719415E-3</v>
      </c>
      <c r="L22" s="9">
        <f t="shared" si="3"/>
        <v>7.9931284000000007</v>
      </c>
      <c r="M22" s="12">
        <f t="shared" si="14"/>
        <v>40.906100000000002</v>
      </c>
      <c r="N22" s="12">
        <f t="shared" si="4"/>
        <v>21.381618470000003</v>
      </c>
      <c r="O22" s="12" cm="1" vm="14">
        <f t="array" aca="1" ref="O22" ca="1">_xlfn.STOCKHISTORY(C22,TODAY()-1,TODAY(),1,0,4)</f>
        <v>27.96</v>
      </c>
      <c r="P22" s="12">
        <f t="shared" ca="1" si="5"/>
        <v>15.754178000000001</v>
      </c>
      <c r="Q22" s="12">
        <f t="shared" ca="1" si="6"/>
        <v>-4.2286429999999999</v>
      </c>
      <c r="R22" s="12">
        <f t="shared" si="7"/>
        <v>28.744360902255639</v>
      </c>
      <c r="S22" s="12">
        <f t="shared" si="8"/>
        <v>2.6761000000000053</v>
      </c>
      <c r="T22" s="12">
        <f t="shared" si="9"/>
        <v>-4.7428195488721787</v>
      </c>
      <c r="U22" s="15">
        <f t="shared" si="10"/>
        <v>-2.0667195488721735</v>
      </c>
      <c r="V22" s="12">
        <f t="shared" si="11"/>
        <v>66.816719548872172</v>
      </c>
      <c r="W22" s="9">
        <f t="shared" si="12"/>
        <v>1.4966313921900396E-2</v>
      </c>
      <c r="X22" s="9">
        <f t="shared" si="13"/>
        <v>0.36651493342483976</v>
      </c>
    </row>
    <row r="23" spans="1:24" x14ac:dyDescent="0.25">
      <c r="A23" t="s">
        <v>96</v>
      </c>
      <c r="B23" s="7" t="s">
        <v>97</v>
      </c>
      <c r="C23" s="32" t="s">
        <v>100</v>
      </c>
      <c r="D23" s="8">
        <v>45630</v>
      </c>
      <c r="E23" s="2">
        <v>0.28749999999999998</v>
      </c>
      <c r="F23" s="1">
        <v>34.78</v>
      </c>
      <c r="G23" s="1">
        <f t="shared" si="0"/>
        <v>9.99925</v>
      </c>
      <c r="H23" s="13">
        <v>0.2</v>
      </c>
      <c r="I23" s="11">
        <v>0.2</v>
      </c>
      <c r="J23" s="9">
        <f t="shared" si="1"/>
        <v>1</v>
      </c>
      <c r="K23" s="9">
        <f t="shared" si="2"/>
        <v>5.1442298634696799E-2</v>
      </c>
      <c r="L23" s="9">
        <f t="shared" si="3"/>
        <v>1.9998500000000001</v>
      </c>
      <c r="M23" s="12">
        <f t="shared" si="14"/>
        <v>41.735999999999997</v>
      </c>
      <c r="N23" s="12">
        <f t="shared" si="4"/>
        <v>11.999099999999999</v>
      </c>
      <c r="O23" s="12" cm="1" vm="15">
        <f t="array" aca="1" ref="O23" ca="1">_xlfn.STOCKHISTORY(C23,TODAY()-1,TODAY(),1,0,4)</f>
        <v>25.26</v>
      </c>
      <c r="P23" s="12">
        <f t="shared" ca="1" si="5"/>
        <v>7.6633125</v>
      </c>
      <c r="Q23" s="12">
        <f t="shared" ca="1" si="6"/>
        <v>-2.3359375</v>
      </c>
      <c r="R23" s="12">
        <f t="shared" si="7"/>
        <v>34.78</v>
      </c>
      <c r="S23" s="12">
        <f t="shared" si="8"/>
        <v>6.955999999999996</v>
      </c>
      <c r="T23" s="12">
        <f t="shared" si="9"/>
        <v>0</v>
      </c>
      <c r="U23" s="15">
        <f t="shared" si="10"/>
        <v>6.955999999999996</v>
      </c>
      <c r="V23" s="12">
        <f t="shared" si="11"/>
        <v>57.794000000000004</v>
      </c>
      <c r="W23" s="9">
        <f t="shared" si="12"/>
        <v>1.7302834204242654E-2</v>
      </c>
      <c r="X23" s="9">
        <f t="shared" si="13"/>
        <v>0.31702191016518916</v>
      </c>
    </row>
    <row r="24" spans="1:24" x14ac:dyDescent="0.25">
      <c r="A24" t="s">
        <v>39</v>
      </c>
      <c r="B24" s="6" t="s">
        <v>58</v>
      </c>
      <c r="C24" t="s">
        <v>59</v>
      </c>
      <c r="D24" s="8">
        <v>45695</v>
      </c>
      <c r="E24" s="2">
        <v>2.9999999999999997E-4</v>
      </c>
      <c r="F24" s="1">
        <v>143.18</v>
      </c>
      <c r="G24" s="1">
        <f t="shared" si="0"/>
        <v>4.2953999999999999E-2</v>
      </c>
      <c r="H24" s="13">
        <v>7.0000000000000007E-2</v>
      </c>
      <c r="I24" s="11">
        <v>0.1623</v>
      </c>
      <c r="J24" s="9">
        <f t="shared" si="1"/>
        <v>0.43130006161429457</v>
      </c>
      <c r="K24" s="9">
        <f t="shared" si="2"/>
        <v>2.218706657072567E-2</v>
      </c>
      <c r="L24" s="9">
        <f t="shared" si="3"/>
        <v>6.9714341999999995E-3</v>
      </c>
      <c r="M24" s="12">
        <f t="shared" si="14"/>
        <v>153.20260000000002</v>
      </c>
      <c r="N24" s="12">
        <f t="shared" si="4"/>
        <v>4.596078E-2</v>
      </c>
      <c r="O24" s="12" cm="1" vm="16">
        <f t="array" aca="1" ref="O24" ca="1">_xlfn.STOCKHISTORY(C24,TODAY()-1,TODAY(),1,0,4)</f>
        <v>147.29</v>
      </c>
      <c r="P24" s="12">
        <f t="shared" ca="1" si="5"/>
        <v>4.6082999999999999E-2</v>
      </c>
      <c r="Q24" s="12">
        <f t="shared" ca="1" si="6"/>
        <v>3.1289999999999998E-3</v>
      </c>
      <c r="R24" s="12">
        <f t="shared" si="7"/>
        <v>131.08120479721688</v>
      </c>
      <c r="S24" s="12">
        <f t="shared" si="8"/>
        <v>10.022600000000011</v>
      </c>
      <c r="T24" s="12">
        <f t="shared" si="9"/>
        <v>-6.0493976013915614</v>
      </c>
      <c r="U24" s="15">
        <f t="shared" si="10"/>
        <v>3.9732023986084499</v>
      </c>
      <c r="V24" s="12">
        <f t="shared" si="11"/>
        <v>60.77679760139155</v>
      </c>
      <c r="W24" s="9">
        <f t="shared" si="12"/>
        <v>1.6453647435630995E-2</v>
      </c>
      <c r="X24" s="9">
        <f t="shared" si="13"/>
        <v>0.33338368116614586</v>
      </c>
    </row>
    <row r="25" spans="1:24" x14ac:dyDescent="0.25">
      <c r="A25" t="s">
        <v>36</v>
      </c>
      <c r="B25" s="3" t="s">
        <v>14</v>
      </c>
      <c r="C25" t="s">
        <v>13</v>
      </c>
      <c r="D25" s="8">
        <v>45482</v>
      </c>
      <c r="E25" s="2">
        <v>1E-4</v>
      </c>
      <c r="F25" s="1">
        <v>227.38</v>
      </c>
      <c r="G25" s="1">
        <f t="shared" si="0"/>
        <v>2.2738000000000001E-2</v>
      </c>
      <c r="H25" s="13">
        <v>0.15</v>
      </c>
      <c r="I25" s="11">
        <v>0.2271</v>
      </c>
      <c r="J25" s="9">
        <f t="shared" si="1"/>
        <v>0.66050198150594452</v>
      </c>
      <c r="K25" s="9">
        <f t="shared" si="2"/>
        <v>3.3977740181437781E-2</v>
      </c>
      <c r="L25" s="9">
        <f t="shared" si="3"/>
        <v>5.1637998000000004E-3</v>
      </c>
      <c r="M25" s="12">
        <f t="shared" si="14"/>
        <v>261.48699999999997</v>
      </c>
      <c r="N25" s="12">
        <f t="shared" si="4"/>
        <v>2.6148699999999997E-2</v>
      </c>
      <c r="O25" s="12" cm="1" vm="17">
        <f t="array" aca="1" ref="O25" ca="1">_xlfn.STOCKHISTORY(C25,TODAY()-1,TODAY(),1,0,4)</f>
        <v>187.34</v>
      </c>
      <c r="P25" s="12">
        <f t="shared" ca="1" si="5"/>
        <v>2.0125000000000001E-2</v>
      </c>
      <c r="Q25" s="12">
        <f t="shared" ca="1" si="6"/>
        <v>-2.6130000000000007E-3</v>
      </c>
      <c r="R25" s="12">
        <f t="shared" si="7"/>
        <v>211.10389007520189</v>
      </c>
      <c r="S25" s="12">
        <f t="shared" si="8"/>
        <v>34.106999999999971</v>
      </c>
      <c r="T25" s="12">
        <f t="shared" si="9"/>
        <v>-8.1380549623990532</v>
      </c>
      <c r="U25" s="15">
        <f t="shared" si="10"/>
        <v>25.968945037600918</v>
      </c>
      <c r="V25" s="12">
        <f t="shared" si="11"/>
        <v>38.781054962399082</v>
      </c>
      <c r="W25" s="9">
        <f t="shared" si="12"/>
        <v>2.5785786409615964E-2</v>
      </c>
      <c r="X25" s="9">
        <f t="shared" si="13"/>
        <v>0.21272872828322911</v>
      </c>
    </row>
    <row r="26" spans="1:24" x14ac:dyDescent="0.25">
      <c r="A26" t="s">
        <v>74</v>
      </c>
      <c r="B26" s="7" t="s">
        <v>79</v>
      </c>
      <c r="C26" s="14" t="s">
        <v>80</v>
      </c>
      <c r="D26" s="8">
        <f ca="1">TODAY()-20</f>
        <v>45732</v>
      </c>
      <c r="E26" s="2">
        <v>9.9999999999999998E-20</v>
      </c>
      <c r="F26" s="1">
        <v>2742.9</v>
      </c>
      <c r="G26" s="1">
        <f t="shared" si="0"/>
        <v>2.7429000000000002E-16</v>
      </c>
      <c r="H26" s="13">
        <v>0.1</v>
      </c>
      <c r="I26" s="11">
        <v>0.5</v>
      </c>
      <c r="J26" s="9">
        <f t="shared" si="1"/>
        <v>0.2</v>
      </c>
      <c r="K26" s="9">
        <f t="shared" si="2"/>
        <v>1.0288459726939361E-2</v>
      </c>
      <c r="L26" s="9">
        <f t="shared" si="3"/>
        <v>1.3714500000000001E-16</v>
      </c>
      <c r="M26" s="12">
        <f t="shared" si="14"/>
        <v>3017.1900000000005</v>
      </c>
      <c r="N26" s="12">
        <f t="shared" si="4"/>
        <v>3.0171900000000003E-16</v>
      </c>
      <c r="O26" s="46">
        <f t="shared" ref="O26:O46" si="15">F26</f>
        <v>2742.9</v>
      </c>
      <c r="P26" s="12">
        <f t="shared" si="5"/>
        <v>2.7429000000000002E-16</v>
      </c>
      <c r="Q26" s="12">
        <f t="shared" si="6"/>
        <v>0</v>
      </c>
      <c r="R26" s="12">
        <f t="shared" si="7"/>
        <v>1959.214285714286</v>
      </c>
      <c r="S26" s="12">
        <f t="shared" si="8"/>
        <v>274.29000000000042</v>
      </c>
      <c r="T26" s="12">
        <f t="shared" si="9"/>
        <v>-391.84285714285704</v>
      </c>
      <c r="U26" s="15">
        <f t="shared" si="10"/>
        <v>-117.55285714285662</v>
      </c>
      <c r="V26" s="12">
        <f t="shared" si="11"/>
        <v>182.30285714285662</v>
      </c>
      <c r="W26" s="9">
        <f t="shared" si="12"/>
        <v>5.4853775507005768E-3</v>
      </c>
      <c r="X26" s="9">
        <f t="shared" si="13"/>
        <v>1</v>
      </c>
    </row>
    <row r="27" spans="1:24" x14ac:dyDescent="0.25">
      <c r="A27" t="s">
        <v>36</v>
      </c>
      <c r="B27" s="3" t="s">
        <v>60</v>
      </c>
      <c r="C27" t="s">
        <v>60</v>
      </c>
      <c r="D27" s="8">
        <v>45481</v>
      </c>
      <c r="E27" s="2">
        <v>9.9999999999999998E-20</v>
      </c>
      <c r="F27" s="1">
        <v>700.32</v>
      </c>
      <c r="G27" s="1">
        <f t="shared" si="0"/>
        <v>7.0031999999999998E-17</v>
      </c>
      <c r="H27" s="13">
        <v>0.1</v>
      </c>
      <c r="I27" s="11">
        <v>0.45340000000000003</v>
      </c>
      <c r="J27" s="9">
        <f t="shared" si="1"/>
        <v>0.22055580061755625</v>
      </c>
      <c r="K27" s="9">
        <f t="shared" si="2"/>
        <v>1.1345897360982973E-2</v>
      </c>
      <c r="L27" s="9">
        <f t="shared" si="3"/>
        <v>3.1752508800000004E-17</v>
      </c>
      <c r="M27" s="12">
        <f t="shared" si="14"/>
        <v>770.35200000000009</v>
      </c>
      <c r="N27" s="12">
        <f t="shared" si="4"/>
        <v>7.7035200000000004E-17</v>
      </c>
      <c r="O27" s="46">
        <f t="shared" si="15"/>
        <v>700.32</v>
      </c>
      <c r="P27" s="12">
        <f t="shared" si="5"/>
        <v>7.0031999999999998E-17</v>
      </c>
      <c r="Q27" s="12">
        <f t="shared" si="6"/>
        <v>0</v>
      </c>
      <c r="R27" s="12">
        <f t="shared" si="7"/>
        <v>517.45234224915032</v>
      </c>
      <c r="S27" s="12">
        <f t="shared" si="8"/>
        <v>70.032000000000039</v>
      </c>
      <c r="T27" s="12">
        <f t="shared" si="9"/>
        <v>-91.433828875424865</v>
      </c>
      <c r="U27" s="15">
        <f t="shared" si="10"/>
        <v>-21.401828875424826</v>
      </c>
      <c r="V27" s="12">
        <f t="shared" si="11"/>
        <v>86.151828875424826</v>
      </c>
      <c r="W27" s="9">
        <f t="shared" si="12"/>
        <v>1.1607414642885826E-2</v>
      </c>
      <c r="X27" s="9">
        <f t="shared" si="13"/>
        <v>0.47257530806505305</v>
      </c>
    </row>
    <row r="28" spans="1:24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 t="shared" si="0"/>
        <v>6.6881999999999999E-17</v>
      </c>
      <c r="H28" s="13">
        <v>0.05</v>
      </c>
      <c r="I28" s="11">
        <v>0.28000000000000003</v>
      </c>
      <c r="J28" s="9">
        <f t="shared" si="1"/>
        <v>0.17857142857142858</v>
      </c>
      <c r="K28" s="9">
        <f t="shared" si="2"/>
        <v>9.186124756195858E-3</v>
      </c>
      <c r="L28" s="9">
        <f t="shared" si="3"/>
        <v>1.872696E-17</v>
      </c>
      <c r="M28" s="12">
        <f t="shared" si="14"/>
        <v>702.26100000000008</v>
      </c>
      <c r="N28" s="12">
        <f t="shared" si="4"/>
        <v>7.0226100000000009E-17</v>
      </c>
      <c r="O28" s="46">
        <f t="shared" si="15"/>
        <v>668.82</v>
      </c>
      <c r="P28" s="12">
        <f t="shared" si="5"/>
        <v>6.6881999999999999E-17</v>
      </c>
      <c r="Q28" s="12">
        <f t="shared" si="6"/>
        <v>0</v>
      </c>
      <c r="R28" s="12">
        <f t="shared" si="7"/>
        <v>543.7560975609756</v>
      </c>
      <c r="S28" s="12">
        <f t="shared" si="8"/>
        <v>33.441000000000031</v>
      </c>
      <c r="T28" s="12">
        <f t="shared" si="9"/>
        <v>-62.531951219512223</v>
      </c>
      <c r="U28" s="15">
        <f t="shared" si="10"/>
        <v>-29.090951219512192</v>
      </c>
      <c r="V28" s="12">
        <f t="shared" si="11"/>
        <v>93.840951219512192</v>
      </c>
      <c r="W28" s="9">
        <f t="shared" si="12"/>
        <v>1.0656328468589433E-2</v>
      </c>
      <c r="X28" s="9">
        <f t="shared" si="13"/>
        <v>0.51475304715590009</v>
      </c>
    </row>
    <row r="29" spans="1:24" x14ac:dyDescent="0.25">
      <c r="A29" t="s">
        <v>37</v>
      </c>
      <c r="B29" s="4" t="s">
        <v>7</v>
      </c>
      <c r="C29" t="s">
        <v>25</v>
      </c>
      <c r="D29" s="8">
        <v>45751</v>
      </c>
      <c r="E29" s="2">
        <v>6.1600000000000002E-2</v>
      </c>
      <c r="F29" s="1">
        <v>324.48</v>
      </c>
      <c r="G29" s="1">
        <f t="shared" si="0"/>
        <v>19.987968000000002</v>
      </c>
      <c r="H29" s="13">
        <v>0.10829999999999999</v>
      </c>
      <c r="I29" s="11">
        <v>0.27510000000000001</v>
      </c>
      <c r="J29" s="9">
        <f t="shared" si="1"/>
        <v>0.3936750272628135</v>
      </c>
      <c r="K29" s="9">
        <f t="shared" si="2"/>
        <v>2.0251548317476057E-2</v>
      </c>
      <c r="L29" s="9">
        <f t="shared" si="3"/>
        <v>5.4986899968000005</v>
      </c>
      <c r="M29" s="12">
        <f t="shared" si="14"/>
        <v>359.62118400000003</v>
      </c>
      <c r="N29" s="12">
        <f t="shared" si="4"/>
        <v>22.152664934400004</v>
      </c>
      <c r="O29" s="46">
        <f t="shared" si="15"/>
        <v>324.48</v>
      </c>
      <c r="P29" s="12">
        <f t="shared" si="5"/>
        <v>19.987968000000002</v>
      </c>
      <c r="Q29" s="12">
        <f t="shared" si="6"/>
        <v>0</v>
      </c>
      <c r="R29" s="12">
        <f t="shared" si="7"/>
        <v>278.09393212204321</v>
      </c>
      <c r="S29" s="12">
        <f t="shared" si="8"/>
        <v>35.14118400000001</v>
      </c>
      <c r="T29" s="12">
        <f t="shared" si="9"/>
        <v>-23.193033938978402</v>
      </c>
      <c r="U29" s="15">
        <f t="shared" si="10"/>
        <v>11.948150061021607</v>
      </c>
      <c r="V29" s="12">
        <f t="shared" si="11"/>
        <v>52.801849938978393</v>
      </c>
      <c r="W29" s="9">
        <f t="shared" si="12"/>
        <v>1.8938730388341918E-2</v>
      </c>
      <c r="X29" s="9">
        <f t="shared" si="13"/>
        <v>0.28963808229073268</v>
      </c>
    </row>
    <row r="30" spans="1:24" x14ac:dyDescent="0.25">
      <c r="A30" t="s">
        <v>96</v>
      </c>
      <c r="B30" s="7" t="s">
        <v>102</v>
      </c>
      <c r="C30" s="32" t="s">
        <v>99</v>
      </c>
      <c r="D30" s="8">
        <v>45630</v>
      </c>
      <c r="E30" s="2">
        <v>9.9999999999999998E-20</v>
      </c>
      <c r="F30" s="1">
        <v>323.75</v>
      </c>
      <c r="G30" s="1">
        <f t="shared" si="0"/>
        <v>3.2375000000000002E-17</v>
      </c>
      <c r="H30" s="13">
        <v>0.2</v>
      </c>
      <c r="I30" s="11">
        <v>0.2</v>
      </c>
      <c r="J30" s="9">
        <f t="shared" si="1"/>
        <v>1</v>
      </c>
      <c r="K30" s="9">
        <f t="shared" si="2"/>
        <v>5.1442298634696799E-2</v>
      </c>
      <c r="L30" s="9">
        <f t="shared" si="3"/>
        <v>6.4750000000000006E-18</v>
      </c>
      <c r="M30" s="12">
        <f t="shared" si="14"/>
        <v>388.5</v>
      </c>
      <c r="N30" s="12">
        <f t="shared" si="4"/>
        <v>3.8849999999999999E-17</v>
      </c>
      <c r="O30" s="46">
        <f t="shared" si="15"/>
        <v>323.75</v>
      </c>
      <c r="P30" s="12">
        <f t="shared" si="5"/>
        <v>3.2375000000000002E-17</v>
      </c>
      <c r="Q30" s="12">
        <f t="shared" si="6"/>
        <v>0</v>
      </c>
      <c r="R30" s="12">
        <f t="shared" si="7"/>
        <v>323.75</v>
      </c>
      <c r="S30" s="12">
        <f t="shared" si="8"/>
        <v>64.75</v>
      </c>
      <c r="T30" s="12">
        <f t="shared" si="9"/>
        <v>0</v>
      </c>
      <c r="U30" s="15">
        <f t="shared" si="10"/>
        <v>64.75</v>
      </c>
      <c r="V30" s="12">
        <f t="shared" si="11"/>
        <v>0</v>
      </c>
      <c r="W30" s="9">
        <f t="shared" si="12"/>
        <v>0</v>
      </c>
      <c r="X30" s="9">
        <f t="shared" si="13"/>
        <v>0</v>
      </c>
    </row>
    <row r="31" spans="1:24" x14ac:dyDescent="0.25">
      <c r="A31" t="s">
        <v>36</v>
      </c>
      <c r="B31" s="3" t="s">
        <v>10</v>
      </c>
      <c r="C31" t="s">
        <v>9</v>
      </c>
      <c r="D31" s="8">
        <v>45544</v>
      </c>
      <c r="E31" s="2">
        <v>9.9999999999999998E-20</v>
      </c>
      <c r="F31" s="1">
        <v>188.12</v>
      </c>
      <c r="G31" s="1">
        <f t="shared" si="0"/>
        <v>1.8812000000000001E-17</v>
      </c>
      <c r="H31" s="13">
        <v>0.15</v>
      </c>
      <c r="I31" s="11">
        <v>0.37780000000000002</v>
      </c>
      <c r="J31" s="9">
        <f t="shared" si="1"/>
        <v>0.39703546850185278</v>
      </c>
      <c r="K31" s="9">
        <f t="shared" si="2"/>
        <v>2.0424417139239065E-2</v>
      </c>
      <c r="L31" s="9">
        <f t="shared" si="3"/>
        <v>7.1071736000000005E-18</v>
      </c>
      <c r="M31" s="12">
        <f t="shared" si="14"/>
        <v>216.33799999999999</v>
      </c>
      <c r="N31" s="12">
        <f t="shared" si="4"/>
        <v>2.16338E-17</v>
      </c>
      <c r="O31" s="46">
        <f t="shared" si="15"/>
        <v>188.12</v>
      </c>
      <c r="P31" s="12">
        <f t="shared" si="5"/>
        <v>1.8812000000000001E-17</v>
      </c>
      <c r="Q31" s="12">
        <f t="shared" si="6"/>
        <v>0</v>
      </c>
      <c r="R31" s="12">
        <f t="shared" si="7"/>
        <v>153.21713634142367</v>
      </c>
      <c r="S31" s="12">
        <f t="shared" si="8"/>
        <v>28.217999999999989</v>
      </c>
      <c r="T31" s="12">
        <f t="shared" si="9"/>
        <v>-17.451431829288168</v>
      </c>
      <c r="U31" s="15">
        <f t="shared" si="10"/>
        <v>10.766568170711821</v>
      </c>
      <c r="V31" s="12">
        <f t="shared" si="11"/>
        <v>53.983431829288179</v>
      </c>
      <c r="W31" s="9">
        <f t="shared" si="12"/>
        <v>1.8524202076709392E-2</v>
      </c>
      <c r="X31" s="9">
        <f t="shared" si="13"/>
        <v>0.29611950506615237</v>
      </c>
    </row>
    <row r="32" spans="1:24" x14ac:dyDescent="0.25">
      <c r="A32" t="s">
        <v>36</v>
      </c>
      <c r="B32" s="3" t="s">
        <v>29</v>
      </c>
      <c r="C32" t="s">
        <v>30</v>
      </c>
      <c r="D32" s="8">
        <v>45481</v>
      </c>
      <c r="E32" s="2">
        <v>9.9999999999999998E-20</v>
      </c>
      <c r="F32" s="1">
        <v>169.34</v>
      </c>
      <c r="G32" s="1">
        <f t="shared" si="0"/>
        <v>1.6933999999999999E-17</v>
      </c>
      <c r="H32" s="13">
        <v>0.1</v>
      </c>
      <c r="I32" s="11">
        <v>0.4259</v>
      </c>
      <c r="J32" s="9">
        <f t="shared" si="1"/>
        <v>0.23479690068091102</v>
      </c>
      <c r="K32" s="9">
        <f t="shared" si="2"/>
        <v>1.2078492283328669E-2</v>
      </c>
      <c r="L32" s="9">
        <f t="shared" si="3"/>
        <v>7.2121906000000005E-18</v>
      </c>
      <c r="M32" s="12">
        <f t="shared" si="14"/>
        <v>186.27400000000003</v>
      </c>
      <c r="N32" s="12">
        <f t="shared" si="4"/>
        <v>1.8627400000000003E-17</v>
      </c>
      <c r="O32" s="46">
        <f t="shared" si="15"/>
        <v>169.34</v>
      </c>
      <c r="P32" s="12">
        <f t="shared" si="5"/>
        <v>1.6933999999999999E-17</v>
      </c>
      <c r="Q32" s="12">
        <f t="shared" si="6"/>
        <v>0</v>
      </c>
      <c r="R32" s="12">
        <f t="shared" si="7"/>
        <v>127.71702239987934</v>
      </c>
      <c r="S32" s="12">
        <f t="shared" si="8"/>
        <v>16.934000000000026</v>
      </c>
      <c r="T32" s="12">
        <f t="shared" si="9"/>
        <v>-20.811488800060332</v>
      </c>
      <c r="U32" s="15">
        <f t="shared" si="10"/>
        <v>-3.8774888000603056</v>
      </c>
      <c r="V32" s="12">
        <f t="shared" si="11"/>
        <v>68.627488800060306</v>
      </c>
      <c r="W32" s="9">
        <f t="shared" si="12"/>
        <v>1.457142054131407E-2</v>
      </c>
      <c r="X32" s="9">
        <f t="shared" si="13"/>
        <v>0.37644768642480608</v>
      </c>
    </row>
    <row r="33" spans="1:24" x14ac:dyDescent="0.25">
      <c r="A33" t="s">
        <v>74</v>
      </c>
      <c r="B33" s="7" t="s">
        <v>77</v>
      </c>
      <c r="C33" t="s">
        <v>78</v>
      </c>
      <c r="D33" s="8">
        <v>45574</v>
      </c>
      <c r="E33" s="2">
        <v>9.9999999999999998E-20</v>
      </c>
      <c r="F33" s="1">
        <v>153.7552</v>
      </c>
      <c r="G33" s="1">
        <f t="shared" si="0"/>
        <v>1.5375519999999999E-17</v>
      </c>
      <c r="H33" s="13">
        <v>7.0000000000000007E-2</v>
      </c>
      <c r="I33" s="11">
        <v>0.19</v>
      </c>
      <c r="J33" s="9">
        <f t="shared" si="1"/>
        <v>0.36842105263157898</v>
      </c>
      <c r="K33" s="9">
        <f t="shared" si="2"/>
        <v>1.8952425812783034E-2</v>
      </c>
      <c r="L33" s="9">
        <f t="shared" si="3"/>
        <v>2.9213487999999999E-18</v>
      </c>
      <c r="M33" s="12">
        <f t="shared" si="14"/>
        <v>164.51806400000001</v>
      </c>
      <c r="N33" s="12">
        <f t="shared" si="4"/>
        <v>1.6451806399999999E-17</v>
      </c>
      <c r="O33" s="46">
        <f t="shared" si="15"/>
        <v>153.7552</v>
      </c>
      <c r="P33" s="12">
        <f t="shared" si="5"/>
        <v>1.5375519999999999E-17</v>
      </c>
      <c r="Q33" s="12">
        <f t="shared" si="6"/>
        <v>0</v>
      </c>
      <c r="R33" s="12">
        <f t="shared" si="7"/>
        <v>137.28142857142859</v>
      </c>
      <c r="S33" s="12">
        <f t="shared" si="8"/>
        <v>10.762864000000008</v>
      </c>
      <c r="T33" s="12">
        <f t="shared" si="9"/>
        <v>-8.2368857142857053</v>
      </c>
      <c r="U33" s="15">
        <f t="shared" si="10"/>
        <v>2.5259782857143023</v>
      </c>
      <c r="V33" s="12">
        <f t="shared" si="11"/>
        <v>62.224021714285698</v>
      </c>
      <c r="W33" s="9">
        <f t="shared" si="12"/>
        <v>1.6070963792596118E-2</v>
      </c>
      <c r="X33" s="9">
        <f t="shared" si="13"/>
        <v>0.34132225182584797</v>
      </c>
    </row>
    <row r="34" spans="1:24" x14ac:dyDescent="0.25">
      <c r="A34" t="s">
        <v>36</v>
      </c>
      <c r="B34" s="3" t="s">
        <v>23</v>
      </c>
      <c r="C34" t="s">
        <v>24</v>
      </c>
      <c r="D34" s="8">
        <v>45482</v>
      </c>
      <c r="E34" s="2">
        <v>9.9999999999999998E-20</v>
      </c>
      <c r="F34" s="1">
        <v>147.01</v>
      </c>
      <c r="G34" s="1">
        <f t="shared" si="0"/>
        <v>1.4700999999999999E-17</v>
      </c>
      <c r="H34" s="13">
        <v>0.15</v>
      </c>
      <c r="I34" s="11">
        <v>0.52380000000000004</v>
      </c>
      <c r="J34" s="9">
        <f t="shared" si="1"/>
        <v>0.28636884306987398</v>
      </c>
      <c r="K34" s="9">
        <f t="shared" si="2"/>
        <v>1.473147154487308E-2</v>
      </c>
      <c r="L34" s="9">
        <f t="shared" si="3"/>
        <v>7.7003838000000003E-18</v>
      </c>
      <c r="M34" s="12">
        <f t="shared" si="14"/>
        <v>169.06149999999997</v>
      </c>
      <c r="N34" s="12">
        <f t="shared" si="4"/>
        <v>1.6906149999999997E-17</v>
      </c>
      <c r="O34" s="46">
        <f t="shared" si="15"/>
        <v>147.01</v>
      </c>
      <c r="P34" s="12">
        <f t="shared" si="5"/>
        <v>1.4700999999999999E-17</v>
      </c>
      <c r="Q34" s="12">
        <f t="shared" si="6"/>
        <v>0</v>
      </c>
      <c r="R34" s="12">
        <f t="shared" si="7"/>
        <v>107.00975396709855</v>
      </c>
      <c r="S34" s="12">
        <f t="shared" si="8"/>
        <v>22.051499999999976</v>
      </c>
      <c r="T34" s="12">
        <f t="shared" si="9"/>
        <v>-20.000123016450722</v>
      </c>
      <c r="U34" s="15">
        <f t="shared" si="10"/>
        <v>2.0513769835492539</v>
      </c>
      <c r="V34" s="12">
        <f t="shared" si="11"/>
        <v>62.698623016450746</v>
      </c>
      <c r="W34" s="9">
        <f t="shared" si="12"/>
        <v>1.5949313587598598E-2</v>
      </c>
      <c r="X34" s="9">
        <f t="shared" si="13"/>
        <v>0.34392561915427738</v>
      </c>
    </row>
    <row r="35" spans="1:24" x14ac:dyDescent="0.25">
      <c r="A35" t="s">
        <v>87</v>
      </c>
      <c r="B35" t="s">
        <v>88</v>
      </c>
      <c r="C35" s="32" t="s">
        <v>89</v>
      </c>
      <c r="D35" s="8">
        <v>45627</v>
      </c>
      <c r="E35" s="2">
        <v>9.9999999999999998E-20</v>
      </c>
      <c r="F35" s="1">
        <v>133.53</v>
      </c>
      <c r="G35" s="1">
        <f t="shared" si="0"/>
        <v>1.3353E-17</v>
      </c>
      <c r="H35" s="13">
        <v>7.0000000000000007E-2</v>
      </c>
      <c r="I35" s="11">
        <v>0.2</v>
      </c>
      <c r="J35" s="9">
        <f t="shared" si="1"/>
        <v>0.35000000000000003</v>
      </c>
      <c r="K35" s="9">
        <f t="shared" si="2"/>
        <v>1.8004804522143883E-2</v>
      </c>
      <c r="L35" s="9">
        <f t="shared" si="3"/>
        <v>2.6706000000000003E-18</v>
      </c>
      <c r="M35" s="12">
        <f t="shared" si="14"/>
        <v>142.87710000000001</v>
      </c>
      <c r="N35" s="12">
        <f t="shared" si="4"/>
        <v>1.428771E-17</v>
      </c>
      <c r="O35" s="46">
        <f t="shared" si="15"/>
        <v>133.53</v>
      </c>
      <c r="P35" s="12">
        <f t="shared" si="5"/>
        <v>1.3353E-17</v>
      </c>
      <c r="Q35" s="12">
        <f t="shared" si="6"/>
        <v>0</v>
      </c>
      <c r="R35" s="12">
        <f t="shared" si="7"/>
        <v>118.16814159292036</v>
      </c>
      <c r="S35" s="12">
        <f t="shared" si="8"/>
        <v>9.3471000000000117</v>
      </c>
      <c r="T35" s="12">
        <f t="shared" si="9"/>
        <v>-7.6809292035398187</v>
      </c>
      <c r="U35" s="15">
        <f t="shared" si="10"/>
        <v>1.6661707964601931</v>
      </c>
      <c r="V35" s="12">
        <f t="shared" si="11"/>
        <v>63.083829203539807</v>
      </c>
      <c r="W35" s="9">
        <f t="shared" si="12"/>
        <v>1.5851922951181398E-2</v>
      </c>
      <c r="X35" s="9">
        <f t="shared" si="13"/>
        <v>0.34603862052532669</v>
      </c>
    </row>
    <row r="36" spans="1:24" x14ac:dyDescent="0.25">
      <c r="A36" t="s">
        <v>40</v>
      </c>
      <c r="B36" s="7" t="s">
        <v>31</v>
      </c>
      <c r="C36" s="14" t="s">
        <v>32</v>
      </c>
      <c r="D36" s="8">
        <v>45511</v>
      </c>
      <c r="E36" s="2">
        <v>9.9999999999999998E-20</v>
      </c>
      <c r="F36" s="1">
        <v>113.58</v>
      </c>
      <c r="G36" s="1">
        <f t="shared" si="0"/>
        <v>1.1357999999999999E-17</v>
      </c>
      <c r="H36" s="13">
        <f>121.15/F36-1</f>
        <v>6.664905793273479E-2</v>
      </c>
      <c r="I36" s="11">
        <v>0.16439999999999999</v>
      </c>
      <c r="J36" s="9">
        <f t="shared" si="1"/>
        <v>0.40540789496797319</v>
      </c>
      <c r="K36" s="9">
        <f t="shared" si="2"/>
        <v>2.0855114001806271E-2</v>
      </c>
      <c r="L36" s="9">
        <f t="shared" si="3"/>
        <v>1.8672551999999998E-18</v>
      </c>
      <c r="M36" s="12">
        <f t="shared" si="14"/>
        <v>121.15000000000002</v>
      </c>
      <c r="N36" s="12">
        <f t="shared" si="4"/>
        <v>1.2115000000000002E-17</v>
      </c>
      <c r="O36" s="46">
        <f t="shared" si="15"/>
        <v>113.58</v>
      </c>
      <c r="P36" s="12">
        <f t="shared" si="5"/>
        <v>1.1357999999999999E-17</v>
      </c>
      <c r="Q36" s="12">
        <f t="shared" si="6"/>
        <v>0</v>
      </c>
      <c r="R36" s="12">
        <f t="shared" si="7"/>
        <v>103.46609203186667</v>
      </c>
      <c r="S36" s="12">
        <f t="shared" si="8"/>
        <v>7.5700000000000216</v>
      </c>
      <c r="T36" s="12">
        <f t="shared" si="9"/>
        <v>-5.0569539840666664</v>
      </c>
      <c r="U36" s="15">
        <f t="shared" si="10"/>
        <v>2.5130460159333552</v>
      </c>
      <c r="V36" s="12">
        <f t="shared" si="11"/>
        <v>62.236953984066645</v>
      </c>
      <c r="W36" s="9">
        <f t="shared" si="12"/>
        <v>1.60676243933148E-2</v>
      </c>
      <c r="X36" s="9">
        <f t="shared" si="13"/>
        <v>0.34139319020818398</v>
      </c>
    </row>
    <row r="37" spans="1:24" x14ac:dyDescent="0.25">
      <c r="A37" t="s">
        <v>38</v>
      </c>
      <c r="B37" s="5" t="s">
        <v>54</v>
      </c>
      <c r="C37" t="s">
        <v>55</v>
      </c>
      <c r="D37" s="8">
        <v>45505</v>
      </c>
      <c r="E37" s="2">
        <v>9.9999999999999998E-20</v>
      </c>
      <c r="F37" s="1">
        <v>86.6</v>
      </c>
      <c r="G37" s="1">
        <f t="shared" si="0"/>
        <v>8.6599999999999986E-18</v>
      </c>
      <c r="H37" s="13">
        <v>7.0000000000000007E-2</v>
      </c>
      <c r="I37" s="11">
        <v>0.17249999999999999</v>
      </c>
      <c r="J37" s="9">
        <f t="shared" si="1"/>
        <v>0.40579710144927544</v>
      </c>
      <c r="K37" s="9">
        <f t="shared" si="2"/>
        <v>2.0875135677847982E-2</v>
      </c>
      <c r="L37" s="9">
        <f t="shared" si="3"/>
        <v>1.4938499999999996E-18</v>
      </c>
      <c r="M37" s="12">
        <f t="shared" si="14"/>
        <v>92.662000000000006</v>
      </c>
      <c r="N37" s="12">
        <f t="shared" si="4"/>
        <v>9.2662000000000008E-18</v>
      </c>
      <c r="O37" s="46">
        <f t="shared" si="15"/>
        <v>86.6</v>
      </c>
      <c r="P37" s="12">
        <f t="shared" si="5"/>
        <v>8.6599999999999986E-18</v>
      </c>
      <c r="Q37" s="12">
        <f t="shared" si="6"/>
        <v>0</v>
      </c>
      <c r="R37" s="12">
        <f t="shared" si="7"/>
        <v>78.548752834467123</v>
      </c>
      <c r="S37" s="12">
        <f t="shared" si="8"/>
        <v>6.0620000000000118</v>
      </c>
      <c r="T37" s="12">
        <f t="shared" si="9"/>
        <v>-4.0256235827664355</v>
      </c>
      <c r="U37" s="15">
        <f t="shared" si="10"/>
        <v>2.0363764172335763</v>
      </c>
      <c r="V37" s="12">
        <f t="shared" si="11"/>
        <v>62.713623582766424</v>
      </c>
      <c r="W37" s="9">
        <f t="shared" si="12"/>
        <v>1.5945498647199807E-2</v>
      </c>
      <c r="X37" s="9">
        <f t="shared" si="13"/>
        <v>0.34400790292399319</v>
      </c>
    </row>
    <row r="38" spans="1:24" x14ac:dyDescent="0.25">
      <c r="A38" t="s">
        <v>36</v>
      </c>
      <c r="B38" s="3" t="s">
        <v>83</v>
      </c>
      <c r="C38" t="s">
        <v>84</v>
      </c>
      <c r="D38" s="8">
        <v>45481</v>
      </c>
      <c r="E38" s="2">
        <v>9.9999999999999998E-20</v>
      </c>
      <c r="F38" s="1">
        <v>64.349999999999994</v>
      </c>
      <c r="G38" s="1">
        <f t="shared" si="0"/>
        <v>6.4349999999999993E-18</v>
      </c>
      <c r="H38" s="13">
        <v>0.15</v>
      </c>
      <c r="I38" s="11">
        <v>0.67300000000000004</v>
      </c>
      <c r="J38" s="9">
        <f t="shared" si="1"/>
        <v>0.22288261515601782</v>
      </c>
      <c r="K38" s="9">
        <f t="shared" si="2"/>
        <v>1.1465594049338067E-2</v>
      </c>
      <c r="L38" s="9">
        <f t="shared" si="3"/>
        <v>4.3307549999999997E-18</v>
      </c>
      <c r="M38" s="12">
        <f t="shared" si="14"/>
        <v>74.002499999999984</v>
      </c>
      <c r="N38" s="12">
        <f t="shared" si="4"/>
        <v>7.4002499999999988E-18</v>
      </c>
      <c r="O38" s="46">
        <f t="shared" si="15"/>
        <v>64.349999999999994</v>
      </c>
      <c r="P38" s="12">
        <f t="shared" si="5"/>
        <v>6.4349999999999993E-18</v>
      </c>
      <c r="Q38" s="12">
        <f t="shared" si="6"/>
        <v>0</v>
      </c>
      <c r="R38" s="12">
        <f t="shared" si="7"/>
        <v>42.252133946158892</v>
      </c>
      <c r="S38" s="12">
        <f t="shared" si="8"/>
        <v>9.6524999999999892</v>
      </c>
      <c r="T38" s="12">
        <f t="shared" si="9"/>
        <v>-11.048933026920551</v>
      </c>
      <c r="U38" s="15">
        <f t="shared" si="10"/>
        <v>-1.3964330269205618</v>
      </c>
      <c r="V38" s="12">
        <f t="shared" si="11"/>
        <v>66.146433026920562</v>
      </c>
      <c r="W38" s="9">
        <f t="shared" si="12"/>
        <v>1.5117973173141711E-2</v>
      </c>
      <c r="X38" s="9">
        <f t="shared" si="13"/>
        <v>0.36283815878478926</v>
      </c>
    </row>
    <row r="39" spans="1:24" x14ac:dyDescent="0.25">
      <c r="A39" t="s">
        <v>71</v>
      </c>
      <c r="B39" s="5" t="s">
        <v>72</v>
      </c>
      <c r="C39" t="s">
        <v>73</v>
      </c>
      <c r="D39" s="8">
        <v>45562</v>
      </c>
      <c r="E39" s="2">
        <v>9.9999999999999998E-20</v>
      </c>
      <c r="F39" s="1">
        <v>56</v>
      </c>
      <c r="G39" s="1">
        <f t="shared" si="0"/>
        <v>5.5999999999999995E-18</v>
      </c>
      <c r="H39" s="13">
        <v>7.0000000000000007E-2</v>
      </c>
      <c r="I39" s="11">
        <v>0.19</v>
      </c>
      <c r="J39" s="9">
        <f t="shared" si="1"/>
        <v>0.36842105263157898</v>
      </c>
      <c r="K39" s="9">
        <f t="shared" si="2"/>
        <v>1.8952425812783034E-2</v>
      </c>
      <c r="L39" s="9">
        <f t="shared" si="3"/>
        <v>1.0639999999999999E-18</v>
      </c>
      <c r="M39" s="12">
        <f t="shared" si="14"/>
        <v>59.92</v>
      </c>
      <c r="N39" s="12">
        <f t="shared" si="4"/>
        <v>5.9920000000000002E-18</v>
      </c>
      <c r="O39" s="46">
        <f t="shared" si="15"/>
        <v>56</v>
      </c>
      <c r="P39" s="12">
        <f t="shared" si="5"/>
        <v>5.5999999999999995E-18</v>
      </c>
      <c r="Q39" s="12">
        <f t="shared" si="6"/>
        <v>0</v>
      </c>
      <c r="R39" s="12">
        <f t="shared" si="7"/>
        <v>50.000000000000007</v>
      </c>
      <c r="S39" s="12">
        <f t="shared" si="8"/>
        <v>3.9200000000000017</v>
      </c>
      <c r="T39" s="12">
        <f t="shared" si="9"/>
        <v>-2.9999999999999964</v>
      </c>
      <c r="U39" s="15">
        <f t="shared" si="10"/>
        <v>0.92000000000000526</v>
      </c>
      <c r="V39" s="12">
        <f t="shared" si="11"/>
        <v>63.83</v>
      </c>
      <c r="W39" s="9">
        <f t="shared" si="12"/>
        <v>1.5666614444618518E-2</v>
      </c>
      <c r="X39" s="9">
        <f t="shared" si="13"/>
        <v>0.3501316490612178</v>
      </c>
    </row>
    <row r="40" spans="1:24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 t="shared" si="0"/>
        <v>4.7419999999999999E-18</v>
      </c>
      <c r="H40" s="13">
        <v>7.0000000000000007E-2</v>
      </c>
      <c r="I40" s="11">
        <v>0.4</v>
      </c>
      <c r="J40" s="9">
        <f t="shared" si="1"/>
        <v>0.17500000000000002</v>
      </c>
      <c r="K40" s="9">
        <f t="shared" si="2"/>
        <v>9.0024022610719415E-3</v>
      </c>
      <c r="L40" s="9">
        <f t="shared" si="3"/>
        <v>1.8968000000000002E-18</v>
      </c>
      <c r="M40" s="12">
        <f t="shared" si="14"/>
        <v>50.739400000000003</v>
      </c>
      <c r="N40" s="12">
        <f t="shared" si="4"/>
        <v>5.0739400000000001E-18</v>
      </c>
      <c r="O40" s="46">
        <f t="shared" si="15"/>
        <v>47.42</v>
      </c>
      <c r="P40" s="12">
        <f t="shared" si="5"/>
        <v>4.7419999999999999E-18</v>
      </c>
      <c r="Q40" s="12">
        <f t="shared" si="6"/>
        <v>0</v>
      </c>
      <c r="R40" s="12">
        <f t="shared" si="7"/>
        <v>35.654135338345867</v>
      </c>
      <c r="S40" s="12">
        <f t="shared" si="8"/>
        <v>3.3194000000000017</v>
      </c>
      <c r="T40" s="12">
        <f t="shared" si="9"/>
        <v>-5.8829323308270673</v>
      </c>
      <c r="U40" s="15">
        <f t="shared" si="10"/>
        <v>-2.5635323308270657</v>
      </c>
      <c r="V40" s="12">
        <f t="shared" si="11"/>
        <v>67.313532330827059</v>
      </c>
      <c r="W40" s="9">
        <f t="shared" si="12"/>
        <v>1.4855853873264021E-2</v>
      </c>
      <c r="X40" s="9">
        <f t="shared" si="13"/>
        <v>0.36924013910587622</v>
      </c>
    </row>
    <row r="41" spans="1:24" x14ac:dyDescent="0.25">
      <c r="A41" t="s">
        <v>40</v>
      </c>
      <c r="B41" s="7" t="s">
        <v>93</v>
      </c>
      <c r="C41" s="32" t="s">
        <v>92</v>
      </c>
      <c r="D41" s="8">
        <v>45627</v>
      </c>
      <c r="E41" s="2">
        <v>9.9999999999999998E-20</v>
      </c>
      <c r="F41" s="1">
        <v>26.63</v>
      </c>
      <c r="G41" s="1">
        <f t="shared" si="0"/>
        <v>2.663E-18</v>
      </c>
      <c r="H41" s="13">
        <v>0.1</v>
      </c>
      <c r="I41" s="11">
        <v>0.2</v>
      </c>
      <c r="J41" s="9">
        <f t="shared" si="1"/>
        <v>0.5</v>
      </c>
      <c r="K41" s="9">
        <f t="shared" si="2"/>
        <v>2.57211493173484E-2</v>
      </c>
      <c r="L41" s="9">
        <f t="shared" si="3"/>
        <v>5.3260000000000006E-19</v>
      </c>
      <c r="M41" s="12">
        <f t="shared" si="14"/>
        <v>29.293000000000003</v>
      </c>
      <c r="N41" s="12">
        <f t="shared" si="4"/>
        <v>2.9293000000000003E-18</v>
      </c>
      <c r="O41" s="46">
        <f t="shared" si="15"/>
        <v>26.63</v>
      </c>
      <c r="P41" s="12">
        <f t="shared" si="5"/>
        <v>2.663E-18</v>
      </c>
      <c r="Q41" s="12">
        <f t="shared" si="6"/>
        <v>0</v>
      </c>
      <c r="R41" s="12">
        <f t="shared" si="7"/>
        <v>24.209090909090911</v>
      </c>
      <c r="S41" s="12">
        <f t="shared" si="8"/>
        <v>2.6630000000000038</v>
      </c>
      <c r="T41" s="12">
        <f t="shared" si="9"/>
        <v>-1.2104545454545441</v>
      </c>
      <c r="U41" s="15">
        <f t="shared" si="10"/>
        <v>1.4525454545454597</v>
      </c>
      <c r="V41" s="12">
        <f t="shared" si="11"/>
        <v>63.297454545454542</v>
      </c>
      <c r="W41" s="9">
        <f t="shared" si="12"/>
        <v>1.5798423604568332E-2</v>
      </c>
      <c r="X41" s="9">
        <f t="shared" si="13"/>
        <v>0.34721043618012654</v>
      </c>
    </row>
    <row r="42" spans="1:24" x14ac:dyDescent="0.25">
      <c r="A42" t="s">
        <v>40</v>
      </c>
      <c r="B42" s="7" t="s">
        <v>49</v>
      </c>
      <c r="C42" s="14" t="s">
        <v>48</v>
      </c>
      <c r="D42" s="8">
        <v>45511</v>
      </c>
      <c r="E42" s="2">
        <v>9.9999999999999998E-20</v>
      </c>
      <c r="F42" s="1">
        <v>20.82</v>
      </c>
      <c r="G42" s="1">
        <f t="shared" si="0"/>
        <v>2.0820000000000002E-18</v>
      </c>
      <c r="H42" s="13">
        <v>0.05</v>
      </c>
      <c r="I42" s="11">
        <v>0.7389</v>
      </c>
      <c r="J42" s="9">
        <f t="shared" si="1"/>
        <v>6.7668155366084726E-2</v>
      </c>
      <c r="K42" s="9">
        <f t="shared" si="2"/>
        <v>3.4810054564011913E-3</v>
      </c>
      <c r="L42" s="9">
        <f t="shared" si="3"/>
        <v>1.5383898E-18</v>
      </c>
      <c r="M42" s="12">
        <f t="shared" si="14"/>
        <v>21.861000000000001</v>
      </c>
      <c r="N42" s="12">
        <f t="shared" si="4"/>
        <v>2.1860999999999999E-18</v>
      </c>
      <c r="O42" s="46">
        <f t="shared" si="15"/>
        <v>20.82</v>
      </c>
      <c r="P42" s="12">
        <f t="shared" si="5"/>
        <v>2.0820000000000002E-18</v>
      </c>
      <c r="Q42" s="12">
        <f t="shared" si="6"/>
        <v>0</v>
      </c>
      <c r="R42" s="12">
        <f t="shared" si="7"/>
        <v>12.327550476641601</v>
      </c>
      <c r="S42" s="12">
        <f t="shared" si="8"/>
        <v>1.0410000000000004</v>
      </c>
      <c r="T42" s="12">
        <f t="shared" si="9"/>
        <v>-4.2462247616791995</v>
      </c>
      <c r="U42" s="15">
        <f t="shared" si="10"/>
        <v>-3.2052247616791991</v>
      </c>
      <c r="V42" s="12">
        <f t="shared" si="11"/>
        <v>67.955224761679204</v>
      </c>
      <c r="W42" s="9">
        <f t="shared" si="12"/>
        <v>1.4715571959433979E-2</v>
      </c>
      <c r="X42" s="9">
        <f t="shared" si="13"/>
        <v>0.37276006436052705</v>
      </c>
    </row>
    <row r="43" spans="1:24" x14ac:dyDescent="0.25">
      <c r="A43" t="s">
        <v>74</v>
      </c>
      <c r="B43" s="5" t="s">
        <v>75</v>
      </c>
      <c r="C43" t="s">
        <v>76</v>
      </c>
      <c r="D43" s="8">
        <v>45580</v>
      </c>
      <c r="E43" s="2">
        <v>9.9999999999999998E-20</v>
      </c>
      <c r="F43" s="1">
        <v>17</v>
      </c>
      <c r="G43" s="1">
        <f t="shared" si="0"/>
        <v>1.7E-18</v>
      </c>
      <c r="H43" s="13">
        <v>0.1</v>
      </c>
      <c r="I43" s="11">
        <v>0.15</v>
      </c>
      <c r="J43" s="9">
        <f t="shared" si="1"/>
        <v>0.66666666666666674</v>
      </c>
      <c r="K43" s="9">
        <f t="shared" si="2"/>
        <v>3.4294865756464538E-2</v>
      </c>
      <c r="L43" s="9">
        <f t="shared" si="3"/>
        <v>2.5499999999999999E-19</v>
      </c>
      <c r="M43" s="12">
        <v>21.2</v>
      </c>
      <c r="N43" s="12">
        <f t="shared" si="4"/>
        <v>2.1199999999999999E-18</v>
      </c>
      <c r="O43" s="46">
        <f t="shared" si="15"/>
        <v>17</v>
      </c>
      <c r="P43" s="12">
        <f t="shared" si="5"/>
        <v>1.7E-18</v>
      </c>
      <c r="Q43" s="12">
        <f t="shared" si="6"/>
        <v>0</v>
      </c>
      <c r="R43" s="12">
        <f t="shared" si="7"/>
        <v>16.190476190476193</v>
      </c>
      <c r="S43" s="12">
        <f t="shared" si="8"/>
        <v>4.1999999999999993</v>
      </c>
      <c r="T43" s="12">
        <f t="shared" si="9"/>
        <v>-0.40476190476190332</v>
      </c>
      <c r="U43" s="15">
        <f t="shared" si="10"/>
        <v>3.795238095238096</v>
      </c>
      <c r="V43" s="12">
        <f t="shared" si="11"/>
        <v>60.954761904761902</v>
      </c>
      <c r="W43" s="9">
        <f t="shared" si="12"/>
        <v>1.6405609155892349E-2</v>
      </c>
      <c r="X43" s="9">
        <f t="shared" si="13"/>
        <v>0.33435988256067967</v>
      </c>
    </row>
    <row r="44" spans="1:24" x14ac:dyDescent="0.25">
      <c r="A44" t="s">
        <v>40</v>
      </c>
      <c r="B44" s="7" t="s">
        <v>52</v>
      </c>
      <c r="C44" t="s">
        <v>53</v>
      </c>
      <c r="D44" s="8">
        <v>45511</v>
      </c>
      <c r="E44" s="2">
        <v>9.9999999999999998E-20</v>
      </c>
      <c r="F44" s="1">
        <v>13.04</v>
      </c>
      <c r="G44" s="1">
        <f t="shared" si="0"/>
        <v>1.304E-18</v>
      </c>
      <c r="H44" s="13">
        <f>13.72/F44-1</f>
        <v>5.2147239263803824E-2</v>
      </c>
      <c r="I44" s="11">
        <v>0.30159999999999998</v>
      </c>
      <c r="J44" s="9">
        <f t="shared" si="1"/>
        <v>0.17290198694895167</v>
      </c>
      <c r="K44" s="9">
        <f t="shared" si="2"/>
        <v>8.8944756471604214E-3</v>
      </c>
      <c r="L44" s="9">
        <f t="shared" si="3"/>
        <v>3.9328639999999997E-19</v>
      </c>
      <c r="M44" s="12">
        <f>F44/(1-(F44*(1+H44)-F44)/(F44*(1+H44)))</f>
        <v>13.72</v>
      </c>
      <c r="N44" s="12">
        <f t="shared" si="4"/>
        <v>1.3720000000000001E-18</v>
      </c>
      <c r="O44" s="46">
        <f t="shared" si="15"/>
        <v>13.04</v>
      </c>
      <c r="P44" s="12">
        <f t="shared" si="5"/>
        <v>1.304E-18</v>
      </c>
      <c r="Q44" s="12">
        <f t="shared" si="6"/>
        <v>0</v>
      </c>
      <c r="R44" s="12">
        <f t="shared" si="7"/>
        <v>10.436569040286594</v>
      </c>
      <c r="S44" s="12">
        <f t="shared" si="8"/>
        <v>0.68000000000000149</v>
      </c>
      <c r="T44" s="12">
        <f t="shared" si="9"/>
        <v>-1.3017154798567026</v>
      </c>
      <c r="U44" s="15">
        <f t="shared" si="10"/>
        <v>-0.62171547985670106</v>
      </c>
      <c r="V44" s="12">
        <f t="shared" si="11"/>
        <v>65.371715479856704</v>
      </c>
      <c r="W44" s="9">
        <f t="shared" si="12"/>
        <v>1.5297135659659027E-2</v>
      </c>
      <c r="X44" s="9">
        <f t="shared" si="13"/>
        <v>0.35858854054399136</v>
      </c>
    </row>
    <row r="45" spans="1:24" x14ac:dyDescent="0.25">
      <c r="A45" t="s">
        <v>40</v>
      </c>
      <c r="B45" s="7" t="s">
        <v>45</v>
      </c>
      <c r="C45" t="s">
        <v>44</v>
      </c>
      <c r="D45" s="8">
        <v>45511</v>
      </c>
      <c r="E45" s="2">
        <v>9.9999999999999998E-20</v>
      </c>
      <c r="F45" s="1">
        <v>11.05</v>
      </c>
      <c r="G45" s="1">
        <f t="shared" si="0"/>
        <v>1.1050000000000001E-18</v>
      </c>
      <c r="H45" s="13">
        <v>0.05</v>
      </c>
      <c r="I45" s="11">
        <v>0.72170000000000001</v>
      </c>
      <c r="J45" s="9">
        <f t="shared" si="1"/>
        <v>6.9280864625190522E-2</v>
      </c>
      <c r="K45" s="9">
        <f t="shared" si="2"/>
        <v>3.5639669277190522E-3</v>
      </c>
      <c r="L45" s="9">
        <f t="shared" si="3"/>
        <v>7.9747850000000009E-19</v>
      </c>
      <c r="M45" s="12">
        <f>F45/(1-(F45*(1+H45)-F45)/(F45*(1+H45)))</f>
        <v>11.602500000000001</v>
      </c>
      <c r="N45" s="12">
        <f t="shared" si="4"/>
        <v>1.16025E-18</v>
      </c>
      <c r="O45" s="46">
        <f t="shared" si="15"/>
        <v>11.05</v>
      </c>
      <c r="P45" s="12">
        <f t="shared" si="5"/>
        <v>1.1050000000000001E-18</v>
      </c>
      <c r="Q45" s="12">
        <f t="shared" si="6"/>
        <v>0</v>
      </c>
      <c r="R45" s="12">
        <f t="shared" si="7"/>
        <v>6.6100376861877139</v>
      </c>
      <c r="S45" s="12">
        <f t="shared" si="8"/>
        <v>0.55250000000000021</v>
      </c>
      <c r="T45" s="12">
        <f t="shared" si="9"/>
        <v>-2.2199811569061434</v>
      </c>
      <c r="U45" s="15">
        <f t="shared" si="10"/>
        <v>-1.6674811569061432</v>
      </c>
      <c r="V45" s="12">
        <f t="shared" si="11"/>
        <v>66.417481156906149</v>
      </c>
      <c r="W45" s="9">
        <f t="shared" si="12"/>
        <v>1.5056277091231109E-2</v>
      </c>
      <c r="X45" s="9">
        <f t="shared" si="13"/>
        <v>0.36432496011217158</v>
      </c>
    </row>
    <row r="46" spans="1:24" x14ac:dyDescent="0.25">
      <c r="A46" t="s">
        <v>40</v>
      </c>
      <c r="B46" s="7" t="s">
        <v>51</v>
      </c>
      <c r="C46" s="14" t="s">
        <v>50</v>
      </c>
      <c r="D46" s="8">
        <v>45511</v>
      </c>
      <c r="E46" s="2">
        <v>9.9999999999999998E-20</v>
      </c>
      <c r="F46" s="1">
        <v>10.92</v>
      </c>
      <c r="G46" s="1">
        <f t="shared" si="0"/>
        <v>1.092E-18</v>
      </c>
      <c r="H46" s="13">
        <v>1</v>
      </c>
      <c r="I46" s="13">
        <v>1.8652</v>
      </c>
      <c r="J46" s="9">
        <f t="shared" si="1"/>
        <v>0.53613553506326406</v>
      </c>
      <c r="K46" s="9">
        <f t="shared" si="2"/>
        <v>2.7580044303397385E-2</v>
      </c>
      <c r="L46" s="9">
        <f t="shared" si="3"/>
        <v>2.0367984000000001E-18</v>
      </c>
      <c r="M46" s="12">
        <f>F46/(1-(F46*(1+H46)-F46)/(F46*(1+H46)))</f>
        <v>21.84</v>
      </c>
      <c r="N46" s="12">
        <f t="shared" si="4"/>
        <v>2.1840000000000001E-18</v>
      </c>
      <c r="O46" s="46">
        <f t="shared" si="15"/>
        <v>10.92</v>
      </c>
      <c r="P46" s="12">
        <f t="shared" si="5"/>
        <v>1.092E-18</v>
      </c>
      <c r="Q46" s="12">
        <f t="shared" si="6"/>
        <v>0</v>
      </c>
      <c r="R46" s="12">
        <f t="shared" si="7"/>
        <v>5.8546000428908433</v>
      </c>
      <c r="S46" s="12">
        <f t="shared" si="8"/>
        <v>10.92</v>
      </c>
      <c r="T46" s="12">
        <f t="shared" si="9"/>
        <v>-2.5326999785545783</v>
      </c>
      <c r="U46" s="15">
        <f t="shared" si="10"/>
        <v>8.3873000214454212</v>
      </c>
      <c r="V46" s="12">
        <f t="shared" si="11"/>
        <v>56.362699978554581</v>
      </c>
      <c r="W46" s="9">
        <f t="shared" si="12"/>
        <v>1.7742230240575585E-2</v>
      </c>
      <c r="X46" s="9">
        <f t="shared" si="13"/>
        <v>0.30917068915923518</v>
      </c>
    </row>
    <row r="49" spans="4:4" x14ac:dyDescent="0.25">
      <c r="D49" s="44"/>
    </row>
  </sheetData>
  <autoFilter ref="A1:X46" xr:uid="{00000000-0001-0000-0000-000000000000}">
    <sortState xmlns:xlrd2="http://schemas.microsoft.com/office/spreadsheetml/2017/richdata2" ref="A2:X46">
      <sortCondition descending="1" ref="G1:G45"/>
    </sortState>
  </autoFilter>
  <conditionalFormatting sqref="W2:W44">
    <cfRule type="iconSet" priority="19">
      <iconSet iconSet="3Symbols">
        <cfvo type="percent" val="0"/>
        <cfvo type="percent" val="33"/>
        <cfvo type="percent" val="67"/>
      </iconSet>
    </cfRule>
  </conditionalFormatting>
  <conditionalFormatting sqref="W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1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X2:X44</xm:sqref>
        </x14:conditionalFormatting>
        <x14:conditionalFormatting xmlns:xm="http://schemas.microsoft.com/office/excel/2006/main">
          <x14:cfRule type="iconSet" priority="2" id="{412D5546-B893-48A5-8CC5-7082D8A5B85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DJ31"/>
  <sheetViews>
    <sheetView zoomScale="115" zoomScaleNormal="115" workbookViewId="0">
      <selection activeCell="A5" sqref="A5"/>
    </sheetView>
  </sheetViews>
  <sheetFormatPr defaultRowHeight="15" outlineLevelCol="2" x14ac:dyDescent="0.25"/>
  <cols>
    <col min="1" max="1" width="18.5703125" bestFit="1" customWidth="1"/>
    <col min="2" max="2" width="15.140625" bestFit="1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  <col min="105" max="105" width="14.28515625" bestFit="1" customWidth="1"/>
    <col min="106" max="106" width="15.140625" customWidth="1"/>
    <col min="107" max="107" width="6" bestFit="1" customWidth="1"/>
    <col min="110" max="110" width="9.7109375" hidden="1" customWidth="1"/>
  </cols>
  <sheetData>
    <row r="1" spans="1:114" x14ac:dyDescent="0.25">
      <c r="A1" s="20" t="s">
        <v>157</v>
      </c>
      <c r="B1" t="s">
        <v>158</v>
      </c>
      <c r="L1" s="69" t="s">
        <v>114</v>
      </c>
      <c r="M1" s="69"/>
      <c r="N1" s="69"/>
      <c r="O1" s="69"/>
      <c r="P1" s="69"/>
      <c r="Q1" s="26"/>
      <c r="R1" s="69" t="s">
        <v>109</v>
      </c>
      <c r="S1" s="69"/>
      <c r="V1" s="69" t="s">
        <v>108</v>
      </c>
      <c r="W1" s="69"/>
      <c r="X1" s="69"/>
      <c r="Y1" s="69"/>
      <c r="Z1" s="69"/>
      <c r="AC1" s="69" t="s">
        <v>108</v>
      </c>
      <c r="AD1" s="69"/>
      <c r="AE1" s="69"/>
      <c r="AF1" s="69"/>
      <c r="AG1" s="69"/>
      <c r="AJ1" s="69" t="s">
        <v>131</v>
      </c>
      <c r="AK1" s="69"/>
      <c r="AL1" s="69"/>
      <c r="AM1" s="69"/>
      <c r="AN1" s="69"/>
      <c r="AQ1" s="69" t="s">
        <v>139</v>
      </c>
      <c r="AR1" s="69"/>
      <c r="AS1" s="69"/>
      <c r="AT1" s="69"/>
      <c r="AU1" s="69"/>
      <c r="AV1" s="69"/>
      <c r="AY1" s="69" t="s">
        <v>142</v>
      </c>
      <c r="AZ1" s="69"/>
      <c r="BA1" s="69"/>
      <c r="BB1" s="69"/>
      <c r="BC1" s="69"/>
      <c r="BD1" s="69"/>
      <c r="BE1" s="69"/>
      <c r="BF1" s="69"/>
      <c r="BG1" t="s">
        <v>159</v>
      </c>
      <c r="BH1" t="s">
        <v>160</v>
      </c>
      <c r="BJ1" s="69" t="s">
        <v>144</v>
      </c>
      <c r="BK1" s="69"/>
      <c r="BL1" s="69"/>
      <c r="BM1" s="69"/>
      <c r="BN1" s="69"/>
      <c r="BO1" s="69"/>
      <c r="BP1" s="69"/>
      <c r="BQ1" s="69"/>
      <c r="BR1" s="10" t="s">
        <v>161</v>
      </c>
      <c r="BS1" s="10" t="s">
        <v>162</v>
      </c>
      <c r="BU1" s="69" t="s">
        <v>144</v>
      </c>
      <c r="BV1" s="69"/>
      <c r="BW1" s="69"/>
      <c r="BX1" s="69"/>
      <c r="BY1" s="69"/>
      <c r="BZ1" s="69"/>
      <c r="CA1" s="69"/>
      <c r="CB1" s="69"/>
      <c r="CC1" s="10" t="s">
        <v>161</v>
      </c>
      <c r="CD1" s="10" t="s">
        <v>162</v>
      </c>
      <c r="CF1" s="69" t="s">
        <v>164</v>
      </c>
      <c r="CG1" s="69"/>
      <c r="CH1" s="69"/>
      <c r="CI1" s="69"/>
      <c r="CJ1" s="69"/>
      <c r="CK1" s="69"/>
      <c r="CL1" s="69"/>
      <c r="CM1" s="69"/>
      <c r="CN1" s="10" t="s">
        <v>161</v>
      </c>
      <c r="CO1" s="10" t="s">
        <v>162</v>
      </c>
      <c r="CQ1" s="69" t="s">
        <v>163</v>
      </c>
      <c r="CR1" s="69"/>
      <c r="CS1" s="69"/>
      <c r="CT1" s="69"/>
      <c r="CU1" s="69"/>
      <c r="CV1" s="69"/>
      <c r="CW1" s="69"/>
      <c r="CX1" s="69"/>
      <c r="CY1" s="10" t="s">
        <v>161</v>
      </c>
      <c r="CZ1" s="10" t="s">
        <v>162</v>
      </c>
      <c r="DB1" s="69" t="s">
        <v>168</v>
      </c>
      <c r="DC1" s="69"/>
      <c r="DD1" s="69"/>
      <c r="DE1" s="69"/>
      <c r="DF1" s="69"/>
      <c r="DG1" s="69"/>
      <c r="DH1" s="69"/>
      <c r="DI1" s="69"/>
    </row>
    <row r="2" spans="1:114" x14ac:dyDescent="0.25">
      <c r="L2" s="70">
        <v>46000</v>
      </c>
      <c r="M2" s="70"/>
      <c r="N2" s="70"/>
      <c r="O2" s="70"/>
      <c r="P2" s="70"/>
      <c r="Q2" s="27"/>
      <c r="R2" s="70">
        <v>45684</v>
      </c>
      <c r="S2" s="69"/>
      <c r="V2" s="70">
        <v>45685</v>
      </c>
      <c r="W2" s="70"/>
      <c r="X2" s="70"/>
      <c r="Y2" s="70"/>
      <c r="Z2" s="70"/>
      <c r="AC2" s="70">
        <v>45688</v>
      </c>
      <c r="AD2" s="70"/>
      <c r="AE2" s="70"/>
      <c r="AF2" s="70"/>
      <c r="AG2" s="70"/>
      <c r="AJ2" s="70">
        <v>45695</v>
      </c>
      <c r="AK2" s="70"/>
      <c r="AL2" s="70"/>
      <c r="AM2" s="70"/>
      <c r="AN2" s="70"/>
      <c r="AQ2" s="70">
        <v>45702</v>
      </c>
      <c r="AR2" s="70"/>
      <c r="AS2" s="70"/>
      <c r="AT2" s="70"/>
      <c r="AU2" s="70"/>
      <c r="AV2" s="70"/>
      <c r="AY2" s="70">
        <v>45711</v>
      </c>
      <c r="AZ2" s="70"/>
      <c r="BA2" s="70"/>
      <c r="BB2" s="70"/>
      <c r="BC2" s="70"/>
      <c r="BD2" s="70"/>
      <c r="BE2" s="70"/>
      <c r="BF2" s="70"/>
      <c r="BG2" s="56">
        <f>((AY14+BF14)/AY14)^(1/((AY2-AQ2)/7))-1</f>
        <v>7.8250579652632268E-3</v>
      </c>
      <c r="BH2" s="9">
        <f>(1+BG2)^(36)-1</f>
        <v>0.32393138919216002</v>
      </c>
      <c r="BJ2" s="70">
        <v>45716</v>
      </c>
      <c r="BK2" s="70"/>
      <c r="BL2" s="70"/>
      <c r="BM2" s="70"/>
      <c r="BN2" s="70"/>
      <c r="BO2" s="70"/>
      <c r="BP2" s="70"/>
      <c r="BQ2" s="70"/>
      <c r="BR2" s="56">
        <f>((BJ14+BQ14)/BJ14)^(1/((BJ2-AY2)/7))-1</f>
        <v>-3.6296067687099143E-2</v>
      </c>
      <c r="BS2" s="9">
        <f>(1+BR2)^(36)-1</f>
        <v>-0.73577693917594722</v>
      </c>
      <c r="BU2" s="70">
        <v>45723</v>
      </c>
      <c r="BV2" s="70"/>
      <c r="BW2" s="70"/>
      <c r="BX2" s="70"/>
      <c r="BY2" s="70"/>
      <c r="BZ2" s="70"/>
      <c r="CA2" s="70"/>
      <c r="CB2" s="70"/>
      <c r="CC2" s="56">
        <f>((BU14+CB14)/BU14)^(1/((BU2-BJ2)/7))-1</f>
        <v>1.7693849525515226E-3</v>
      </c>
      <c r="CD2" s="9">
        <f>(1+CC2)^(36)-1</f>
        <v>6.5710349506775456E-2</v>
      </c>
      <c r="CF2" s="70">
        <v>45730</v>
      </c>
      <c r="CG2" s="70"/>
      <c r="CH2" s="70"/>
      <c r="CI2" s="70"/>
      <c r="CJ2" s="70"/>
      <c r="CK2" s="70"/>
      <c r="CL2" s="70"/>
      <c r="CM2" s="70"/>
      <c r="CN2" s="56">
        <f>((CF14+CM14)/CF14)^(1/((CF2-BU2)/7))-1</f>
        <v>-2.4417601324878913E-2</v>
      </c>
      <c r="CO2" s="9">
        <f>(1+CN2)^(36)-1</f>
        <v>-0.58932106766148507</v>
      </c>
      <c r="CQ2" s="70">
        <v>45736</v>
      </c>
      <c r="CR2" s="70"/>
      <c r="CS2" s="70"/>
      <c r="CT2" s="70"/>
      <c r="CU2" s="70"/>
      <c r="CV2" s="70"/>
      <c r="CW2" s="70"/>
      <c r="CX2" s="70"/>
      <c r="CY2" s="57">
        <f>((CQ14+CX14)/CQ14)^(1/((CQ2-CF2)/7))-1</f>
        <v>1.6751468666117653E-2</v>
      </c>
      <c r="CZ2" s="57">
        <f>(1+CY2)^(36)-1</f>
        <v>0.81858289724574784</v>
      </c>
      <c r="DB2" s="70">
        <v>45751</v>
      </c>
      <c r="DC2" s="70"/>
      <c r="DD2" s="70"/>
      <c r="DE2" s="70"/>
      <c r="DF2" s="70"/>
      <c r="DG2" s="70"/>
      <c r="DH2" s="70"/>
      <c r="DI2" s="70"/>
    </row>
    <row r="3" spans="1:114" ht="32.25" customHeight="1" x14ac:dyDescent="0.25">
      <c r="A3" s="20" t="s">
        <v>104</v>
      </c>
      <c r="B3" s="10" t="s">
        <v>106</v>
      </c>
      <c r="C3" s="10" t="s">
        <v>107</v>
      </c>
      <c r="D3" s="16" t="s">
        <v>141</v>
      </c>
      <c r="E3" s="16" t="s">
        <v>111</v>
      </c>
      <c r="F3" s="16" t="s">
        <v>112</v>
      </c>
      <c r="G3" s="16" t="s">
        <v>137</v>
      </c>
      <c r="H3" s="16" t="s">
        <v>138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137</v>
      </c>
      <c r="AV3" s="45" t="s">
        <v>138</v>
      </c>
      <c r="AX3" s="28" t="s">
        <v>104</v>
      </c>
      <c r="AY3" s="23" t="s">
        <v>106</v>
      </c>
      <c r="AZ3" s="23" t="s">
        <v>107</v>
      </c>
      <c r="BA3" s="45" t="s">
        <v>141</v>
      </c>
      <c r="BB3" s="45" t="s">
        <v>111</v>
      </c>
      <c r="BC3" s="45" t="s">
        <v>112</v>
      </c>
      <c r="BD3" s="45" t="s">
        <v>137</v>
      </c>
      <c r="BE3" s="45" t="s">
        <v>138</v>
      </c>
      <c r="BF3" s="47" t="s">
        <v>143</v>
      </c>
      <c r="BG3" s="47" t="s">
        <v>153</v>
      </c>
      <c r="BI3" s="28" t="s">
        <v>104</v>
      </c>
      <c r="BJ3" s="23" t="s">
        <v>106</v>
      </c>
      <c r="BK3" s="23" t="s">
        <v>107</v>
      </c>
      <c r="BL3" s="45" t="s">
        <v>141</v>
      </c>
      <c r="BM3" s="45" t="s">
        <v>111</v>
      </c>
      <c r="BN3" s="45" t="s">
        <v>112</v>
      </c>
      <c r="BO3" s="45" t="s">
        <v>137</v>
      </c>
      <c r="BP3" s="45" t="s">
        <v>138</v>
      </c>
      <c r="BQ3" s="47" t="s">
        <v>143</v>
      </c>
      <c r="BR3" s="47" t="s">
        <v>154</v>
      </c>
      <c r="BT3" s="28" t="s">
        <v>104</v>
      </c>
      <c r="BU3" s="23" t="s">
        <v>106</v>
      </c>
      <c r="BV3" s="23" t="s">
        <v>107</v>
      </c>
      <c r="BW3" s="45" t="s">
        <v>141</v>
      </c>
      <c r="BX3" s="45" t="s">
        <v>111</v>
      </c>
      <c r="BY3" s="45" t="s">
        <v>112</v>
      </c>
      <c r="BZ3" s="45" t="s">
        <v>137</v>
      </c>
      <c r="CA3" s="45" t="s">
        <v>138</v>
      </c>
      <c r="CB3" s="47" t="s">
        <v>143</v>
      </c>
      <c r="CC3" s="47" t="s">
        <v>154</v>
      </c>
      <c r="CE3" s="28" t="s">
        <v>104</v>
      </c>
      <c r="CF3" s="23" t="s">
        <v>106</v>
      </c>
      <c r="CG3" s="23" t="s">
        <v>107</v>
      </c>
      <c r="CH3" s="45" t="s">
        <v>141</v>
      </c>
      <c r="CI3" s="45" t="s">
        <v>111</v>
      </c>
      <c r="CJ3" s="45" t="s">
        <v>112</v>
      </c>
      <c r="CK3" s="45" t="s">
        <v>137</v>
      </c>
      <c r="CL3" s="45" t="s">
        <v>138</v>
      </c>
      <c r="CM3" s="47" t="s">
        <v>143</v>
      </c>
      <c r="CN3" s="47" t="s">
        <v>154</v>
      </c>
      <c r="CP3" s="28" t="s">
        <v>104</v>
      </c>
      <c r="CQ3" s="23" t="s">
        <v>106</v>
      </c>
      <c r="CR3" s="23" t="s">
        <v>107</v>
      </c>
      <c r="CS3" s="45" t="s">
        <v>141</v>
      </c>
      <c r="CT3" s="45" t="s">
        <v>111</v>
      </c>
      <c r="CU3" s="45" t="s">
        <v>112</v>
      </c>
      <c r="CV3" s="45" t="s">
        <v>137</v>
      </c>
      <c r="CW3" s="45" t="s">
        <v>138</v>
      </c>
      <c r="CX3" s="47" t="s">
        <v>143</v>
      </c>
      <c r="CY3" s="47" t="s">
        <v>165</v>
      </c>
      <c r="DA3" s="58" t="s">
        <v>104</v>
      </c>
      <c r="DB3" s="59" t="s">
        <v>106</v>
      </c>
      <c r="DC3" s="59" t="s">
        <v>107</v>
      </c>
      <c r="DD3" s="60" t="s">
        <v>141</v>
      </c>
      <c r="DE3" s="60" t="s">
        <v>111</v>
      </c>
      <c r="DF3" s="60" t="s">
        <v>112</v>
      </c>
      <c r="DG3" s="60" t="s">
        <v>137</v>
      </c>
      <c r="DH3" s="60" t="s">
        <v>138</v>
      </c>
      <c r="DI3" s="47" t="s">
        <v>143</v>
      </c>
      <c r="DJ3" s="47" t="s">
        <v>165</v>
      </c>
    </row>
    <row r="4" spans="1:114" x14ac:dyDescent="0.25">
      <c r="A4" s="21" t="s">
        <v>115</v>
      </c>
      <c r="B4" s="12">
        <v>405.18200000000002</v>
      </c>
      <c r="C4" s="22">
        <v>0.26577877359715768</v>
      </c>
      <c r="D4" s="29">
        <v>0.17020346412229564</v>
      </c>
      <c r="E4" s="29">
        <v>6.2412372711522224E-2</v>
      </c>
      <c r="F4" s="12">
        <v>25.288369999999986</v>
      </c>
      <c r="G4" s="29">
        <v>-7.4144458539619304E-2</v>
      </c>
      <c r="H4" s="12">
        <v>-30.04200000000003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4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4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4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4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4">
        <f>CV4-VLOOKUP(CP4,CE:CM,7,0)</f>
        <v>1.1545475105230019E-2</v>
      </c>
      <c r="DA4" s="61" t="s">
        <v>115</v>
      </c>
      <c r="DB4" s="62">
        <v>405.18200000000002</v>
      </c>
      <c r="DC4" s="63">
        <v>0.26577877359715768</v>
      </c>
      <c r="DD4" s="64">
        <v>0.17020346412229564</v>
      </c>
      <c r="DE4" s="64">
        <v>6.2412372711522224E-2</v>
      </c>
      <c r="DF4" s="62">
        <v>25.288369999999986</v>
      </c>
      <c r="DG4" s="64">
        <v>-7.4144458539619304E-2</v>
      </c>
      <c r="DH4" s="62">
        <v>-30.04200000000003</v>
      </c>
      <c r="DI4" s="41">
        <f>DH4-VLOOKUP(DA4,CP:CX,8,0)</f>
        <v>-23.934800000000024</v>
      </c>
      <c r="DJ4" s="54">
        <f>DG4-VLOOKUP(DA4,CP:CX,7,0)</f>
        <v>-4.5346691743436848E-2</v>
      </c>
    </row>
    <row r="5" spans="1:114" x14ac:dyDescent="0.25">
      <c r="A5" s="21" t="s">
        <v>40</v>
      </c>
      <c r="B5" s="12">
        <v>326.87035699999996</v>
      </c>
      <c r="C5" s="22">
        <v>0.21441032081564604</v>
      </c>
      <c r="D5" s="29">
        <v>0.37316652662664063</v>
      </c>
      <c r="E5" s="29">
        <v>0.19741585927903538</v>
      </c>
      <c r="F5" s="12">
        <v>64.529392400000063</v>
      </c>
      <c r="G5" s="29">
        <v>-0.13036696227550526</v>
      </c>
      <c r="H5" s="12">
        <v>-42.613095499999929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4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4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4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4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4">
        <f t="shared" ref="CY5:CY14" si="9">CV5-VLOOKUP(CP5,CE:CM,7,0)</f>
        <v>-4.037526769658701E-3</v>
      </c>
      <c r="DA5" s="61" t="s">
        <v>40</v>
      </c>
      <c r="DB5" s="62">
        <v>326.87035700000001</v>
      </c>
      <c r="DC5" s="63">
        <v>0.21441032081564609</v>
      </c>
      <c r="DD5" s="64">
        <v>0.37316652662664057</v>
      </c>
      <c r="DE5" s="64">
        <v>0.19741585927903493</v>
      </c>
      <c r="DF5" s="62">
        <v>64.529392399999949</v>
      </c>
      <c r="DG5" s="64">
        <v>-0.13036696227550557</v>
      </c>
      <c r="DH5" s="62">
        <v>-42.613095500000043</v>
      </c>
      <c r="DI5" s="41">
        <f t="shared" ref="DI5:DI14" si="10">DH5-VLOOKUP(DA5,CP:CX,8,0)</f>
        <v>-13.880736500000012</v>
      </c>
      <c r="DJ5" s="54">
        <f t="shared" ref="DJ5:DJ14" si="11">DG5-VLOOKUP(DA5,CP:CX,7,0)</f>
        <v>-3.9690809013084388E-2</v>
      </c>
    </row>
    <row r="6" spans="1:114" x14ac:dyDescent="0.25">
      <c r="A6" s="71" t="s">
        <v>47</v>
      </c>
      <c r="B6" s="12">
        <v>90.904544000000001</v>
      </c>
      <c r="C6" s="22">
        <v>0.27810580572162441</v>
      </c>
      <c r="D6" s="29">
        <v>0.52980000000000005</v>
      </c>
      <c r="E6" s="29">
        <v>0.23859471755339312</v>
      </c>
      <c r="F6" s="12">
        <v>21.689344000000006</v>
      </c>
      <c r="G6" s="29">
        <v>-0.23796284594970307</v>
      </c>
      <c r="H6" s="12">
        <v>-21.631904000000006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4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4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4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4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4">
        <f t="shared" si="9"/>
        <v>3.3036023220376895E-2</v>
      </c>
      <c r="DA6" s="61" t="s">
        <v>38</v>
      </c>
      <c r="DB6" s="62">
        <v>289.90281599999997</v>
      </c>
      <c r="DC6" s="63">
        <v>0.19016149507836591</v>
      </c>
      <c r="DD6" s="64">
        <v>0.18629770618302655</v>
      </c>
      <c r="DE6" s="64">
        <v>0.12853694904709045</v>
      </c>
      <c r="DF6" s="62">
        <v>37.263223488800008</v>
      </c>
      <c r="DG6" s="64">
        <v>2.5912994235971806E-2</v>
      </c>
      <c r="DH6" s="62">
        <v>7.5122499999999945</v>
      </c>
      <c r="DI6" s="41">
        <f t="shared" si="10"/>
        <v>-4.9715999999989435E-2</v>
      </c>
      <c r="DJ6" s="54">
        <f t="shared" si="11"/>
        <v>-7.9623474268431318E-4</v>
      </c>
    </row>
    <row r="7" spans="1:114" x14ac:dyDescent="0.25">
      <c r="A7" s="71" t="s">
        <v>94</v>
      </c>
      <c r="B7" s="12">
        <v>89.968879000000001</v>
      </c>
      <c r="C7" s="22">
        <v>0.2752433099952224</v>
      </c>
      <c r="D7" s="29">
        <v>0.45929999999999999</v>
      </c>
      <c r="E7" s="29">
        <v>0.31389026198714776</v>
      </c>
      <c r="F7" s="12">
        <v>28.240354999999994</v>
      </c>
      <c r="G7" s="29">
        <v>-0.12654473554127529</v>
      </c>
      <c r="H7" s="12">
        <v>-11.385087999999996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4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4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4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4">
        <f t="shared" si="7"/>
        <v>-2.5335366413393463E-2</v>
      </c>
      <c r="CP7" s="40" t="s">
        <v>115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4">
        <f t="shared" si="9"/>
        <v>2.9144818740805031E-2</v>
      </c>
      <c r="DA7" s="61" t="s">
        <v>36</v>
      </c>
      <c r="DB7" s="62">
        <v>280.56123500000001</v>
      </c>
      <c r="DC7" s="63">
        <v>0.1840338933052405</v>
      </c>
      <c r="DD7" s="64">
        <v>0.3172002082803777</v>
      </c>
      <c r="DE7" s="64">
        <v>0.25314434440666789</v>
      </c>
      <c r="DF7" s="62">
        <v>71.022489900000096</v>
      </c>
      <c r="DG7" s="64">
        <v>-0.103198437232428</v>
      </c>
      <c r="DH7" s="62">
        <v>-28.953480999999982</v>
      </c>
      <c r="DI7" s="41">
        <f t="shared" si="10"/>
        <v>-17.823400999999961</v>
      </c>
      <c r="DJ7" s="54">
        <f t="shared" si="11"/>
        <v>-5.385685622125834E-2</v>
      </c>
    </row>
    <row r="8" spans="1:114" x14ac:dyDescent="0.25">
      <c r="A8" s="71" t="s">
        <v>103</v>
      </c>
      <c r="B8" s="12">
        <v>60.019999999999996</v>
      </c>
      <c r="C8" s="22">
        <v>0.18362019900140411</v>
      </c>
      <c r="D8" s="29">
        <v>0.2</v>
      </c>
      <c r="E8" s="29">
        <v>9.9999999999999867E-2</v>
      </c>
      <c r="F8" s="12">
        <v>6.0019999999999953</v>
      </c>
      <c r="G8" s="29">
        <v>-0.16774999999999995</v>
      </c>
      <c r="H8" s="12">
        <v>-10.068354999999997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4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4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4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4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4">
        <f t="shared" si="9"/>
        <v>2.4520796858871138E-2</v>
      </c>
      <c r="DA8" s="61" t="s">
        <v>37</v>
      </c>
      <c r="DB8" s="62">
        <v>145.98324300000002</v>
      </c>
      <c r="DC8" s="63">
        <v>9.575757879243367E-2</v>
      </c>
      <c r="DD8" s="64">
        <v>0.34942833661463457</v>
      </c>
      <c r="DE8" s="64">
        <v>0.10057388070355455</v>
      </c>
      <c r="DF8" s="62">
        <v>14.682101266200021</v>
      </c>
      <c r="DG8" s="64">
        <v>4.138954496304758E-2</v>
      </c>
      <c r="DH8" s="62">
        <v>6.0421800000000019</v>
      </c>
      <c r="DI8" s="41">
        <f t="shared" si="10"/>
        <v>-10.85793000000001</v>
      </c>
      <c r="DJ8" s="54">
        <f t="shared" si="11"/>
        <v>-0.10572212679753806</v>
      </c>
    </row>
    <row r="9" spans="1:114" x14ac:dyDescent="0.25">
      <c r="A9" s="71" t="s">
        <v>26</v>
      </c>
      <c r="B9" s="12">
        <v>54.987569999999998</v>
      </c>
      <c r="C9" s="22">
        <v>0.16822440096640517</v>
      </c>
      <c r="D9" s="29">
        <v>0.25990000000000002</v>
      </c>
      <c r="E9" s="29">
        <v>0.10000000000000009</v>
      </c>
      <c r="F9" s="12">
        <v>5.4987570000000048</v>
      </c>
      <c r="G9" s="29">
        <v>-4.8439620081411193E-2</v>
      </c>
      <c r="H9" s="12">
        <v>-2.6635770000000036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4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4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4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4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4">
        <f t="shared" si="9"/>
        <v>2.3832078609292026E-2</v>
      </c>
      <c r="DA9" s="61" t="s">
        <v>39</v>
      </c>
      <c r="DB9" s="62">
        <v>66.009600999999989</v>
      </c>
      <c r="DC9" s="63">
        <v>4.3298939240681254E-2</v>
      </c>
      <c r="DD9" s="64">
        <v>0.35602771752551582</v>
      </c>
      <c r="DE9" s="64">
        <v>0.10497048959893007</v>
      </c>
      <c r="DF9" s="62">
        <v>6.9290601352000181</v>
      </c>
      <c r="DG9" s="64">
        <v>-5.5669568431416197E-2</v>
      </c>
      <c r="DH9" s="62">
        <v>-3.6747259999999784</v>
      </c>
      <c r="DI9" s="41">
        <f t="shared" si="10"/>
        <v>0.32827500000000498</v>
      </c>
      <c r="DJ9" s="54">
        <f t="shared" si="11"/>
        <v>4.9731401951665366E-3</v>
      </c>
    </row>
    <row r="10" spans="1:114" x14ac:dyDescent="0.25">
      <c r="A10" s="71" t="s">
        <v>90</v>
      </c>
      <c r="B10" s="12">
        <v>30.989363999999998</v>
      </c>
      <c r="C10" s="22">
        <v>9.4806284315344033E-2</v>
      </c>
      <c r="D10" s="29">
        <v>0.2</v>
      </c>
      <c r="E10" s="29">
        <v>0.10000000000000009</v>
      </c>
      <c r="F10" s="12">
        <v>3.098936400000003</v>
      </c>
      <c r="G10" s="29">
        <v>0.10119047619047639</v>
      </c>
      <c r="H10" s="12">
        <v>3.1358285000000059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4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4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4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4">
        <f t="shared" si="7"/>
        <v>0</v>
      </c>
      <c r="CP10" s="40" t="s">
        <v>96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4">
        <f t="shared" si="9"/>
        <v>-1.4951121334100204E-2</v>
      </c>
      <c r="DA10" s="61" t="s">
        <v>96</v>
      </c>
      <c r="DB10" s="62">
        <v>9.99925</v>
      </c>
      <c r="DC10" s="63">
        <v>6.5589991704749443E-3</v>
      </c>
      <c r="DD10" s="64">
        <v>0.2</v>
      </c>
      <c r="DE10" s="64">
        <v>0.19999999999999996</v>
      </c>
      <c r="DF10" s="62">
        <v>1.9998499999999986</v>
      </c>
      <c r="DG10" s="64">
        <v>-0.23361127084531341</v>
      </c>
      <c r="DH10" s="62">
        <v>-2.3359375</v>
      </c>
      <c r="DI10" s="41">
        <f t="shared" si="10"/>
        <v>-1.4446874999999988</v>
      </c>
      <c r="DJ10" s="54">
        <f t="shared" si="11"/>
        <v>-0.14447958596894755</v>
      </c>
    </row>
    <row r="11" spans="1:114" x14ac:dyDescent="0.25">
      <c r="A11" s="71" t="s">
        <v>31</v>
      </c>
      <c r="B11" s="12">
        <v>1.1357999999999999E-17</v>
      </c>
      <c r="C11" s="22">
        <v>3.4747721097266708E-20</v>
      </c>
      <c r="D11" s="29">
        <v>0.16439999999999999</v>
      </c>
      <c r="E11" s="29">
        <v>6.6649057932735012E-2</v>
      </c>
      <c r="F11" s="12">
        <v>7.5700000000000298E-19</v>
      </c>
      <c r="G11" s="29">
        <v>0</v>
      </c>
      <c r="H11" s="12">
        <v>0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4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4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4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4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4">
        <f t="shared" si="9"/>
        <v>0</v>
      </c>
      <c r="DA11" s="61" t="s">
        <v>74</v>
      </c>
      <c r="DB11" s="62">
        <v>2.9136552000000001E-16</v>
      </c>
      <c r="DC11" s="63">
        <v>1.9112095447008535E-19</v>
      </c>
      <c r="DD11" s="64">
        <v>0.48159901967810059</v>
      </c>
      <c r="DE11" s="64">
        <v>9.9274912144717842E-2</v>
      </c>
      <c r="DF11" s="62">
        <v>2.8925286400000047E-17</v>
      </c>
      <c r="DG11" s="64">
        <v>0</v>
      </c>
      <c r="DH11" s="62">
        <v>0</v>
      </c>
      <c r="DI11" s="41">
        <f t="shared" si="10"/>
        <v>0</v>
      </c>
      <c r="DJ11" s="54">
        <f t="shared" si="11"/>
        <v>0</v>
      </c>
    </row>
    <row r="12" spans="1:114" x14ac:dyDescent="0.25">
      <c r="A12" s="71" t="s">
        <v>93</v>
      </c>
      <c r="B12" s="12">
        <v>2.663E-18</v>
      </c>
      <c r="C12" s="22">
        <v>8.1469608453971864E-21</v>
      </c>
      <c r="D12" s="29">
        <v>0.2</v>
      </c>
      <c r="E12" s="29">
        <v>0.10000000000000009</v>
      </c>
      <c r="F12" s="12">
        <v>2.6630000000000027E-19</v>
      </c>
      <c r="G12" s="29">
        <v>0</v>
      </c>
      <c r="H12" s="12">
        <v>0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4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4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4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4">
        <f t="shared" si="7"/>
        <v>-9.5633939938590595E-2</v>
      </c>
      <c r="CP12" s="40" t="s">
        <v>87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4">
        <f t="shared" si="9"/>
        <v>0</v>
      </c>
      <c r="DA12" s="61" t="s">
        <v>87</v>
      </c>
      <c r="DB12" s="62">
        <v>1.3353E-17</v>
      </c>
      <c r="DC12" s="63">
        <v>8.7588885089733664E-21</v>
      </c>
      <c r="DD12" s="64">
        <v>0.2</v>
      </c>
      <c r="DE12" s="64">
        <v>7.0000000000000062E-2</v>
      </c>
      <c r="DF12" s="62">
        <v>9.3470999999999986E-19</v>
      </c>
      <c r="DG12" s="64">
        <v>0</v>
      </c>
      <c r="DH12" s="62">
        <v>0</v>
      </c>
      <c r="DI12" s="41">
        <f t="shared" si="10"/>
        <v>0</v>
      </c>
      <c r="DJ12" s="54">
        <f t="shared" si="11"/>
        <v>0</v>
      </c>
    </row>
    <row r="13" spans="1:114" x14ac:dyDescent="0.25">
      <c r="A13" s="71" t="s">
        <v>49</v>
      </c>
      <c r="B13" s="12">
        <v>2.0820000000000002E-18</v>
      </c>
      <c r="C13" s="22">
        <v>6.3694977394355783E-21</v>
      </c>
      <c r="D13" s="29">
        <v>0.7389</v>
      </c>
      <c r="E13" s="29">
        <v>4.9999999999999822E-2</v>
      </c>
      <c r="F13" s="12">
        <v>1.040999999999997E-19</v>
      </c>
      <c r="G13" s="29">
        <v>0</v>
      </c>
      <c r="H13" s="12">
        <v>0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4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4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4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4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4">
        <f t="shared" si="9"/>
        <v>0</v>
      </c>
      <c r="DA13" s="61" t="s">
        <v>71</v>
      </c>
      <c r="DB13" s="62">
        <v>5.5999999999999995E-18</v>
      </c>
      <c r="DC13" s="63">
        <v>3.6733150340935256E-21</v>
      </c>
      <c r="DD13" s="64">
        <v>0.19</v>
      </c>
      <c r="DE13" s="64">
        <v>7.0000000000000062E-2</v>
      </c>
      <c r="DF13" s="62">
        <v>3.9200000000000069E-19</v>
      </c>
      <c r="DG13" s="64">
        <v>0</v>
      </c>
      <c r="DH13" s="62">
        <v>0</v>
      </c>
      <c r="DI13" s="41">
        <f t="shared" si="10"/>
        <v>0</v>
      </c>
      <c r="DJ13" s="54">
        <f t="shared" si="11"/>
        <v>0</v>
      </c>
    </row>
    <row r="14" spans="1:114" x14ac:dyDescent="0.25">
      <c r="A14" s="71" t="s">
        <v>52</v>
      </c>
      <c r="B14" s="12">
        <v>1.304E-18</v>
      </c>
      <c r="C14" s="22">
        <v>3.989349208560996E-21</v>
      </c>
      <c r="D14" s="29">
        <v>0.30159999999999998</v>
      </c>
      <c r="E14" s="29">
        <v>5.2147239263803824E-2</v>
      </c>
      <c r="F14" s="12">
        <v>6.8000000000000139E-20</v>
      </c>
      <c r="G14" s="29">
        <v>0</v>
      </c>
      <c r="H14" s="12">
        <v>0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5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5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5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5">
        <f t="shared" si="7"/>
        <v>-2.4430969575315216E-2</v>
      </c>
      <c r="CP14" s="31" t="s">
        <v>105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5">
        <f t="shared" si="9"/>
        <v>1.5268215964015487E-2</v>
      </c>
      <c r="DA14" s="65" t="s">
        <v>105</v>
      </c>
      <c r="DB14" s="66">
        <v>1524.5085019999999</v>
      </c>
      <c r="DC14" s="67">
        <v>1</v>
      </c>
      <c r="DD14" s="68">
        <v>0.26923729609151098</v>
      </c>
      <c r="DE14" s="68">
        <v>0.14543342126287451</v>
      </c>
      <c r="DF14" s="66">
        <v>221.71448719019986</v>
      </c>
      <c r="DG14" s="68">
        <v>-6.1701728705741442E-2</v>
      </c>
      <c r="DH14" s="66">
        <v>-94.064810000000307</v>
      </c>
      <c r="DI14" s="24">
        <f t="shared" si="10"/>
        <v>-67.662996000000248</v>
      </c>
      <c r="DJ14" s="55">
        <f t="shared" si="11"/>
        <v>-4.0211016086980758E-2</v>
      </c>
    </row>
    <row r="15" spans="1:114" x14ac:dyDescent="0.25">
      <c r="A15" s="71" t="s">
        <v>45</v>
      </c>
      <c r="B15" s="12">
        <v>1.1050000000000001E-18</v>
      </c>
      <c r="C15" s="22">
        <v>3.3805451498925618E-21</v>
      </c>
      <c r="D15" s="29">
        <v>0.72170000000000001</v>
      </c>
      <c r="E15" s="29">
        <v>5.0000000000000044E-2</v>
      </c>
      <c r="F15" s="12">
        <v>5.5249999999999956E-20</v>
      </c>
      <c r="G15" s="29">
        <v>0</v>
      </c>
      <c r="H15" s="12">
        <v>0</v>
      </c>
    </row>
    <row r="16" spans="1:114" x14ac:dyDescent="0.25">
      <c r="A16" s="71" t="s">
        <v>51</v>
      </c>
      <c r="B16" s="12">
        <v>1.092E-18</v>
      </c>
      <c r="C16" s="22">
        <v>3.3407740304820611E-21</v>
      </c>
      <c r="D16" s="29">
        <v>1.8652</v>
      </c>
      <c r="E16" s="29">
        <v>1</v>
      </c>
      <c r="F16" s="12">
        <v>1.092E-18</v>
      </c>
      <c r="G16" s="29">
        <v>0</v>
      </c>
      <c r="H16" s="12">
        <v>0</v>
      </c>
    </row>
    <row r="17" spans="1:69" x14ac:dyDescent="0.25">
      <c r="A17" s="21" t="s">
        <v>38</v>
      </c>
      <c r="B17" s="12">
        <v>289.90281599999997</v>
      </c>
      <c r="C17" s="22">
        <v>0.19016149507836591</v>
      </c>
      <c r="D17" s="29">
        <v>0.18629770618302655</v>
      </c>
      <c r="E17" s="29">
        <v>0.12853694904709045</v>
      </c>
      <c r="F17" s="12">
        <v>37.263223488800008</v>
      </c>
      <c r="G17" s="29">
        <v>2.5912994235971806E-2</v>
      </c>
      <c r="H17" s="12">
        <v>7.5122499999999945</v>
      </c>
    </row>
    <row r="18" spans="1:69" x14ac:dyDescent="0.25">
      <c r="A18" s="21" t="s">
        <v>36</v>
      </c>
      <c r="B18" s="12">
        <v>280.56123500000001</v>
      </c>
      <c r="C18" s="22">
        <v>0.1840338933052405</v>
      </c>
      <c r="D18" s="29">
        <v>0.3172002082803777</v>
      </c>
      <c r="E18" s="29">
        <v>0.25314434440666789</v>
      </c>
      <c r="F18" s="12">
        <v>71.022489900000096</v>
      </c>
      <c r="G18" s="29">
        <v>-0.103198437232428</v>
      </c>
      <c r="H18" s="12">
        <v>-28.953480999999982</v>
      </c>
    </row>
    <row r="19" spans="1:69" x14ac:dyDescent="0.25">
      <c r="A19" s="21" t="s">
        <v>37</v>
      </c>
      <c r="B19" s="12">
        <v>145.98324300000002</v>
      </c>
      <c r="C19" s="22">
        <v>9.575757879243367E-2</v>
      </c>
      <c r="D19" s="29">
        <v>0.34942833661463457</v>
      </c>
      <c r="E19" s="29">
        <v>0.10057388070355455</v>
      </c>
      <c r="F19" s="12">
        <v>14.682101266200021</v>
      </c>
      <c r="G19" s="29">
        <v>4.138954496304758E-2</v>
      </c>
      <c r="H19" s="12">
        <v>6.0421800000000019</v>
      </c>
      <c r="BJ19" s="70">
        <v>45715</v>
      </c>
      <c r="BK19" s="70"/>
      <c r="BL19" s="70"/>
      <c r="BM19" s="70"/>
      <c r="BN19" s="70"/>
      <c r="BO19" s="70"/>
      <c r="BP19" s="70"/>
      <c r="BQ19" s="70"/>
    </row>
    <row r="20" spans="1:69" ht="16.5" customHeight="1" x14ac:dyDescent="0.25">
      <c r="A20" s="21" t="s">
        <v>39</v>
      </c>
      <c r="B20" s="12">
        <v>66.009600999999989</v>
      </c>
      <c r="C20" s="22">
        <v>4.3298939240681254E-2</v>
      </c>
      <c r="D20" s="29">
        <v>0.35602771752551582</v>
      </c>
      <c r="E20" s="29">
        <v>0.10497048959893007</v>
      </c>
      <c r="F20" s="12">
        <v>6.9290601352000181</v>
      </c>
      <c r="G20" s="29">
        <v>-5.5669568431416197E-2</v>
      </c>
      <c r="H20" s="12">
        <v>-3.6747259999999784</v>
      </c>
      <c r="BI20" s="28" t="s">
        <v>104</v>
      </c>
      <c r="BJ20" s="23" t="s">
        <v>106</v>
      </c>
      <c r="BK20" s="23" t="s">
        <v>107</v>
      </c>
      <c r="BL20" s="45" t="s">
        <v>141</v>
      </c>
      <c r="BM20" s="45" t="s">
        <v>111</v>
      </c>
      <c r="BN20" s="45" t="s">
        <v>112</v>
      </c>
      <c r="BO20" s="45" t="s">
        <v>137</v>
      </c>
      <c r="BP20" s="45" t="s">
        <v>138</v>
      </c>
    </row>
    <row r="21" spans="1:69" x14ac:dyDescent="0.25">
      <c r="A21" s="21" t="s">
        <v>96</v>
      </c>
      <c r="B21" s="12">
        <v>9.99925</v>
      </c>
      <c r="C21" s="22">
        <v>6.5589991704749443E-3</v>
      </c>
      <c r="D21" s="29">
        <v>0.2</v>
      </c>
      <c r="E21" s="29">
        <v>0.19999999999999996</v>
      </c>
      <c r="F21" s="12">
        <v>1.9998499999999986</v>
      </c>
      <c r="G21" s="29">
        <v>-0.23361127084531341</v>
      </c>
      <c r="H21" s="12">
        <v>-2.3359375</v>
      </c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1:69" x14ac:dyDescent="0.25">
      <c r="A22" s="21" t="s">
        <v>74</v>
      </c>
      <c r="B22" s="12">
        <v>2.9136552000000001E-16</v>
      </c>
      <c r="C22" s="22">
        <v>1.9112095447008535E-19</v>
      </c>
      <c r="D22" s="29">
        <v>0.48159901967810059</v>
      </c>
      <c r="E22" s="29">
        <v>9.9274912144717842E-2</v>
      </c>
      <c r="F22" s="12">
        <v>2.8925286400000047E-17</v>
      </c>
      <c r="G22" s="29">
        <v>0</v>
      </c>
      <c r="H22" s="12">
        <v>0</v>
      </c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1:69" x14ac:dyDescent="0.25">
      <c r="A23" s="21" t="s">
        <v>87</v>
      </c>
      <c r="B23" s="12">
        <v>1.3353E-17</v>
      </c>
      <c r="C23" s="22">
        <v>8.7588885089733664E-21</v>
      </c>
      <c r="D23" s="29">
        <v>0.2</v>
      </c>
      <c r="E23" s="29">
        <v>7.0000000000000062E-2</v>
      </c>
      <c r="F23" s="12">
        <v>9.3470999999999986E-19</v>
      </c>
      <c r="G23" s="29">
        <v>0</v>
      </c>
      <c r="H23" s="12">
        <v>0</v>
      </c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1:69" x14ac:dyDescent="0.25">
      <c r="A24" s="21" t="s">
        <v>71</v>
      </c>
      <c r="B24" s="12">
        <v>5.5999999999999995E-18</v>
      </c>
      <c r="C24" s="22">
        <v>3.6733150340935256E-21</v>
      </c>
      <c r="D24" s="29">
        <v>0.19</v>
      </c>
      <c r="E24" s="29">
        <v>7.0000000000000062E-2</v>
      </c>
      <c r="F24" s="12">
        <v>3.9200000000000069E-19</v>
      </c>
      <c r="G24" s="29">
        <v>0</v>
      </c>
      <c r="H24" s="12">
        <v>0</v>
      </c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1:69" x14ac:dyDescent="0.25">
      <c r="A25" s="21" t="s">
        <v>105</v>
      </c>
      <c r="B25" s="12">
        <v>1524.5085019999999</v>
      </c>
      <c r="C25" s="22">
        <v>1</v>
      </c>
      <c r="D25" s="29">
        <v>0.26923729609151098</v>
      </c>
      <c r="E25" s="29">
        <v>0.14543342126287451</v>
      </c>
      <c r="F25" s="12">
        <v>221.71448719019986</v>
      </c>
      <c r="G25" s="29">
        <v>-6.1701728705741442E-2</v>
      </c>
      <c r="H25" s="12">
        <v>-94.064810000000307</v>
      </c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5">
    <mergeCell ref="CQ1:CX1"/>
    <mergeCell ref="CQ2:CX2"/>
    <mergeCell ref="CF1:CM1"/>
    <mergeCell ref="CF2:CM2"/>
    <mergeCell ref="BJ19:BQ19"/>
    <mergeCell ref="BJ1:BQ1"/>
    <mergeCell ref="BJ2:BQ2"/>
    <mergeCell ref="BU1:CB1"/>
    <mergeCell ref="BU2:CB2"/>
    <mergeCell ref="DB1:DI1"/>
    <mergeCell ref="DB2:DI2"/>
    <mergeCell ref="L1:P1"/>
    <mergeCell ref="L2:P2"/>
    <mergeCell ref="R2:S2"/>
    <mergeCell ref="R1:S1"/>
    <mergeCell ref="V2:Z2"/>
    <mergeCell ref="V1:Z1"/>
    <mergeCell ref="AC1:AG1"/>
    <mergeCell ref="AC2:AG2"/>
    <mergeCell ref="AY2:BF2"/>
    <mergeCell ref="AY1:BF1"/>
    <mergeCell ref="AQ2:AV2"/>
    <mergeCell ref="AQ1:AV1"/>
    <mergeCell ref="AJ1:AN1"/>
    <mergeCell ref="AJ2:AN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ED5-399A-4A09-80B4-5D3B5201A6C2}">
  <dimension ref="A1"/>
  <sheetViews>
    <sheetView workbookViewId="0">
      <selection activeCell="B3" sqref="B3:H1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AC1" zoomScaleNormal="100" workbookViewId="0">
      <selection activeCell="AQ1" sqref="AQ1:BA1048576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122</v>
      </c>
      <c r="C2" t="s">
        <v>123</v>
      </c>
      <c r="D2" t="s">
        <v>120</v>
      </c>
      <c r="E2" s="29">
        <v>8.8700000000000001E-2</v>
      </c>
      <c r="G2" t="s">
        <v>122</v>
      </c>
      <c r="H2" t="s">
        <v>123</v>
      </c>
      <c r="I2" t="s">
        <v>120</v>
      </c>
      <c r="J2" s="29">
        <v>0.24129999999999999</v>
      </c>
      <c r="M2" t="s">
        <v>122</v>
      </c>
      <c r="N2" t="s">
        <v>123</v>
      </c>
      <c r="O2" t="s">
        <v>120</v>
      </c>
      <c r="P2" s="29">
        <v>0.44950000000000001</v>
      </c>
      <c r="R2" t="s">
        <v>122</v>
      </c>
      <c r="S2" t="s">
        <v>123</v>
      </c>
      <c r="T2" t="s">
        <v>120</v>
      </c>
      <c r="U2" s="29">
        <v>0.54500000000000004</v>
      </c>
      <c r="X2" t="s">
        <v>122</v>
      </c>
      <c r="Y2" t="s">
        <v>123</v>
      </c>
      <c r="Z2" t="s">
        <v>120</v>
      </c>
      <c r="AA2" s="29">
        <v>8.6900000000000005E-2</v>
      </c>
      <c r="AD2" t="s">
        <v>122</v>
      </c>
      <c r="AE2" t="s">
        <v>123</v>
      </c>
      <c r="AF2" t="s">
        <v>120</v>
      </c>
      <c r="AG2" s="29">
        <v>0.1434</v>
      </c>
      <c r="AL2" t="s">
        <v>122</v>
      </c>
      <c r="AM2" t="s">
        <v>123</v>
      </c>
      <c r="AN2" t="s">
        <v>120</v>
      </c>
      <c r="AO2" s="29">
        <v>0.23449999999999999</v>
      </c>
    </row>
    <row r="3" spans="2:41" x14ac:dyDescent="0.25">
      <c r="B3" t="s">
        <v>122</v>
      </c>
      <c r="C3" t="s">
        <v>123</v>
      </c>
      <c r="D3" t="s">
        <v>124</v>
      </c>
      <c r="E3" s="29">
        <v>0.1077</v>
      </c>
      <c r="G3" t="s">
        <v>122</v>
      </c>
      <c r="H3" t="s">
        <v>123</v>
      </c>
      <c r="I3" t="s">
        <v>124</v>
      </c>
      <c r="J3" s="29">
        <v>0.30709999999999998</v>
      </c>
      <c r="M3" t="s">
        <v>122</v>
      </c>
      <c r="N3" t="s">
        <v>123</v>
      </c>
      <c r="O3" t="s">
        <v>124</v>
      </c>
      <c r="P3" s="29">
        <v>0.46850000000000003</v>
      </c>
      <c r="R3" t="s">
        <v>122</v>
      </c>
      <c r="S3" t="s">
        <v>123</v>
      </c>
      <c r="T3" t="s">
        <v>124</v>
      </c>
      <c r="U3" s="29">
        <v>0.3967</v>
      </c>
      <c r="X3" t="s">
        <v>122</v>
      </c>
      <c r="Y3" t="s">
        <v>123</v>
      </c>
      <c r="Z3" t="s">
        <v>124</v>
      </c>
      <c r="AA3" s="29">
        <v>0.1148</v>
      </c>
      <c r="AD3" t="s">
        <v>122</v>
      </c>
      <c r="AE3" t="s">
        <v>123</v>
      </c>
      <c r="AF3" t="s">
        <v>124</v>
      </c>
      <c r="AG3" s="29">
        <v>0.15690000000000001</v>
      </c>
      <c r="AL3" t="s">
        <v>122</v>
      </c>
      <c r="AM3" t="s">
        <v>123</v>
      </c>
      <c r="AN3" t="s">
        <v>124</v>
      </c>
      <c r="AO3" s="29">
        <v>0.21890000000000001</v>
      </c>
    </row>
    <row r="4" spans="2:41" x14ac:dyDescent="0.25">
      <c r="X4" t="s">
        <v>146</v>
      </c>
      <c r="AA4" s="22">
        <v>1</v>
      </c>
      <c r="AD4" t="s">
        <v>146</v>
      </c>
      <c r="AG4" s="22">
        <v>0.65</v>
      </c>
      <c r="AL4" t="s">
        <v>146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121</v>
      </c>
      <c r="E5" s="39" t="s">
        <v>125</v>
      </c>
      <c r="G5" s="39" t="s">
        <v>82</v>
      </c>
      <c r="H5" s="39" t="s">
        <v>2</v>
      </c>
      <c r="I5" s="39" t="s">
        <v>121</v>
      </c>
      <c r="J5" s="39" t="s">
        <v>125</v>
      </c>
      <c r="M5" s="39" t="s">
        <v>82</v>
      </c>
      <c r="N5" s="39" t="s">
        <v>2</v>
      </c>
      <c r="O5" s="39" t="s">
        <v>121</v>
      </c>
      <c r="P5" s="39" t="s">
        <v>125</v>
      </c>
      <c r="R5" s="39" t="s">
        <v>82</v>
      </c>
      <c r="S5" s="39" t="s">
        <v>2</v>
      </c>
      <c r="T5" s="39" t="s">
        <v>121</v>
      </c>
      <c r="U5" s="39" t="s">
        <v>125</v>
      </c>
      <c r="X5" t="s">
        <v>133</v>
      </c>
      <c r="AC5" t="s">
        <v>145</v>
      </c>
      <c r="AD5" t="s">
        <v>133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121</v>
      </c>
      <c r="AA6" s="39" t="s">
        <v>125</v>
      </c>
      <c r="AD6" s="39" t="s">
        <v>82</v>
      </c>
      <c r="AE6" s="39" t="s">
        <v>2</v>
      </c>
      <c r="AF6" s="39" t="s">
        <v>132</v>
      </c>
      <c r="AG6" s="39" t="s">
        <v>125</v>
      </c>
      <c r="AI6" s="48" t="s">
        <v>147</v>
      </c>
      <c r="AJ6" s="39" t="s">
        <v>125</v>
      </c>
      <c r="AL6" s="39" t="s">
        <v>82</v>
      </c>
      <c r="AM6" s="39" t="s">
        <v>2</v>
      </c>
      <c r="AN6" s="39" t="s">
        <v>132</v>
      </c>
      <c r="AO6" s="39" t="s">
        <v>125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148</v>
      </c>
      <c r="AD18" t="s">
        <v>122</v>
      </c>
      <c r="AE18" t="s">
        <v>123</v>
      </c>
      <c r="AF18" t="s">
        <v>120</v>
      </c>
      <c r="AG18" s="29">
        <v>0.13339999999999999</v>
      </c>
      <c r="AL18" t="s">
        <v>152</v>
      </c>
    </row>
    <row r="19" spans="2:38" x14ac:dyDescent="0.25">
      <c r="B19" t="s">
        <v>122</v>
      </c>
      <c r="C19" t="s">
        <v>123</v>
      </c>
      <c r="D19" t="s">
        <v>120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149</v>
      </c>
      <c r="AD19" t="s">
        <v>122</v>
      </c>
      <c r="AE19" t="s">
        <v>123</v>
      </c>
      <c r="AF19" t="s">
        <v>124</v>
      </c>
      <c r="AG19" s="29">
        <v>0.13569999999999999</v>
      </c>
    </row>
    <row r="20" spans="2:38" x14ac:dyDescent="0.25">
      <c r="B20" t="s">
        <v>122</v>
      </c>
      <c r="C20" t="s">
        <v>123</v>
      </c>
      <c r="D20" t="s">
        <v>124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146</v>
      </c>
      <c r="AG20" s="22">
        <v>0.81</v>
      </c>
    </row>
    <row r="21" spans="2:38" x14ac:dyDescent="0.25">
      <c r="B21" t="s">
        <v>146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133</v>
      </c>
    </row>
    <row r="22" spans="2:38" x14ac:dyDescent="0.25">
      <c r="B22" t="s">
        <v>155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132</v>
      </c>
      <c r="AG22" s="39" t="s">
        <v>125</v>
      </c>
    </row>
    <row r="23" spans="2:38" x14ac:dyDescent="0.25">
      <c r="B23" s="39" t="s">
        <v>82</v>
      </c>
      <c r="C23" s="39" t="s">
        <v>2</v>
      </c>
      <c r="D23" s="39" t="s">
        <v>121</v>
      </c>
      <c r="E23" s="39" t="s">
        <v>125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156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150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151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Positions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2025-04-06T02:31:48Z</dcterms:modified>
</cp:coreProperties>
</file>