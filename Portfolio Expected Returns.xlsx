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fessional_WorkTools\Github\StockSillines\"/>
    </mc:Choice>
  </mc:AlternateContent>
  <xr:revisionPtr revIDLastSave="0" documentId="13_ncr:1_{7B37DBF6-F8A0-47DD-8016-20B57B5E55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sitions" sheetId="1" r:id="rId1"/>
    <sheet name="Sheet2" sheetId="3" r:id="rId2"/>
    <sheet name="Sheet1" sheetId="2" r:id="rId3"/>
  </sheets>
  <definedNames>
    <definedName name="_xlnm._FilterDatabase" localSheetId="0" hidden="1">Positions!$A$1:$X$46</definedName>
  </definedNames>
  <calcPr calcId="191029"/>
  <pivotCaches>
    <pivotCache cacheId="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F3" i="1"/>
  <c r="P11" i="1"/>
  <c r="P5" i="1"/>
  <c r="P3" i="1"/>
  <c r="H5" i="1"/>
  <c r="H6" i="1"/>
  <c r="H7" i="1"/>
  <c r="H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O7" i="1" a="1"/>
  <c r="O43" i="1" a="1"/>
  <c r="O37" i="1" a="1"/>
  <c r="O34" i="1" a="1"/>
  <c r="O28" i="1" a="1"/>
  <c r="O25" i="1" a="1"/>
  <c r="O19" i="1" a="1"/>
  <c r="O13" i="1" a="1"/>
  <c r="O9" i="1" a="1"/>
  <c r="O2" i="1" a="1"/>
  <c r="O39" i="1" a="1"/>
  <c r="O36" i="1" a="1"/>
  <c r="O30" i="1" a="1"/>
  <c r="O24" i="1" a="1"/>
  <c r="O21" i="1" a="1"/>
  <c r="O15" i="1" a="1"/>
  <c r="O12" i="1" a="1"/>
  <c r="O10" i="1" a="1"/>
  <c r="O40" i="1" a="1"/>
  <c r="O31" i="1" a="1"/>
  <c r="O22" i="1" a="1"/>
  <c r="O16" i="1" a="1"/>
  <c r="O42" i="1" a="1"/>
  <c r="O33" i="1" a="1"/>
  <c r="O27" i="1" a="1"/>
  <c r="O18" i="1" a="1"/>
  <c r="O8" i="1" a="1"/>
  <c r="O44" i="1" a="1"/>
  <c r="O41" i="1" a="1"/>
  <c r="O38" i="1" a="1"/>
  <c r="O35" i="1" a="1"/>
  <c r="O29" i="1" a="1"/>
  <c r="O26" i="1" a="1"/>
  <c r="O23" i="1" a="1"/>
  <c r="O20" i="1" a="1"/>
  <c r="O17" i="1" a="1"/>
  <c r="O14" i="1" a="1"/>
  <c r="O4" i="1" a="1"/>
  <c r="O46" i="1" a="1"/>
  <c r="O32" i="1" a="1"/>
  <c r="O45" i="1" a="1"/>
  <c r="O45" i="1" l="1"/>
  <c r="P45" i="1" s="1"/>
  <c r="O32" i="1"/>
  <c r="P32" i="1" s="1"/>
  <c r="O46" i="1"/>
  <c r="P46" i="1" s="1"/>
  <c r="O4" i="1"/>
  <c r="P4" i="1" s="1"/>
  <c r="O14" i="1"/>
  <c r="P14" i="1" s="1"/>
  <c r="O17" i="1"/>
  <c r="P17" i="1" s="1"/>
  <c r="O20" i="1"/>
  <c r="P20" i="1" s="1"/>
  <c r="O23" i="1"/>
  <c r="P23" i="1" s="1"/>
  <c r="O26" i="1"/>
  <c r="P26" i="1" s="1"/>
  <c r="O29" i="1"/>
  <c r="P29" i="1" s="1"/>
  <c r="O35" i="1"/>
  <c r="P35" i="1" s="1"/>
  <c r="O38" i="1"/>
  <c r="P38" i="1" s="1"/>
  <c r="O41" i="1"/>
  <c r="P41" i="1" s="1"/>
  <c r="O44" i="1"/>
  <c r="P44" i="1" s="1"/>
  <c r="O8" i="1"/>
  <c r="P8" i="1" s="1"/>
  <c r="O18" i="1"/>
  <c r="P18" i="1" s="1"/>
  <c r="O27" i="1"/>
  <c r="P27" i="1" s="1"/>
  <c r="O33" i="1"/>
  <c r="P33" i="1" s="1"/>
  <c r="O42" i="1"/>
  <c r="P42" i="1" s="1"/>
  <c r="P6" i="1"/>
  <c r="O16" i="1"/>
  <c r="P16" i="1" s="1"/>
  <c r="O22" i="1"/>
  <c r="P22" i="1" s="1"/>
  <c r="O31" i="1"/>
  <c r="P31" i="1" s="1"/>
  <c r="O40" i="1"/>
  <c r="P40" i="1" s="1"/>
  <c r="O10" i="1"/>
  <c r="P10" i="1" s="1"/>
  <c r="O12" i="1"/>
  <c r="P12" i="1" s="1"/>
  <c r="O15" i="1"/>
  <c r="P15" i="1" s="1"/>
  <c r="O21" i="1"/>
  <c r="P21" i="1" s="1"/>
  <c r="O24" i="1"/>
  <c r="P24" i="1" s="1"/>
  <c r="O30" i="1"/>
  <c r="P30" i="1" s="1"/>
  <c r="O36" i="1"/>
  <c r="P36" i="1" s="1"/>
  <c r="Q36" i="1" s="1"/>
  <c r="O39" i="1"/>
  <c r="P39" i="1" s="1"/>
  <c r="O2" i="1"/>
  <c r="P2" i="1" s="1"/>
  <c r="O9" i="1"/>
  <c r="P9" i="1" s="1"/>
  <c r="O13" i="1"/>
  <c r="P13" i="1" s="1"/>
  <c r="O19" i="1"/>
  <c r="P19" i="1" s="1"/>
  <c r="O25" i="1"/>
  <c r="P25" i="1" s="1"/>
  <c r="O28" i="1"/>
  <c r="O34" i="1"/>
  <c r="P34" i="1" s="1"/>
  <c r="O37" i="1"/>
  <c r="P37" i="1" s="1"/>
  <c r="O43" i="1"/>
  <c r="P43" i="1" s="1"/>
  <c r="O7" i="1"/>
  <c r="P7" i="1" s="1"/>
  <c r="M4" i="1"/>
  <c r="N4" i="1" s="1"/>
  <c r="M5" i="1"/>
  <c r="N5" i="1" s="1"/>
  <c r="I5" i="1"/>
  <c r="M6" i="1"/>
  <c r="N6" i="1" s="1"/>
  <c r="I6" i="1"/>
  <c r="L6" i="1" s="1"/>
  <c r="M7" i="1"/>
  <c r="N7" i="1" s="1"/>
  <c r="I7" i="1"/>
  <c r="M8" i="1"/>
  <c r="N8" i="1" s="1"/>
  <c r="I8" i="1"/>
  <c r="L8" i="1" s="1"/>
  <c r="M9" i="1"/>
  <c r="N9" i="1" s="1"/>
  <c r="M10" i="1"/>
  <c r="N10" i="1" s="1"/>
  <c r="L10" i="1"/>
  <c r="M11" i="1"/>
  <c r="N11" i="1" s="1"/>
  <c r="M12" i="1"/>
  <c r="N12" i="1" s="1"/>
  <c r="I12" i="1"/>
  <c r="L12" i="1" s="1"/>
  <c r="M13" i="1"/>
  <c r="N13" i="1" s="1"/>
  <c r="I13" i="1"/>
  <c r="M14" i="1"/>
  <c r="N14" i="1" s="1"/>
  <c r="I14" i="1"/>
  <c r="M15" i="1"/>
  <c r="N15" i="1" s="1"/>
  <c r="I15" i="1"/>
  <c r="M16" i="1"/>
  <c r="N16" i="1" s="1"/>
  <c r="I16" i="1"/>
  <c r="M17" i="1"/>
  <c r="N17" i="1" s="1"/>
  <c r="I17" i="1"/>
  <c r="M18" i="1"/>
  <c r="N18" i="1" s="1"/>
  <c r="I18" i="1"/>
  <c r="L18" i="1" s="1"/>
  <c r="M19" i="1"/>
  <c r="N19" i="1" s="1"/>
  <c r="I19" i="1"/>
  <c r="M20" i="1"/>
  <c r="N20" i="1" s="1"/>
  <c r="I20" i="1"/>
  <c r="L20" i="1" s="1"/>
  <c r="M21" i="1"/>
  <c r="N21" i="1" s="1"/>
  <c r="I21" i="1"/>
  <c r="M22" i="1"/>
  <c r="N22" i="1" s="1"/>
  <c r="I22" i="1"/>
  <c r="L22" i="1" s="1"/>
  <c r="M23" i="1"/>
  <c r="N23" i="1" s="1"/>
  <c r="I23" i="1"/>
  <c r="M24" i="1"/>
  <c r="N24" i="1" s="1"/>
  <c r="I24" i="1"/>
  <c r="L24" i="1" s="1"/>
  <c r="M25" i="1"/>
  <c r="N25" i="1" s="1"/>
  <c r="I25" i="1"/>
  <c r="M26" i="1"/>
  <c r="N26" i="1" s="1"/>
  <c r="I26" i="1"/>
  <c r="L26" i="1" s="1"/>
  <c r="M27" i="1"/>
  <c r="N27" i="1" s="1"/>
  <c r="I27" i="1"/>
  <c r="M28" i="1"/>
  <c r="N28" i="1" s="1"/>
  <c r="I28" i="1"/>
  <c r="M29" i="1"/>
  <c r="N29" i="1" s="1"/>
  <c r="I29" i="1"/>
  <c r="M30" i="1"/>
  <c r="N30" i="1" s="1"/>
  <c r="I30" i="1"/>
  <c r="L30" i="1" s="1"/>
  <c r="M31" i="1"/>
  <c r="N31" i="1" s="1"/>
  <c r="I31" i="1"/>
  <c r="M32" i="1"/>
  <c r="N32" i="1" s="1"/>
  <c r="I32" i="1"/>
  <c r="L32" i="1" s="1"/>
  <c r="M33" i="1"/>
  <c r="N33" i="1" s="1"/>
  <c r="I33" i="1"/>
  <c r="L33" i="1" s="1"/>
  <c r="M34" i="1"/>
  <c r="N34" i="1" s="1"/>
  <c r="I34" i="1"/>
  <c r="L34" i="1" s="1"/>
  <c r="M35" i="1"/>
  <c r="N35" i="1" s="1"/>
  <c r="I35" i="1"/>
  <c r="L35" i="1" s="1"/>
  <c r="M36" i="1"/>
  <c r="N36" i="1" s="1"/>
  <c r="I36" i="1"/>
  <c r="L36" i="1" s="1"/>
  <c r="M37" i="1"/>
  <c r="N37" i="1" s="1"/>
  <c r="I37" i="1"/>
  <c r="L37" i="1" s="1"/>
  <c r="M38" i="1"/>
  <c r="N38" i="1" s="1"/>
  <c r="I38" i="1"/>
  <c r="M39" i="1"/>
  <c r="N39" i="1" s="1"/>
  <c r="I39" i="1"/>
  <c r="M40" i="1"/>
  <c r="N40" i="1" s="1"/>
  <c r="I40" i="1"/>
  <c r="M41" i="1"/>
  <c r="N41" i="1" s="1"/>
  <c r="I41" i="1"/>
  <c r="I42" i="1"/>
  <c r="L42" i="1" s="1"/>
  <c r="M43" i="1"/>
  <c r="I43" i="1"/>
  <c r="I44" i="1"/>
  <c r="L44" i="1" s="1"/>
  <c r="M45" i="1"/>
  <c r="I45" i="1"/>
  <c r="L45" i="1" s="1"/>
  <c r="M46" i="1"/>
  <c r="I46" i="1"/>
  <c r="L46" i="1" s="1"/>
  <c r="I2" i="1"/>
  <c r="H2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Q11" i="1" s="1"/>
  <c r="G10" i="1"/>
  <c r="G9" i="1"/>
  <c r="G8" i="1"/>
  <c r="G7" i="1"/>
  <c r="G6" i="1"/>
  <c r="G5" i="1"/>
  <c r="Q5" i="1" s="1"/>
  <c r="G4" i="1"/>
  <c r="G3" i="1"/>
  <c r="Q3" i="1" s="1"/>
  <c r="G2" i="1"/>
  <c r="M3" i="1"/>
  <c r="N3" i="1" s="1"/>
  <c r="L38" i="1" l="1"/>
  <c r="L31" i="1"/>
  <c r="L25" i="1"/>
  <c r="L19" i="1"/>
  <c r="L13" i="1"/>
  <c r="L7" i="1"/>
  <c r="L43" i="1"/>
  <c r="L14" i="1"/>
  <c r="L23" i="1"/>
  <c r="L17" i="1"/>
  <c r="L11" i="1"/>
  <c r="L41" i="1"/>
  <c r="L29" i="1"/>
  <c r="L5" i="1"/>
  <c r="L40" i="1"/>
  <c r="L28" i="1"/>
  <c r="L4" i="1"/>
  <c r="L16" i="1"/>
  <c r="L2" i="1"/>
  <c r="L39" i="1"/>
  <c r="L27" i="1"/>
  <c r="L21" i="1"/>
  <c r="L15" i="1"/>
  <c r="L9" i="1"/>
  <c r="L3" i="1"/>
  <c r="Q39" i="1"/>
  <c r="Q34" i="1"/>
  <c r="Q40" i="1"/>
  <c r="Q20" i="1"/>
  <c r="Q33" i="1"/>
  <c r="Q26" i="1"/>
  <c r="Q23" i="1"/>
  <c r="Q24" i="1"/>
  <c r="Q27" i="1"/>
  <c r="Q14" i="1"/>
  <c r="Q2" i="1"/>
  <c r="Q6" i="1"/>
  <c r="Q16" i="1"/>
  <c r="Q15" i="1"/>
  <c r="Q8" i="1"/>
  <c r="M2" i="1"/>
  <c r="N2" i="1" s="1"/>
  <c r="P28" i="1"/>
  <c r="Q28" i="1" s="1"/>
  <c r="Q42" i="1"/>
  <c r="Q43" i="1"/>
  <c r="Q37" i="1"/>
  <c r="Q21" i="1"/>
  <c r="Q18" i="1"/>
  <c r="Q4" i="1"/>
  <c r="Q7" i="1"/>
  <c r="Q46" i="1"/>
  <c r="Q12" i="1"/>
  <c r="Q44" i="1"/>
  <c r="Q32" i="1"/>
  <c r="Q25" i="1"/>
  <c r="Q10" i="1"/>
  <c r="Q41" i="1"/>
  <c r="Q45" i="1"/>
  <c r="Q19" i="1"/>
  <c r="Q38" i="1"/>
  <c r="Q13" i="1"/>
  <c r="Q31" i="1"/>
  <c r="Q35" i="1"/>
  <c r="Q30" i="1"/>
  <c r="Q17" i="1"/>
  <c r="Q9" i="1"/>
  <c r="Q22" i="1"/>
  <c r="Q29" i="1"/>
  <c r="S45" i="1"/>
  <c r="N45" i="1"/>
  <c r="S46" i="1"/>
  <c r="N46" i="1"/>
  <c r="S43" i="1"/>
  <c r="N43" i="1"/>
  <c r="R43" i="1"/>
  <c r="T43" i="1" s="1"/>
  <c r="R46" i="1"/>
  <c r="T46" i="1" s="1"/>
  <c r="J44" i="1"/>
  <c r="R44" i="1"/>
  <c r="T44" i="1" s="1"/>
  <c r="J42" i="1"/>
  <c r="R42" i="1"/>
  <c r="T42" i="1" s="1"/>
  <c r="R45" i="1"/>
  <c r="T45" i="1" s="1"/>
  <c r="U45" i="1" s="1"/>
  <c r="M44" i="1"/>
  <c r="J43" i="1"/>
  <c r="J46" i="1"/>
  <c r="M42" i="1"/>
  <c r="J45" i="1"/>
  <c r="S41" i="1"/>
  <c r="R40" i="1"/>
  <c r="T40" i="1" s="1"/>
  <c r="S15" i="1"/>
  <c r="S38" i="1"/>
  <c r="J37" i="1"/>
  <c r="S36" i="1"/>
  <c r="S30" i="1"/>
  <c r="J28" i="1"/>
  <c r="R27" i="1"/>
  <c r="T27" i="1" s="1"/>
  <c r="S25" i="1"/>
  <c r="J23" i="1"/>
  <c r="J21" i="1"/>
  <c r="R5" i="1"/>
  <c r="T5" i="1" s="1"/>
  <c r="S5" i="1"/>
  <c r="J6" i="1"/>
  <c r="S10" i="1"/>
  <c r="S19" i="1"/>
  <c r="S4" i="1"/>
  <c r="R35" i="1"/>
  <c r="T35" i="1" s="1"/>
  <c r="S35" i="1"/>
  <c r="J35" i="1"/>
  <c r="R34" i="1"/>
  <c r="T34" i="1" s="1"/>
  <c r="S34" i="1"/>
  <c r="J34" i="1"/>
  <c r="R33" i="1"/>
  <c r="T33" i="1" s="1"/>
  <c r="S33" i="1"/>
  <c r="J33" i="1"/>
  <c r="S32" i="1"/>
  <c r="R32" i="1"/>
  <c r="T32" i="1" s="1"/>
  <c r="J32" i="1"/>
  <c r="R31" i="1"/>
  <c r="T31" i="1" s="1"/>
  <c r="S31" i="1"/>
  <c r="J31" i="1"/>
  <c r="R29" i="1"/>
  <c r="T29" i="1" s="1"/>
  <c r="S29" i="1"/>
  <c r="J29" i="1"/>
  <c r="S27" i="1"/>
  <c r="S26" i="1"/>
  <c r="R24" i="1"/>
  <c r="T24" i="1" s="1"/>
  <c r="S24" i="1"/>
  <c r="J24" i="1"/>
  <c r="S23" i="1"/>
  <c r="R22" i="1"/>
  <c r="T22" i="1" s="1"/>
  <c r="S22" i="1"/>
  <c r="J22" i="1"/>
  <c r="R20" i="1"/>
  <c r="T20" i="1" s="1"/>
  <c r="S20" i="1"/>
  <c r="J20" i="1"/>
  <c r="R17" i="1"/>
  <c r="T17" i="1" s="1"/>
  <c r="S17" i="1"/>
  <c r="J17" i="1"/>
  <c r="R18" i="1"/>
  <c r="T18" i="1" s="1"/>
  <c r="S18" i="1"/>
  <c r="J18" i="1"/>
  <c r="R12" i="1"/>
  <c r="T12" i="1" s="1"/>
  <c r="S12" i="1"/>
  <c r="J12" i="1"/>
  <c r="S16" i="1"/>
  <c r="R3" i="1"/>
  <c r="T3" i="1" s="1"/>
  <c r="S3" i="1"/>
  <c r="J3" i="1"/>
  <c r="R8" i="1"/>
  <c r="T8" i="1" s="1"/>
  <c r="S8" i="1"/>
  <c r="J8" i="1"/>
  <c r="R14" i="1"/>
  <c r="T14" i="1" s="1"/>
  <c r="S14" i="1"/>
  <c r="J14" i="1"/>
  <c r="R7" i="1"/>
  <c r="T7" i="1" s="1"/>
  <c r="S7" i="1"/>
  <c r="J7" i="1"/>
  <c r="R13" i="1"/>
  <c r="T13" i="1" s="1"/>
  <c r="S13" i="1"/>
  <c r="J13" i="1"/>
  <c r="R9" i="1"/>
  <c r="T9" i="1" s="1"/>
  <c r="S9" i="1"/>
  <c r="J9" i="1"/>
  <c r="J2" i="1"/>
  <c r="R6" i="1"/>
  <c r="T6" i="1" s="1"/>
  <c r="R11" i="1"/>
  <c r="T11" i="1" s="1"/>
  <c r="S11" i="1"/>
  <c r="J11" i="1"/>
  <c r="U43" i="1" l="1"/>
  <c r="U46" i="1"/>
  <c r="S42" i="1"/>
  <c r="U42" i="1" s="1"/>
  <c r="N42" i="1"/>
  <c r="S44" i="1"/>
  <c r="U44" i="1" s="1"/>
  <c r="N44" i="1"/>
  <c r="U12" i="1"/>
  <c r="U13" i="1"/>
  <c r="U5" i="1"/>
  <c r="U29" i="1"/>
  <c r="S37" i="1"/>
  <c r="R26" i="1"/>
  <c r="T26" i="1" s="1"/>
  <c r="U26" i="1" s="1"/>
  <c r="J30" i="1"/>
  <c r="R37" i="1"/>
  <c r="T37" i="1" s="1"/>
  <c r="U34" i="1"/>
  <c r="U17" i="1"/>
  <c r="J5" i="1"/>
  <c r="U32" i="1"/>
  <c r="U35" i="1"/>
  <c r="U20" i="1"/>
  <c r="J26" i="1"/>
  <c r="R38" i="1"/>
  <c r="T38" i="1" s="1"/>
  <c r="U38" i="1" s="1"/>
  <c r="R10" i="1"/>
  <c r="T10" i="1" s="1"/>
  <c r="U10" i="1" s="1"/>
  <c r="R30" i="1"/>
  <c r="T30" i="1" s="1"/>
  <c r="U30" i="1" s="1"/>
  <c r="J39" i="1"/>
  <c r="J38" i="1"/>
  <c r="R23" i="1"/>
  <c r="T23" i="1" s="1"/>
  <c r="U23" i="1" s="1"/>
  <c r="R36" i="1"/>
  <c r="T36" i="1" s="1"/>
  <c r="U36" i="1" s="1"/>
  <c r="U24" i="1"/>
  <c r="R19" i="1"/>
  <c r="T19" i="1" s="1"/>
  <c r="U19" i="1" s="1"/>
  <c r="R25" i="1"/>
  <c r="T25" i="1" s="1"/>
  <c r="U25" i="1" s="1"/>
  <c r="S39" i="1"/>
  <c r="R39" i="1"/>
  <c r="T39" i="1" s="1"/>
  <c r="J40" i="1"/>
  <c r="R15" i="1"/>
  <c r="T15" i="1" s="1"/>
  <c r="U15" i="1" s="1"/>
  <c r="S40" i="1"/>
  <c r="U40" i="1" s="1"/>
  <c r="U9" i="1"/>
  <c r="R28" i="1"/>
  <c r="T28" i="1" s="1"/>
  <c r="U7" i="1"/>
  <c r="S6" i="1"/>
  <c r="U6" i="1" s="1"/>
  <c r="U14" i="1"/>
  <c r="J27" i="1"/>
  <c r="J41" i="1"/>
  <c r="J19" i="1"/>
  <c r="J10" i="1"/>
  <c r="J25" i="1"/>
  <c r="S28" i="1"/>
  <c r="R41" i="1"/>
  <c r="T41" i="1" s="1"/>
  <c r="U41" i="1" s="1"/>
  <c r="J36" i="1"/>
  <c r="J15" i="1"/>
  <c r="U3" i="1"/>
  <c r="S2" i="1"/>
  <c r="R2" i="1"/>
  <c r="T2" i="1" s="1"/>
  <c r="R16" i="1"/>
  <c r="T16" i="1" s="1"/>
  <c r="U16" i="1" s="1"/>
  <c r="U11" i="1"/>
  <c r="U31" i="1"/>
  <c r="U33" i="1"/>
  <c r="U18" i="1"/>
  <c r="U8" i="1"/>
  <c r="U22" i="1"/>
  <c r="U27" i="1"/>
  <c r="J4" i="1"/>
  <c r="S21" i="1"/>
  <c r="R21" i="1"/>
  <c r="T21" i="1" s="1"/>
  <c r="J16" i="1"/>
  <c r="R4" i="1"/>
  <c r="T4" i="1" s="1"/>
  <c r="U4" i="1" s="1"/>
  <c r="K43" i="1" l="1"/>
  <c r="K46" i="1"/>
  <c r="K44" i="1"/>
  <c r="K45" i="1"/>
  <c r="K42" i="1"/>
  <c r="U37" i="1"/>
  <c r="U39" i="1"/>
  <c r="U2" i="1"/>
  <c r="U28" i="1"/>
  <c r="K25" i="1"/>
  <c r="K20" i="1"/>
  <c r="K31" i="1"/>
  <c r="K41" i="1"/>
  <c r="K39" i="1"/>
  <c r="K33" i="1"/>
  <c r="K18" i="1"/>
  <c r="K28" i="1"/>
  <c r="K34" i="1"/>
  <c r="K38" i="1"/>
  <c r="K15" i="1"/>
  <c r="K35" i="1"/>
  <c r="K22" i="1"/>
  <c r="K32" i="1"/>
  <c r="K13" i="1"/>
  <c r="K29" i="1"/>
  <c r="K5" i="1"/>
  <c r="K37" i="1"/>
  <c r="K4" i="1"/>
  <c r="K24" i="1"/>
  <c r="K30" i="1"/>
  <c r="K23" i="1"/>
  <c r="K17" i="1"/>
  <c r="K36" i="1"/>
  <c r="U21" i="1"/>
  <c r="K14" i="1"/>
  <c r="K6" i="1"/>
  <c r="K2" i="1"/>
  <c r="K8" i="1"/>
  <c r="K11" i="1"/>
  <c r="K9" i="1"/>
  <c r="K7" i="1"/>
  <c r="K19" i="1"/>
  <c r="K27" i="1"/>
  <c r="K26" i="1"/>
  <c r="K40" i="1"/>
  <c r="K3" i="1"/>
  <c r="K10" i="1"/>
  <c r="K12" i="1"/>
  <c r="K16" i="1"/>
  <c r="K21" i="1"/>
  <c r="V13" i="1" l="1"/>
  <c r="V7" i="1"/>
  <c r="V18" i="1"/>
  <c r="V10" i="1"/>
  <c r="V8" i="1"/>
  <c r="V45" i="1"/>
  <c r="V46" i="1"/>
  <c r="V44" i="1"/>
  <c r="V43" i="1"/>
  <c r="V42" i="1"/>
  <c r="V32" i="1"/>
  <c r="V3" i="1"/>
  <c r="V26" i="1"/>
  <c r="V5" i="1"/>
  <c r="V15" i="1"/>
  <c r="V6" i="1"/>
  <c r="V22" i="1"/>
  <c r="V9" i="1"/>
  <c r="V36" i="1"/>
  <c r="V30" i="1"/>
  <c r="V40" i="1"/>
  <c r="V2" i="1"/>
  <c r="V27" i="1"/>
  <c r="V20" i="1"/>
  <c r="V4" i="1"/>
  <c r="V12" i="1"/>
  <c r="V21" i="1"/>
  <c r="V17" i="1"/>
  <c r="V29" i="1"/>
  <c r="V14" i="1"/>
  <c r="V16" i="1"/>
  <c r="V19" i="1"/>
  <c r="V31" i="1"/>
  <c r="V35" i="1"/>
  <c r="V23" i="1"/>
  <c r="V11" i="1"/>
  <c r="V28" i="1"/>
  <c r="V33" i="1"/>
  <c r="V41" i="1"/>
  <c r="V34" i="1"/>
  <c r="V39" i="1"/>
  <c r="V24" i="1"/>
  <c r="V38" i="1"/>
  <c r="V37" i="1"/>
  <c r="V25" i="1"/>
  <c r="W46" i="1" l="1"/>
  <c r="W42" i="1"/>
  <c r="W45" i="1"/>
  <c r="W44" i="1"/>
  <c r="X46" i="1"/>
  <c r="X42" i="1"/>
  <c r="X45" i="1"/>
  <c r="X44" i="1"/>
  <c r="X43" i="1"/>
  <c r="W43" i="1"/>
  <c r="W20" i="1"/>
  <c r="W15" i="1"/>
  <c r="W18" i="1"/>
  <c r="X17" i="1"/>
  <c r="W17" i="1"/>
  <c r="X41" i="1"/>
  <c r="W41" i="1"/>
  <c r="W33" i="1"/>
  <c r="X33" i="1"/>
  <c r="W10" i="1"/>
  <c r="X4" i="1"/>
  <c r="X5" i="1"/>
  <c r="X10" i="1"/>
  <c r="W11" i="1"/>
  <c r="X11" i="1"/>
  <c r="W2" i="1"/>
  <c r="X23" i="1"/>
  <c r="W23" i="1"/>
  <c r="X20" i="1"/>
  <c r="X35" i="1"/>
  <c r="W35" i="1"/>
  <c r="X40" i="1"/>
  <c r="X25" i="1"/>
  <c r="W25" i="1"/>
  <c r="X6" i="1"/>
  <c r="X26" i="1"/>
  <c r="X19" i="1"/>
  <c r="W19" i="1"/>
  <c r="W7" i="1"/>
  <c r="X38" i="1"/>
  <c r="W38" i="1"/>
  <c r="X27" i="1"/>
  <c r="X22" i="1"/>
  <c r="X14" i="1"/>
  <c r="W14" i="1"/>
  <c r="W3" i="1"/>
  <c r="W32" i="1"/>
  <c r="W30" i="1"/>
  <c r="X13" i="1"/>
  <c r="X18" i="1"/>
  <c r="W5" i="1"/>
  <c r="W36" i="1"/>
  <c r="X28" i="1"/>
  <c r="W28" i="1"/>
  <c r="X36" i="1"/>
  <c r="W4" i="1"/>
  <c r="W8" i="1"/>
  <c r="W12" i="1"/>
  <c r="X8" i="1"/>
  <c r="X2" i="1"/>
  <c r="X12" i="1"/>
  <c r="W6" i="1"/>
  <c r="W26" i="1"/>
  <c r="W31" i="1"/>
  <c r="X31" i="1"/>
  <c r="W40" i="1"/>
  <c r="X37" i="1"/>
  <c r="W37" i="1"/>
  <c r="W27" i="1"/>
  <c r="W22" i="1"/>
  <c r="X16" i="1"/>
  <c r="W16" i="1"/>
  <c r="X7" i="1"/>
  <c r="X24" i="1"/>
  <c r="W24" i="1"/>
  <c r="W39" i="1"/>
  <c r="X39" i="1"/>
  <c r="X29" i="1"/>
  <c r="W29" i="1"/>
  <c r="X3" i="1"/>
  <c r="X32" i="1"/>
  <c r="X30" i="1"/>
  <c r="W9" i="1"/>
  <c r="X34" i="1"/>
  <c r="W34" i="1"/>
  <c r="X21" i="1"/>
  <c r="W21" i="1"/>
  <c r="W13" i="1"/>
  <c r="X15" i="1"/>
  <c r="X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</futureMetadata>
  <cellMetadata count="1">
    <bk>
      <rc t="1" v="0"/>
    </bk>
  </cellMetadata>
  <valueMetadata count="4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</valueMetadata>
</metadata>
</file>

<file path=xl/sharedStrings.xml><?xml version="1.0" encoding="utf-8"?>
<sst xmlns="http://schemas.openxmlformats.org/spreadsheetml/2006/main" count="305" uniqueCount="174">
  <si>
    <t>Name</t>
  </si>
  <si>
    <t>Date</t>
  </si>
  <si>
    <t>Volume</t>
  </si>
  <si>
    <t>Price</t>
  </si>
  <si>
    <t>Value</t>
  </si>
  <si>
    <t>MO</t>
  </si>
  <si>
    <t>Altaria</t>
  </si>
  <si>
    <t>Visa</t>
  </si>
  <si>
    <t>Master Card</t>
  </si>
  <si>
    <t>QCOM</t>
  </si>
  <si>
    <t>QualComm2</t>
  </si>
  <si>
    <t>Microsoft</t>
  </si>
  <si>
    <t>MSFT</t>
  </si>
  <si>
    <t>AAPL</t>
  </si>
  <si>
    <t>Apple2</t>
  </si>
  <si>
    <t>Pepsi</t>
  </si>
  <si>
    <t>PEP</t>
  </si>
  <si>
    <t>GOOGL</t>
  </si>
  <si>
    <t>Google</t>
  </si>
  <si>
    <t>Kimberly Clark</t>
  </si>
  <si>
    <t>KMB</t>
  </si>
  <si>
    <t>TSMC</t>
  </si>
  <si>
    <t>TSM</t>
  </si>
  <si>
    <t>Nvidia</t>
  </si>
  <si>
    <t>NVDA</t>
  </si>
  <si>
    <t>V</t>
  </si>
  <si>
    <t>NextEra Energy</t>
  </si>
  <si>
    <t>NEE</t>
  </si>
  <si>
    <t>MA</t>
  </si>
  <si>
    <t>Applied Material</t>
  </si>
  <si>
    <t>AMAT</t>
  </si>
  <si>
    <t>Duke Energy</t>
  </si>
  <si>
    <t>DUK</t>
  </si>
  <si>
    <t>LVMH</t>
  </si>
  <si>
    <t>MC.PA</t>
  </si>
  <si>
    <t>Chapter</t>
  </si>
  <si>
    <t>Tech</t>
  </si>
  <si>
    <t>Banking</t>
  </si>
  <si>
    <t>US Consumer</t>
  </si>
  <si>
    <t>Asia Consumer</t>
  </si>
  <si>
    <t>Energy</t>
  </si>
  <si>
    <t>DAR</t>
  </si>
  <si>
    <t>MSG</t>
  </si>
  <si>
    <t>INGR</t>
  </si>
  <si>
    <t>CSIQ</t>
  </si>
  <si>
    <t>Canadian Solar</t>
  </si>
  <si>
    <t>FSLR</t>
  </si>
  <si>
    <t>First Solar</t>
  </si>
  <si>
    <t>JKS</t>
  </si>
  <si>
    <t>Jinko Solar</t>
  </si>
  <si>
    <t>MAXN</t>
  </si>
  <si>
    <t>Maxeon Solar</t>
  </si>
  <si>
    <t>SolarWinds</t>
  </si>
  <si>
    <t>SWI</t>
  </si>
  <si>
    <t>Walmart</t>
  </si>
  <si>
    <t>WMT</t>
  </si>
  <si>
    <t>YUMC</t>
  </si>
  <si>
    <t>Yum China Holding</t>
  </si>
  <si>
    <t>Yum! Brands</t>
  </si>
  <si>
    <t>YUM</t>
  </si>
  <si>
    <t>ASML</t>
  </si>
  <si>
    <t>Volatility</t>
  </si>
  <si>
    <t>Ranking</t>
  </si>
  <si>
    <t>Mix %</t>
  </si>
  <si>
    <t>Target Price</t>
  </si>
  <si>
    <t>Tolerance</t>
  </si>
  <si>
    <t>Expected Return QoQ%</t>
  </si>
  <si>
    <t>Unit Profit</t>
  </si>
  <si>
    <t>Unit Half Loss</t>
  </si>
  <si>
    <t>Balance Risk</t>
  </si>
  <si>
    <t>Normalized Risk</t>
  </si>
  <si>
    <t>Normalized Risk %</t>
  </si>
  <si>
    <t>Automotive</t>
  </si>
  <si>
    <t>Aptive Autoparts</t>
  </si>
  <si>
    <t>APTV</t>
  </si>
  <si>
    <t>Forex</t>
  </si>
  <si>
    <t>Mexican Peso</t>
  </si>
  <si>
    <t>USDMXN=X</t>
  </si>
  <si>
    <t>Japan Yen</t>
  </si>
  <si>
    <t>USDJPY=X</t>
  </si>
  <si>
    <t>Gold</t>
  </si>
  <si>
    <t>GC=F</t>
  </si>
  <si>
    <t>Risk Mix</t>
  </si>
  <si>
    <t>Ticker</t>
  </si>
  <si>
    <t>Palantir</t>
  </si>
  <si>
    <t>PLTR</t>
  </si>
  <si>
    <t>ING Group NV</t>
  </si>
  <si>
    <t>ING</t>
  </si>
  <si>
    <t>Industrials</t>
  </si>
  <si>
    <t>3M</t>
  </si>
  <si>
    <t>MMM</t>
  </si>
  <si>
    <t>Excelon</t>
  </si>
  <si>
    <t>EXC</t>
  </si>
  <si>
    <t>PG&amp;E</t>
  </si>
  <si>
    <t>PCG</t>
  </si>
  <si>
    <t>APA</t>
  </si>
  <si>
    <t>Health</t>
  </si>
  <si>
    <t>Agios</t>
  </si>
  <si>
    <t>AGIO</t>
  </si>
  <si>
    <t>Albertson Companies</t>
  </si>
  <si>
    <t>ACI</t>
  </si>
  <si>
    <t>HCA Healthcare</t>
  </si>
  <si>
    <t>HCA</t>
  </si>
  <si>
    <t>Nombre Ticker</t>
  </si>
  <si>
    <t>Annual Return</t>
  </si>
  <si>
    <t>Annual Volatility</t>
  </si>
  <si>
    <t>Monthly Return</t>
  </si>
  <si>
    <t>Monthly Volatility</t>
  </si>
  <si>
    <t>3M Company</t>
  </si>
  <si>
    <t>Agios Pharmaceuticals, Inc.</t>
  </si>
  <si>
    <t>HCA Healthcare, Inc.</t>
  </si>
  <si>
    <t>Maxeon Solar Technologies, Ltd.</t>
  </si>
  <si>
    <t>NextEra Energy, Inc.</t>
  </si>
  <si>
    <t>First Solar, Inc.</t>
  </si>
  <si>
    <t>Duke Energy Corporation (Holdin</t>
  </si>
  <si>
    <t>JinkoSolar Holding Company Limi</t>
  </si>
  <si>
    <t>SolarWinds Corporation</t>
  </si>
  <si>
    <t>Canadian Solar Inc.</t>
  </si>
  <si>
    <t>Exelon Corporation</t>
  </si>
  <si>
    <t>Pacific Gas &amp; Electric Co.</t>
  </si>
  <si>
    <t>APA Corporation</t>
  </si>
  <si>
    <t>Altria Group, Inc.</t>
  </si>
  <si>
    <t>Kimberly-Clark Corporation</t>
  </si>
  <si>
    <t>Pepsico, Inc.</t>
  </si>
  <si>
    <t>Walmart Inc.</t>
  </si>
  <si>
    <t>Albertsons Companies, Inc.</t>
  </si>
  <si>
    <t>Taiwan Semiconductor Manufactur</t>
  </si>
  <si>
    <t>QUALCOMM Incorporated</t>
  </si>
  <si>
    <t>Apple Inc.</t>
  </si>
  <si>
    <t>Microsoft Corporation</t>
  </si>
  <si>
    <t>Alphabet Inc.</t>
  </si>
  <si>
    <t>ASML Holding N.V. - New York Re</t>
  </si>
  <si>
    <t>NVIDIA Corporation</t>
  </si>
  <si>
    <t>Applied Materials, Inc.</t>
  </si>
  <si>
    <t>Palantir Technologies Inc.</t>
  </si>
  <si>
    <t>YPF Sociedad Anonima</t>
  </si>
  <si>
    <t>YPF</t>
  </si>
  <si>
    <t>Yum! Brands, Inc.</t>
  </si>
  <si>
    <t>Ingredion Incorporated</t>
  </si>
  <si>
    <t>Yum China Holdings, Inc.</t>
  </si>
  <si>
    <t>Darling Ingredients Inc.</t>
  </si>
  <si>
    <t>Aptiv PLC</t>
  </si>
  <si>
    <t>ING Group, N.V.</t>
  </si>
  <si>
    <t>Visa Inc.</t>
  </si>
  <si>
    <t>Mastercard Incorporated</t>
  </si>
  <si>
    <t>ETF</t>
  </si>
  <si>
    <t>BOTZ.UK</t>
  </si>
  <si>
    <t>BATT.NL</t>
  </si>
  <si>
    <t>VBTC.DE</t>
  </si>
  <si>
    <t>ETF5</t>
  </si>
  <si>
    <t>BONDS</t>
  </si>
  <si>
    <t>VWO.US</t>
  </si>
  <si>
    <t>Robotics &amp; AI</t>
  </si>
  <si>
    <t>Batterey Value-Chain</t>
  </si>
  <si>
    <t>Emergin Markets</t>
  </si>
  <si>
    <t>Bitcoin ETF</t>
  </si>
  <si>
    <t>Ingredion</t>
  </si>
  <si>
    <t>Gold Feb 25</t>
  </si>
  <si>
    <t>USD/MXN</t>
  </si>
  <si>
    <t>USD/JPY</t>
  </si>
  <si>
    <t>Row Labels</t>
  </si>
  <si>
    <t>Initial Volume $</t>
  </si>
  <si>
    <t>$%</t>
  </si>
  <si>
    <t>Target Return %</t>
  </si>
  <si>
    <t>Target P&amp;L</t>
  </si>
  <si>
    <t>Grand Total</t>
  </si>
  <si>
    <t>Target Value</t>
  </si>
  <si>
    <t>Actual Return %</t>
  </si>
  <si>
    <t xml:space="preserve">Actual P&amp;L </t>
  </si>
  <si>
    <t>Close Price</t>
  </si>
  <si>
    <t>Actual Value</t>
  </si>
  <si>
    <t>Actual P&amp;L</t>
  </si>
  <si>
    <t>W/Avg Volatility</t>
  </si>
  <si>
    <t xml:space="preserve">Volatility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</si>
</sst>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0"/>
    <numFmt numFmtId="165" formatCode="[$-F800]dddd\,\ mmmm\ dd\,\ yyyy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 applyAlignment="1">
      <alignment horizontal="left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7" borderId="0" xfId="0" applyFill="1"/>
    <xf numFmtId="44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0" fontId="0" fillId="0" borderId="0" xfId="0" applyNumberFormat="1"/>
    <xf numFmtId="0" fontId="0" fillId="8" borderId="0" xfId="0" applyFill="1"/>
    <xf numFmtId="166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pivotButton="1"/>
    <xf numFmtId="44" fontId="0" fillId="9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40"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 walton" refreshedDate="45707.909361574071" createdVersion="8" refreshedVersion="8" minRefreshableVersion="3" recordCount="45" xr:uid="{1E74FF3F-FD41-47C6-9554-6AF9D4A04843}">
  <cacheSource type="worksheet">
    <worksheetSource ref="A1:X46" sheet="Positions"/>
  </cacheSource>
  <cacheFields count="29">
    <cacheField name="Chapter" numFmtId="0">
      <sharedItems count="10">
        <s v="Energy"/>
        <s v="ETF"/>
        <s v="US Consumer"/>
        <s v="Banking"/>
        <s v="Tech"/>
        <s v="Asia Consumer"/>
        <s v="Health"/>
        <s v="Forex"/>
        <s v="Automotive"/>
        <s v="Industrials"/>
      </sharedItems>
    </cacheField>
    <cacheField name="Name" numFmtId="0">
      <sharedItems/>
    </cacheField>
    <cacheField name="Ticker" numFmtId="0">
      <sharedItems count="45">
        <s v="APA"/>
        <s v="BOTZ.UK"/>
        <s v="BATT.NL"/>
        <s v="ACI"/>
        <s v="ING"/>
        <s v="MO"/>
        <s v="YPF"/>
        <s v="VWO.US"/>
        <s v="VBTC.DE"/>
        <s v="BONDS"/>
        <s v="NEE"/>
        <s v="EXC"/>
        <s v="KMB"/>
        <s v="PEP"/>
        <s v="TSM"/>
        <s v="INGR"/>
        <s v="AGIO"/>
        <s v="FSLR"/>
        <s v="AAPL"/>
        <s v="MSFT"/>
        <s v="MA"/>
        <s v="GOOGL"/>
        <s v="YUM"/>
        <s v="MAXN"/>
        <s v="V"/>
        <s v="QCOM"/>
        <s v="MC.PA"/>
        <s v="ASML"/>
        <s v="NVDA"/>
        <s v="AMAT"/>
        <s v="DUK"/>
        <s v="PLTR"/>
        <s v="JKS"/>
        <s v="SWI"/>
        <s v="CSIQ"/>
        <s v="GC=F"/>
        <s v="WMT"/>
        <s v="APTV"/>
        <s v="USDMXN=X"/>
        <s v="YUMC"/>
        <s v="DAR"/>
        <s v="USDJPY=X"/>
        <s v="MMM"/>
        <s v="PCG"/>
        <s v="HCA"/>
      </sharedItems>
    </cacheField>
    <cacheField name="Date" numFmtId="165">
      <sharedItems containsSemiMixedTypes="0" containsNonDate="0" containsDate="1" containsString="0" minDate="2024-06-17T00:00:00" maxDate="2025-02-01T00:00:00"/>
    </cacheField>
    <cacheField name="Volume" numFmtId="164">
      <sharedItems containsSemiMixedTypes="0" containsString="0" containsNumber="1" minValue="9.9999999999999998E-20" maxValue="2.2953000000000001"/>
    </cacheField>
    <cacheField name="Price" numFmtId="44">
      <sharedItems containsSemiMixedTypes="0" containsString="0" containsNumber="1" minValue="10.92" maxValue="2742.9"/>
    </cacheField>
    <cacheField name="Value" numFmtId="44">
      <sharedItems containsSemiMixedTypes="0" containsString="0" containsNumber="1" minValue="1.092E-18" maxValue="89.991048000000006"/>
    </cacheField>
    <cacheField name="Expected Return QoQ%" numFmtId="166">
      <sharedItems containsSemiMixedTypes="0" containsString="0" containsNumber="1" minValue="-1.4844999999999999" maxValue="0.56589999999999996"/>
    </cacheField>
    <cacheField name="Volatility" numFmtId="9">
      <sharedItems containsSemiMixedTypes="0" containsString="0" containsNumber="1" minValue="8.8400000000000006E-2" maxValue="1.3212999999999999"/>
    </cacheField>
    <cacheField name="Ranking" numFmtId="9">
      <sharedItems containsSemiMixedTypes="0" containsString="0" containsNumber="1" minValue="-1.1235147203511693" maxValue="1.1293562935629355"/>
    </cacheField>
    <cacheField name="Mix %" numFmtId="9">
      <sharedItems containsSemiMixedTypes="0" containsString="0" containsNumber="1" minValue="-1.0108145040936092" maxValue="1.0160701067325602"/>
    </cacheField>
    <cacheField name="W/Avg Volatility" numFmtId="9">
      <sharedItems containsSemiMixedTypes="0" containsString="0" containsNumber="1" minValue="2.1845000000000003E-19" maxValue="30.189947772600004"/>
    </cacheField>
    <cacheField name="Target Price" numFmtId="44">
      <sharedItems containsSemiMixedTypes="0" containsString="0" containsNumber="1" minValue="0" maxValue="2980.43514"/>
    </cacheField>
    <cacheField name="Target Value" numFmtId="44">
      <sharedItems containsSemiMixedTypes="0" containsString="0" containsNumber="1" minValue="0" maxValue="96.802542054400007"/>
    </cacheField>
    <cacheField name="Close Price" numFmtId="44">
      <sharedItems containsMixedTypes="1" containsNumber="1" minValue="0.78559999999999997" maxValue="717.5"/>
    </cacheField>
    <cacheField name="Actual Value" numFmtId="44">
      <sharedItems containsSemiMixedTypes="0" containsString="0" containsNumber="1" minValue="7.8559999999999989E-20" maxValue="92.523564000000007"/>
    </cacheField>
    <cacheField name="Actual P&amp;L" numFmtId="44">
      <sharedItems containsSemiMixedTypes="0" containsString="0" containsNumber="1" minValue="-9.4742760000000033" maxValue="8.6620360000000005"/>
    </cacheField>
    <cacheField name="Tolerance" numFmtId="44">
      <sharedItems containsSemiMixedTypes="0" containsString="0" containsNumber="1" minValue="2.8693047453886176" maxValue="2588.3740681324903"/>
    </cacheField>
    <cacheField name="Unit Profit" numFmtId="44">
      <sharedItems containsSemiMixedTypes="0" containsString="0" containsNumber="1" minValue="-10.92" maxValue="237.53513999999996"/>
    </cacheField>
    <cacheField name="Unit Half Loss" numFmtId="44">
      <sharedItems containsSemiMixedTypes="0" containsString="0" containsNumber="1" minValue="-77.262965933754913" maxValue="4.9505448820578408"/>
    </cacheField>
    <cacheField name="Balance Risk" numFmtId="44">
      <sharedItems containsSemiMixedTypes="0" containsString="0" containsNumber="1" minValue="-14.94534762730569" maxValue="160.27217406624504"/>
    </cacheField>
    <cacheField name="Normalized Risk" numFmtId="44">
      <sharedItems containsSemiMixedTypes="0" containsString="0" containsNumber="1" minValue="0" maxValue="175.21752169355074"/>
    </cacheField>
    <cacheField name="Risk Mix" numFmtId="9">
      <sharedItems containsSemiMixedTypes="0" containsString="0" containsNumber="1" minValue="0" maxValue="1.5480196656953615E-2"/>
    </cacheField>
    <cacheField name="Normalized Risk %" numFmtId="9">
      <sharedItems containsSemiMixedTypes="0" containsString="0" containsNumber="1" minValue="0" maxValue="1"/>
    </cacheField>
    <cacheField name="TargetReturn%_Metric" numFmtId="0" formula="'Target Value'/Value-1" databaseField="0"/>
    <cacheField name="TargetP&amp;L_metric" numFmtId="0" formula="'Target Value'-Value" databaseField="0"/>
    <cacheField name="ActualP&amp;L_Metric" numFmtId="0" formula="'Actual Value' -Value" databaseField="0"/>
    <cacheField name="ActualReturn_Metric" numFmtId="0" formula="'ActualP&amp;L_Metric' /Value" databaseField="0"/>
    <cacheField name="AvgVolatility_Metric" numFmtId="0" formula="'W/Avg Volatility' /Value" databaseField="0"/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1E74FF3F-FD41-47C6-9554-6AF9D4A04843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APA"/>
    <x v="0"/>
    <d v="2024-12-01T00:00:00"/>
    <n v="2.2953000000000001"/>
    <n v="21.78"/>
    <n v="49.991634000000005"/>
    <n v="-8.7400000000000005E-2"/>
    <n v="0.60389999999999999"/>
    <n v="-0.14472594800463653"/>
    <n v="-0.13020842959321346"/>
    <n v="30.189947772600004"/>
    <n v="19.876428000000001"/>
    <n v="45.622365188400003"/>
    <n v="23.59"/>
    <n v="54.146127"/>
    <n v="4.1544929999999951"/>
    <n v="12.877668065984748"/>
    <n v="-1.9035720000000005"/>
    <n v="-4.4511659670076265"/>
    <n v="-6.3547379670076269"/>
    <n v="166.62691203325267"/>
    <n v="6.0014315082574203E-3"/>
    <n v="0.95097174313809352"/>
  </r>
  <r>
    <x v="1"/>
    <s v="Robotics &amp; AI"/>
    <x v="1"/>
    <d v="2024-07-08T00:00:00"/>
    <n v="2"/>
    <n v="22.56"/>
    <n v="45.12"/>
    <n v="3.5000000000000003E-2"/>
    <n v="0.16500000000000001"/>
    <n v="0.21212121212121213"/>
    <n v="0.19084324749302797"/>
    <n v="7.4447999999999999"/>
    <n v="23.349599999999995"/>
    <n v="46.69919999999999"/>
    <n v="22.65"/>
    <n v="45.3"/>
    <n v="0.17999999999999972"/>
    <n v="19.9646017699115"/>
    <n v="0.78959999999999653"/>
    <n v="-1.2976991150442494"/>
    <n v="-0.50809911504425287"/>
    <n v="160.78027318128929"/>
    <n v="6.2196684967218627E-3"/>
    <n v="0.91760385392556976"/>
  </r>
  <r>
    <x v="1"/>
    <s v="Batterey Value-Chain"/>
    <x v="2"/>
    <d v="2024-07-08T00:00:00"/>
    <n v="2"/>
    <n v="16.399000000000001"/>
    <n v="32.798000000000002"/>
    <n v="3.5000000000000003E-2"/>
    <n v="0.16500000000000001"/>
    <n v="0.21212121212121213"/>
    <n v="0.19084324749302797"/>
    <n v="5.4116700000000009"/>
    <n v="16.972964999999999"/>
    <n v="33.945929999999997"/>
    <n v="16.874600000000001"/>
    <n v="33.749200000000002"/>
    <n v="0.95120000000000005"/>
    <n v="14.512389380530973"/>
    <n v="0.57396499999999762"/>
    <n v="-0.9433053097345141"/>
    <n v="-0.36934030973451648"/>
    <n v="160.64151437597957"/>
    <n v="6.2250409172532562E-3"/>
    <n v="0.91681193081212453"/>
  </r>
  <r>
    <x v="2"/>
    <s v="Albertson Companies"/>
    <x v="3"/>
    <d v="2024-12-04T00:00:00"/>
    <n v="2"/>
    <n v="20.5"/>
    <n v="41"/>
    <n v="0.14929999999999999"/>
    <n v="0.31569999999999998"/>
    <n v="0.47291732657586316"/>
    <n v="0.42547879816887618"/>
    <n v="12.9437"/>
    <n v="23.560649999999999"/>
    <n v="47.121299999999998"/>
    <n v="20.52"/>
    <n v="41.04"/>
    <n v="3.9999999999999147E-2"/>
    <n v="17.575445816186555"/>
    <n v="3.060649999999999"/>
    <n v="-1.4622770919067225"/>
    <n v="1.5983729080932765"/>
    <n v="158.67380115815178"/>
    <n v="6.302237626508298E-3"/>
    <n v="0.90558181410456573"/>
  </r>
  <r>
    <x v="3"/>
    <s v="ING Group NV"/>
    <x v="4"/>
    <d v="2024-11-27T00:00:00"/>
    <n v="1.9595"/>
    <n v="15.3"/>
    <n v="29.980350000000001"/>
    <n v="7.0499999999999993E-2"/>
    <n v="0.35260000000000002"/>
    <n v="0.19994327850255245"/>
    <n v="0.17988688732377014"/>
    <n v="10.571071410000002"/>
    <n v="16.37865"/>
    <n v="32.093964675000002"/>
    <n v="17.03"/>
    <n v="33.370285000000003"/>
    <n v="3.3899350000000013"/>
    <n v="11.933546525232041"/>
    <n v="1.0786499999999997"/>
    <n v="-1.68322673738398"/>
    <n v="-0.60457673738398032"/>
    <n v="160.87675080362902"/>
    <n v="6.2159385679079878E-3"/>
    <n v="0.91815447021900465"/>
  </r>
  <r>
    <x v="2"/>
    <s v="Altaria"/>
    <x v="5"/>
    <d v="2024-09-18T00:00:00"/>
    <n v="1.7345999999999999"/>
    <n v="51.88"/>
    <n v="89.991048000000006"/>
    <n v="5.8799999999999998E-2"/>
    <n v="0.22600000000000001"/>
    <n v="0.26017699115044246"/>
    <n v="0.23407853188082897"/>
    <n v="20.337976848"/>
    <n v="54.930543999999998"/>
    <n v="95.282521622399997"/>
    <n v="53.34"/>
    <n v="92.523564000000007"/>
    <n v="2.5325160000000011"/>
    <n v="44.44825222755312"/>
    <n v="3.050543999999995"/>
    <n v="-3.7158738862234415"/>
    <n v="-0.66532988622344647"/>
    <n v="160.93750395246849"/>
    <n v="6.21359208040993E-3"/>
    <n v="0.91850120009083625"/>
  </r>
  <r>
    <x v="0"/>
    <s v="YPF"/>
    <x v="6"/>
    <d v="2024-12-01T00:00:00"/>
    <n v="1.2354000000000001"/>
    <n v="40.49"/>
    <n v="50.021346000000001"/>
    <n v="4.19E-2"/>
    <n v="0.53510000000000002"/>
    <n v="7.8303120911979066E-2"/>
    <n v="7.0448503165926199E-2"/>
    <n v="26.766422244600001"/>
    <n v="42.186531000000002"/>
    <n v="52.117240397400003"/>
    <n v="37.11"/>
    <n v="45.845694000000002"/>
    <n v="-4.1756519999999995"/>
    <n v="27.116260380391111"/>
    <n v="1.6965310000000002"/>
    <n v="-6.6868698098044455"/>
    <n v="-4.9903388098044452"/>
    <n v="165.2625128760495"/>
    <n v="6.0509790308587519E-3"/>
    <n v="0.94318485547973796"/>
  </r>
  <r>
    <x v="1"/>
    <s v="Emergin Markets"/>
    <x v="7"/>
    <d v="2025-01-31T00:00:00"/>
    <n v="1"/>
    <n v="44.24"/>
    <n v="44.24"/>
    <n v="6.2E-2"/>
    <n v="0.26100000000000001"/>
    <n v="0.23754789272030649"/>
    <n v="0.21371936747166675"/>
    <n v="11.546640000000002"/>
    <n v="46.982880000000002"/>
    <n v="46.982880000000002"/>
    <n v="45.97"/>
    <n v="45.97"/>
    <n v="1.7299999999999969"/>
    <n v="36.897414512093412"/>
    <n v="2.7428799999999995"/>
    <n v="-3.6712927439532947"/>
    <n v="-0.92841274395329521"/>
    <n v="161.20058681019833"/>
    <n v="6.2034513632225506E-3"/>
    <n v="0.92000266441464951"/>
  </r>
  <r>
    <x v="1"/>
    <s v="Bitcoin ETF"/>
    <x v="8"/>
    <d v="2024-07-08T00:00:00"/>
    <n v="1"/>
    <n v="48.68"/>
    <n v="48.68"/>
    <n v="3.7999999999999999E-2"/>
    <n v="0.16900000000000001"/>
    <n v="0.22485207100591714"/>
    <n v="0.20229706877113868"/>
    <n v="8.2269199999999998"/>
    <n v="50.52984"/>
    <n v="50.52984"/>
    <n v="49.3"/>
    <n v="49.3"/>
    <n v="0.61999999999999744"/>
    <n v="43.041556145004421"/>
    <n v="1.8498400000000004"/>
    <n v="-2.8192219274977894"/>
    <n v="-0.96938192749778906"/>
    <n v="161.24155599374282"/>
    <n v="6.2018751545588301E-3"/>
    <n v="0.92023648340231989"/>
  </r>
  <r>
    <x v="1"/>
    <s v="ETF5"/>
    <x v="9"/>
    <d v="2024-07-08T00:00:00"/>
    <n v="1"/>
    <n v="51.28"/>
    <n v="51.28"/>
    <n v="3.7999999999999999E-2"/>
    <n v="0.16900000000000001"/>
    <n v="0.22485207100591714"/>
    <n v="0.20229706877113868"/>
    <n v="8.6663200000000007"/>
    <n v="53.228640000000006"/>
    <n v="53.228640000000006"/>
    <n v="51.28"/>
    <n v="51.28"/>
    <n v="0"/>
    <n v="45.340406719717066"/>
    <n v="1.9486400000000046"/>
    <n v="-2.9697966401414675"/>
    <n v="-1.0211566401414629"/>
    <n v="161.29333070638651"/>
    <n v="6.1998843698030494E-3"/>
    <n v="0.92053197161687317"/>
  </r>
  <r>
    <x v="0"/>
    <s v="NextEra Energy"/>
    <x v="10"/>
    <d v="2024-08-07T00:00:00"/>
    <n v="0.74609999999999999"/>
    <n v="73.7"/>
    <n v="54.987569999999998"/>
    <n v="0.1212"/>
    <n v="0.24540000000000001"/>
    <n v="0.49388753056234719"/>
    <n v="0.44434547250734346"/>
    <n v="13.493949678"/>
    <n v="82.632440000000003"/>
    <n v="61.652063484000003"/>
    <n v="69.06"/>
    <n v="51.525666000000001"/>
    <n v="-3.461903999999997"/>
    <n v="65.557729941291583"/>
    <n v="8.9324399999999997"/>
    <n v="-4.0711350293542097"/>
    <n v="4.86130497064579"/>
    <n v="155.41086909559925"/>
    <n v="6.4345563847587857E-3"/>
    <n v="0.886959635049555"/>
  </r>
  <r>
    <x v="0"/>
    <s v="Excelon"/>
    <x v="11"/>
    <d v="2024-12-01T00:00:00"/>
    <n v="0.52039999999999997"/>
    <n v="40.340000000000003"/>
    <n v="20.992936"/>
    <n v="8.6900000000000005E-2"/>
    <n v="0.24529999999999999"/>
    <n v="0.35426008968609868"/>
    <n v="0.31872411672922735"/>
    <n v="5.1495672008"/>
    <n v="43.845546000000006"/>
    <n v="22.817222138400002"/>
    <n v="42.65"/>
    <n v="22.195059999999998"/>
    <n v="1.2021239999999977"/>
    <n v="34.82389502762431"/>
    <n v="3.5055460000000025"/>
    <n v="-2.7580524861878466"/>
    <n v="0.7474935138121559"/>
    <n v="159.5246805524329"/>
    <n v="6.2686224886143432E-3"/>
    <n v="0.91043794599170247"/>
  </r>
  <r>
    <x v="2"/>
    <s v="Kimberly Clark"/>
    <x v="12"/>
    <d v="2024-09-09T00:00:00"/>
    <n v="0.51380000000000003"/>
    <n v="138.53"/>
    <n v="71.176714000000004"/>
    <n v="5.0200000000000002E-2"/>
    <n v="0.2001"/>
    <n v="0.25087456271864067"/>
    <n v="0.22570923380948818"/>
    <n v="14.242460471400001"/>
    <n v="145.484206"/>
    <n v="74.749785042799999"/>
    <n v="137.93"/>
    <n v="70.868434000000008"/>
    <n v="-0.30827999999999633"/>
    <n v="120.47134533437691"/>
    <n v="6.9542059999999992"/>
    <n v="-9.0293273328115475"/>
    <n v="-2.0751213328115483"/>
    <n v="162.34729539905658"/>
    <n v="6.1596344893948326E-3"/>
    <n v="0.92654715025016887"/>
  </r>
  <r>
    <x v="2"/>
    <s v="Pepsi"/>
    <x v="13"/>
    <d v="2024-06-17T00:00:00"/>
    <n v="0.51239999999999997"/>
    <n v="157.99"/>
    <n v="80.954076000000001"/>
    <n v="6.59E-2"/>
    <n v="0.1875"/>
    <n v="0.35146666666666665"/>
    <n v="0.31621090310330507"/>
    <n v="15.178889250000001"/>
    <n v="168.40154100000001"/>
    <n v="86.288949608400003"/>
    <n v="139.5"/>
    <n v="71.479799999999997"/>
    <n v="-9.4742760000000033"/>
    <n v="140.86126961483598"/>
    <n v="10.411541"/>
    <n v="-8.5643651925820166"/>
    <n v="1.8471758074179832"/>
    <n v="158.42499825882706"/>
    <n v="6.312135149064345E-3"/>
    <n v="0.90416184824201995"/>
  </r>
  <r>
    <x v="4"/>
    <s v="TSMC"/>
    <x v="14"/>
    <d v="2024-07-11T00:00:00"/>
    <n v="0.4108"/>
    <n v="189.76"/>
    <n v="77.953407999999996"/>
    <n v="0.24179999999999999"/>
    <n v="0.32229999999999998"/>
    <n v="0.75023270245113249"/>
    <n v="0.67497655646729637"/>
    <n v="25.124383398399996"/>
    <n v="235.643968"/>
    <n v="96.802542054400007"/>
    <n v="200.95"/>
    <n v="82.550259999999994"/>
    <n v="4.5968519999999984"/>
    <n v="175.62239703840814"/>
    <n v="45.88396800000001"/>
    <n v="-7.0688014807959263"/>
    <n v="38.815166519204084"/>
    <n v="121.45700754704096"/>
    <n v="8.2333660296438193E-3"/>
    <n v="0.69317843542762225"/>
  </r>
  <r>
    <x v="5"/>
    <s v="Ingredion"/>
    <x v="15"/>
    <d v="2024-10-15T00:00:00"/>
    <n v="0.34860000000000002"/>
    <n v="131.91"/>
    <n v="45.983826000000001"/>
    <n v="6.9500000000000006E-2"/>
    <n v="0.25430000000000003"/>
    <n v="0.2732992528509634"/>
    <n v="0.24588449419990988"/>
    <n v="11.693686951800002"/>
    <n v="141.07774500000002"/>
    <n v="49.179701907000009"/>
    <n v="126.91"/>
    <n v="44.240825999999998"/>
    <n v="-1.7430000000000021"/>
    <n v="111.3352464550979"/>
    <n v="9.1677450000000249"/>
    <n v="-10.287376772451047"/>
    <n v="-1.1196317724510223"/>
    <n v="161.39180583869606"/>
    <n v="6.1961014365218489E-3"/>
    <n v="0.92109398808279364"/>
  </r>
  <r>
    <x v="6"/>
    <s v="Agios"/>
    <x v="16"/>
    <d v="2024-12-04T00:00:00"/>
    <n v="0.28749999999999998"/>
    <n v="34.78"/>
    <n v="9.99925"/>
    <n v="-0.1268"/>
    <n v="0.58609999999999995"/>
    <n v="-0.2163453335608258"/>
    <n v="-0.19464364560163458"/>
    <n v="5.8605604249999992"/>
    <n v="30.369896000000001"/>
    <n v="8.7313450999999986"/>
    <n v="34.020000000000003"/>
    <n v="9.7807499999999994"/>
    <n v="-0.21850000000000058"/>
    <n v="20.304746336622102"/>
    <n v="-4.4101040000000005"/>
    <n v="-7.2376268316889494"/>
    <n v="-11.64773083168895"/>
    <n v="171.919904897934"/>
    <n v="5.8166621287609683E-3"/>
    <n v="0.981179868521459"/>
  </r>
  <r>
    <x v="0"/>
    <s v="First Solar"/>
    <x v="17"/>
    <d v="2024-08-07T00:00:00"/>
    <n v="0.25169999999999998"/>
    <n v="178.56"/>
    <n v="44.943551999999997"/>
    <n v="0.123"/>
    <n v="0.47839999999999999"/>
    <n v="0.25710702341137126"/>
    <n v="0.23131651384800542"/>
    <n v="21.500995276799998"/>
    <n v="200.52288000000001"/>
    <n v="50.471608895999999"/>
    <n v="162.5"/>
    <n v="40.901249999999997"/>
    <n v="-4.0423019999999994"/>
    <n v="131.73970783532536"/>
    <n v="21.962880000000013"/>
    <n v="-23.41014608233732"/>
    <n v="-1.4472660823373076"/>
    <n v="161.71944014858235"/>
    <n v="6.1835484904055682E-3"/>
    <n v="0.92296385992391761"/>
  </r>
  <r>
    <x v="4"/>
    <s v="Apple2"/>
    <x v="18"/>
    <d v="2024-07-09T00:00:00"/>
    <n v="1E-4"/>
    <n v="227.38"/>
    <n v="2.2738000000000001E-2"/>
    <n v="0.2092"/>
    <n v="0.28439999999999999"/>
    <n v="0.73558368495077353"/>
    <n v="0.66179698784050023"/>
    <n v="6.4666871999999997E-3"/>
    <n v="274.94789600000001"/>
    <n v="2.7494789600000003E-2"/>
    <n v="244.87"/>
    <n v="2.4487000000000002E-2"/>
    <n v="1.7490000000000006E-3"/>
    <n v="211.47693452380955"/>
    <n v="47.567896000000019"/>
    <n v="-7.9515327380952243"/>
    <n v="39.616363261904795"/>
    <n v="120.65581080434025"/>
    <n v="8.2880384569429116E-3"/>
    <n v="0.68860585196132951"/>
  </r>
  <r>
    <x v="4"/>
    <s v="Microsoft"/>
    <x v="19"/>
    <d v="2024-10-09T00:00:00"/>
    <n v="0.16059999999999999"/>
    <n v="421.18"/>
    <n v="67.641508000000002"/>
    <n v="0.2412"/>
    <n v="0.27010000000000001"/>
    <n v="0.89300259163272855"/>
    <n v="0.80342514028957801"/>
    <n v="18.269971310800003"/>
    <n v="522.76861600000007"/>
    <n v="83.956639729600013"/>
    <n v="414.77"/>
    <n v="66.612061999999995"/>
    <n v="-1.0294460000000072"/>
    <n v="409.34979103897371"/>
    <n v="101.58861600000006"/>
    <n v="-5.9151044805131505"/>
    <n v="95.673511519486908"/>
    <n v="64.598662546758135"/>
    <n v="1.5480196656953615E-2"/>
    <n v="0.36867695606229905"/>
  </r>
  <r>
    <x v="3"/>
    <s v="Master Card"/>
    <x v="20"/>
    <d v="2024-08-07T00:00:00"/>
    <n v="0.12939999999999999"/>
    <n v="501.56"/>
    <n v="64.901863999999989"/>
    <n v="0.1928"/>
    <n v="0.26650000000000001"/>
    <n v="0.72345215759849901"/>
    <n v="0.65088237890626699"/>
    <n v="17.296346755999998"/>
    <n v="598.2607680000001"/>
    <n v="77.414943379200011"/>
    <n v="568.5"/>
    <n v="73.56389999999999"/>
    <n v="8.6620360000000005"/>
    <n v="467.13234609294966"/>
    <n v="96.700768000000096"/>
    <n v="-17.213826953525171"/>
    <n v="79.486941046474925"/>
    <n v="80.785233019770118"/>
    <n v="1.2378499914152326E-2"/>
    <n v="0.46105681805647636"/>
  </r>
  <r>
    <x v="4"/>
    <s v="Google"/>
    <x v="21"/>
    <d v="2025-01-21T00:00:00"/>
    <n v="5.3800000000000001E-2"/>
    <n v="185.82"/>
    <n v="9.9971160000000001"/>
    <n v="0.1925"/>
    <n v="0.28539999999999999"/>
    <n v="0.6744919411352488"/>
    <n v="0.60683338156945643"/>
    <n v="2.8531769063999999"/>
    <n v="221.59034999999997"/>
    <n v="11.921560829999999"/>
    <n v="185.27"/>
    <n v="9.9675260000000012"/>
    <n v="-2.9589999999998895E-2"/>
    <n v="170.02470491353276"/>
    <n v="35.770349999999979"/>
    <n v="-7.8976475432336173"/>
    <n v="27.872702456766362"/>
    <n v="132.39947160947867"/>
    <n v="7.552900233239364E-3"/>
    <n v="0.75562917640760074"/>
  </r>
  <r>
    <x v="5"/>
    <s v="Yum! Brands"/>
    <x v="22"/>
    <d v="2024-10-15T00:00:00"/>
    <n v="2.9999999999999997E-4"/>
    <n v="130.51"/>
    <n v="3.9152999999999993E-2"/>
    <n v="0.1169"/>
    <n v="0.23899999999999999"/>
    <n v="0.48912133891213394"/>
    <n v="0.44005737947032519"/>
    <n v="9.3575669999999972E-3"/>
    <n v="145.76661899999999"/>
    <n v="4.3729985699999994E-2"/>
    <n v="148.29"/>
    <n v="4.4486999999999992E-2"/>
    <n v="5.3339999999999985E-3"/>
    <n v="116.3087068888691"/>
    <n v="15.256619000000001"/>
    <n v="-7.1006465555654472"/>
    <n v="8.1559724444345534"/>
    <n v="152.11620162181049"/>
    <n v="6.5739217081306582E-3"/>
    <n v="0.86815633591631525"/>
  </r>
  <r>
    <x v="0"/>
    <s v="Maxeon Solar"/>
    <x v="23"/>
    <d v="2024-08-07T00:00:00"/>
    <n v="9.9999999999999998E-20"/>
    <n v="10.92"/>
    <n v="1.092E-18"/>
    <n v="-1.4844999999999999"/>
    <n v="1.3212999999999999"/>
    <n v="-1.1235147203511693"/>
    <n v="-1.0108145040936092"/>
    <n v="1.4428596E-18"/>
    <n v="0"/>
    <n v="0"/>
    <n v="5.64"/>
    <n v="5.6399999999999995E-19"/>
    <n v="-5.280000000000001E-19"/>
    <n v="2.8693047453886176"/>
    <n v="-10.92"/>
    <n v="-4.025347627305691"/>
    <n v="-14.94534762730569"/>
    <n v="175.21752169355074"/>
    <n v="5.7071917827314364E-3"/>
    <n v="1"/>
  </r>
  <r>
    <x v="3"/>
    <s v="Visa"/>
    <x v="24"/>
    <d v="2024-08-07T00:00:00"/>
    <n v="9.9999999999999998E-20"/>
    <n v="283.43"/>
    <n v="2.8342999999999998E-17"/>
    <n v="0.17100000000000001"/>
    <n v="0.24360000000000001"/>
    <n v="0.70197044334975367"/>
    <n v="0.6315555041069415"/>
    <n v="6.9043547999999996E-18"/>
    <n v="331.89653000000004"/>
    <n v="3.3189653000000001E-17"/>
    <n v="355.23"/>
    <n v="3.5522999999999998E-17"/>
    <n v="7.1800000000000003E-18"/>
    <n v="264.24575797128472"/>
    <n v="48.466530000000034"/>
    <n v="-9.5921210143576445"/>
    <n v="38.87440898564239"/>
    <n v="121.39776508060265"/>
    <n v="8.2373839364838809E-3"/>
    <n v="0.6928403273099768"/>
  </r>
  <r>
    <x v="4"/>
    <s v="QualComm2"/>
    <x v="25"/>
    <d v="2024-09-09T00:00:00"/>
    <n v="9.9999999999999998E-20"/>
    <n v="188.12"/>
    <n v="1.8812000000000001E-17"/>
    <n v="0.1164"/>
    <n v="0.3664"/>
    <n v="0.31768558951965065"/>
    <n v="0.28581841947528813"/>
    <n v="6.8927168000000004E-18"/>
    <n v="210.01716800000003"/>
    <n v="2.1001716800000003E-17"/>
    <n v="175.22"/>
    <n v="1.7522E-17"/>
    <n v="-1.2900000000000016E-18"/>
    <n v="150.49600000000001"/>
    <n v="21.897168000000022"/>
    <n v="-18.811999999999998"/>
    <n v="3.0851680000000243"/>
    <n v="157.18700606624503"/>
    <n v="6.3618490168236884E-3"/>
    <n v="0.89709638937343017"/>
  </r>
  <r>
    <x v="5"/>
    <s v="LVMH"/>
    <x v="26"/>
    <d v="2024-09-27T00:00:00"/>
    <n v="9.9999999999999998E-20"/>
    <n v="668.82"/>
    <n v="6.6881999999999999E-17"/>
    <n v="0.16070000000000001"/>
    <n v="0.27700000000000002"/>
    <n v="0.58014440433212999"/>
    <n v="0.52194988436321643"/>
    <n v="1.8526314000000002E-17"/>
    <n v="776.29937400000006"/>
    <n v="7.7629937400000001E-17"/>
    <s v="#VALUE!"/>
    <n v="6.6881999999999999E-17"/>
    <n v="0"/>
    <n v="599.14001612469769"/>
    <n v="107.47937400000001"/>
    <n v="-34.839991937651178"/>
    <n v="72.63938206234883"/>
    <n v="87.632792003896213"/>
    <n v="1.1411253449000453E-2"/>
    <n v="0.50013715042244966"/>
  </r>
  <r>
    <x v="4"/>
    <s v="ASML"/>
    <x v="27"/>
    <d v="2024-07-08T00:00:00"/>
    <n v="9.9999999999999998E-20"/>
    <n v="700.32"/>
    <n v="7.0031999999999998E-17"/>
    <n v="0.2051"/>
    <n v="0.36940000000000001"/>
    <n v="0.55522468868435304"/>
    <n v="0.49952987547647199"/>
    <n v="2.5869820800000001E-17"/>
    <n v="843.95563200000015"/>
    <n v="8.4395563200000012E-17"/>
    <n v="717.5"/>
    <n v="7.1749999999999995E-17"/>
    <n v="1.7179999999999966E-18"/>
    <n v="601.49446019067261"/>
    <n v="143.6356320000001"/>
    <n v="-49.412769904663719"/>
    <n v="94.222862095336382"/>
    <n v="66.049311970908661"/>
    <n v="1.5140203132478486E-2"/>
    <n v="0.376956090535435"/>
  </r>
  <r>
    <x v="4"/>
    <s v="Nvidia"/>
    <x v="28"/>
    <d v="2024-07-09T00:00:00"/>
    <n v="9.9999999999999998E-20"/>
    <n v="147.01"/>
    <n v="1.4700999999999999E-17"/>
    <n v="0.55089999999999995"/>
    <n v="0.48780000000000001"/>
    <n v="1.1293562935629355"/>
    <n v="1.0160701067325602"/>
    <n v="7.1711477999999992E-18"/>
    <n v="227.99780899999999"/>
    <n v="2.2799780899999998E-17"/>
    <n v="139.22999999999999"/>
    <n v="1.3922999999999999E-17"/>
    <n v="-7.7800000000000002E-19"/>
    <n v="156.91108976411567"/>
    <n v="80.987808999999999"/>
    <n v="4.9505448820578408"/>
    <n v="85.938353882057839"/>
    <n v="74.333820184187203"/>
    <n v="1.3452826688069595E-2"/>
    <n v="0.42423736773422943"/>
  </r>
  <r>
    <x v="4"/>
    <s v="Applied Material"/>
    <x v="29"/>
    <d v="2024-07-08T00:00:00"/>
    <n v="9.9999999999999998E-20"/>
    <n v="169.34"/>
    <n v="1.6933999999999999E-17"/>
    <n v="0.21429999999999999"/>
    <n v="0.40479999999999999"/>
    <n v="0.52939723320158105"/>
    <n v="0.47629318250492114"/>
    <n v="6.8548831999999995E-18"/>
    <n v="205.62956199999999"/>
    <n v="2.0562956199999998E-17"/>
    <n v="174.06"/>
    <n v="1.7406000000000001E-17"/>
    <n v="4.720000000000018E-19"/>
    <n v="142.2427551448971"/>
    <n v="36.289561999999989"/>
    <n v="-13.54862242755145"/>
    <n v="22.740939572448539"/>
    <n v="137.53123449379649"/>
    <n v="7.2710755755275806E-3"/>
    <n v="0.78491713137190566"/>
  </r>
  <r>
    <x v="0"/>
    <s v="Duke Energy"/>
    <x v="30"/>
    <d v="2024-08-07T00:00:00"/>
    <n v="9.9999999999999998E-20"/>
    <n v="113.58"/>
    <n v="1.1357999999999999E-17"/>
    <n v="7.6100000000000001E-2"/>
    <n v="0.20619999999999999"/>
    <n v="0.36905916585838994"/>
    <n v="0.33203869158184923"/>
    <n v="2.3420195999999997E-18"/>
    <n v="122.223438"/>
    <n v="1.2222343799999999E-17"/>
    <n v="111.79"/>
    <n v="1.1179E-17"/>
    <n v="-1.7899999999999882E-19"/>
    <n v="100.50438014335016"/>
    <n v="8.6434380000000033"/>
    <n v="-6.5378099283249185"/>
    <n v="2.1056280716750848"/>
    <n v="158.16654599456996"/>
    <n v="6.3224495022754764E-3"/>
    <n v="0.9026868116032235"/>
  </r>
  <r>
    <x v="4"/>
    <s v="Palantir"/>
    <x v="31"/>
    <d v="2024-07-08T00:00:00"/>
    <n v="9.9999999999999998E-20"/>
    <n v="64.349999999999994"/>
    <n v="6.4349999999999993E-18"/>
    <n v="0.56589999999999996"/>
    <n v="0.70699999999999996"/>
    <n v="0.80042432814710041"/>
    <n v="0.7201334398783692"/>
    <n v="4.5495449999999992E-18"/>
    <n v="100.765665"/>
    <n v="1.0076566499999999E-17"/>
    <n v="112.06"/>
    <n v="1.1206E-17"/>
    <n v="4.771000000000001E-18"/>
    <n v="56.392954167031817"/>
    <n v="36.415665000000004"/>
    <n v="-3.9785229164840885"/>
    <n v="32.437142083515916"/>
    <n v="127.83503198272913"/>
    <n v="7.822581842316139E-3"/>
    <n v="0.7295790440770421"/>
  </r>
  <r>
    <x v="0"/>
    <s v="Jinko Solar"/>
    <x v="32"/>
    <d v="2024-08-07T00:00:00"/>
    <n v="9.9999999999999998E-20"/>
    <n v="20.82"/>
    <n v="2.0820000000000002E-18"/>
    <n v="1.1900000000000001E-2"/>
    <n v="0.70799999999999996"/>
    <n v="1.6807909604519777E-2"/>
    <n v="1.5121901390337388E-2"/>
    <n v="1.474056E-18"/>
    <n v="21.067758000000001"/>
    <n v="2.1067757999999999E-18"/>
    <n v="23.2"/>
    <n v="2.32E-18"/>
    <n v="2.3799999999999981E-19"/>
    <n v="12.275219621484583"/>
    <n v="0.24775800000000103"/>
    <n v="-4.2723901892577087"/>
    <n v="-4.0246321892577077"/>
    <n v="164.29680625550276"/>
    <n v="6.0865455804714232E-3"/>
    <n v="0.93767338259042421"/>
  </r>
  <r>
    <x v="0"/>
    <s v="SolarWinds"/>
    <x v="33"/>
    <d v="2024-08-07T00:00:00"/>
    <n v="9.9999999999999998E-20"/>
    <n v="13.04"/>
    <n v="1.304E-18"/>
    <n v="4.82E-2"/>
    <n v="0.4264"/>
    <n v="0.11303939962476547"/>
    <n v="0.10170037170410422"/>
    <n v="5.5602559999999997E-19"/>
    <n v="13.668528"/>
    <n v="1.3668528E-18"/>
    <n v="18.309999999999999"/>
    <n v="1.8309999999999997E-18"/>
    <n v="5.2699999999999978E-19"/>
    <n v="9.4616166013640974"/>
    <n v="0.62852800000000109"/>
    <n v="-1.7891916993179509"/>
    <n v="-1.1606636993179498"/>
    <n v="161.43283776556299"/>
    <n v="6.1945265525978448E-3"/>
    <n v="0.92132816515863825"/>
  </r>
  <r>
    <x v="0"/>
    <s v="Canadian Solar"/>
    <x v="34"/>
    <d v="2024-08-07T00:00:00"/>
    <n v="9.9999999999999998E-20"/>
    <n v="11.05"/>
    <n v="1.1050000000000001E-18"/>
    <n v="-0.1055"/>
    <n v="0.57940000000000003"/>
    <n v="-0.18208491542975491"/>
    <n v="-0.16381990387765097"/>
    <n v="6.4023700000000011E-19"/>
    <n v="9.8842250000000007"/>
    <n v="9.8842250000000007E-19"/>
    <n v="11.05"/>
    <n v="1.1050000000000001E-18"/>
    <n v="0"/>
    <n v="6.5582527152946763"/>
    <n v="-1.165775"/>
    <n v="-2.2458736423526622"/>
    <n v="-3.4116486423526622"/>
    <n v="163.68382270859772"/>
    <n v="6.1093392337266909E-3"/>
    <n v="0.93417496792857824"/>
  </r>
  <r>
    <x v="7"/>
    <s v="Gold"/>
    <x v="35"/>
    <d v="2025-01-30T00:00:00"/>
    <n v="9.9999999999999998E-20"/>
    <n v="2742.9"/>
    <n v="2.7429000000000002E-16"/>
    <n v="8.6599999999999996E-2"/>
    <n v="0.14630000000000001"/>
    <n v="0.59193438140806554"/>
    <n v="0.53255720406754736"/>
    <n v="4.0128627000000008E-17"/>
    <n v="2980.43514"/>
    <n v="2.98043514E-16"/>
    <n v="0.78559999999999997"/>
    <n v="7.8559999999999989E-20"/>
    <n v="-2.7421144000000001E-16"/>
    <n v="2588.3740681324903"/>
    <n v="237.53513999999996"/>
    <n v="-77.262965933754913"/>
    <n v="160.27217406624504"/>
    <n v="0"/>
    <n v="0"/>
    <n v="0"/>
  </r>
  <r>
    <x v="2"/>
    <s v="Walmart"/>
    <x v="36"/>
    <d v="2024-08-01T00:00:00"/>
    <n v="9.9999999999999998E-20"/>
    <n v="86.6"/>
    <n v="8.6599999999999986E-18"/>
    <n v="0.1467"/>
    <n v="0.21079999999999999"/>
    <n v="0.6959203036053131"/>
    <n v="0.62611225632861045"/>
    <n v="1.8255279999999995E-18"/>
    <n v="99.304220000000001"/>
    <n v="9.9304219999999992E-18"/>
    <n v="104"/>
    <n v="1.04E-17"/>
    <n v="1.7400000000000015E-18"/>
    <n v="81.383328634526833"/>
    <n v="12.704220000000007"/>
    <n v="-2.6083356827365805"/>
    <n v="10.095884317263426"/>
    <n v="150.17628974898162"/>
    <n v="6.6588407642211127E-3"/>
    <n v="0.8570848868164832"/>
  </r>
  <r>
    <x v="8"/>
    <s v="Aptive Autoparts"/>
    <x v="37"/>
    <d v="2024-09-27T00:00:00"/>
    <n v="9.9999999999999998E-20"/>
    <n v="56"/>
    <n v="5.5999999999999995E-18"/>
    <n v="4.1000000000000003E-3"/>
    <n v="0.4047"/>
    <n v="1.0130961205831481E-2"/>
    <n v="9.1147203875204513E-3"/>
    <n v="2.2663199999999999E-18"/>
    <n v="56.229599999999998"/>
    <n v="5.6229599999999995E-18"/>
    <n v="66.66"/>
    <n v="6.6659999999999998E-18"/>
    <n v="1.0660000000000003E-18"/>
    <n v="39.98286448664858"/>
    <n v="0.22959999999999781"/>
    <n v="-8.0085677566757099"/>
    <n v="-7.7789677566757121"/>
    <n v="168.05114182292075"/>
    <n v="5.9505695061192881E-3"/>
    <n v="0.95910009569040855"/>
  </r>
  <r>
    <x v="7"/>
    <s v="Mexican Peso"/>
    <x v="38"/>
    <d v="2024-10-15T00:00:00"/>
    <n v="9.9999999999999998E-20"/>
    <n v="17"/>
    <n v="1.7E-18"/>
    <n v="3.1099999999999999E-2"/>
    <n v="0.1285"/>
    <n v="0.24202334630350195"/>
    <n v="0.21774588649482446"/>
    <n v="2.1845000000000003E-19"/>
    <n v="17.528699999999997"/>
    <n v="1.7528699999999997E-18"/>
    <n v="20.431999999999999"/>
    <n v="2.0431999999999997E-18"/>
    <n v="3.4319999999999965E-19"/>
    <n v="15.491160925824675"/>
    <n v="0.52869999999999706"/>
    <n v="-0.75441953708766274"/>
    <n v="-0.22571953708766568"/>
    <n v="160.4978936033327"/>
    <n v="6.2306113653521197E-3"/>
    <n v="0.91599225951864482"/>
  </r>
  <r>
    <x v="5"/>
    <s v="Yum China Holding"/>
    <x v="39"/>
    <d v="2024-10-09T00:00:00"/>
    <n v="9.9999999999999998E-20"/>
    <n v="47.42"/>
    <n v="4.7419999999999999E-18"/>
    <n v="8.5199999999999998E-2"/>
    <n v="0.36359999999999998"/>
    <n v="0.23432343234323433"/>
    <n v="0.21081835401987956"/>
    <n v="1.7241911999999999E-18"/>
    <n v="51.460183999999998"/>
    <n v="5.1460184E-18"/>
    <n v="47.29"/>
    <n v="4.729E-18"/>
    <n v="-1.2999999999999854E-20"/>
    <n v="37.093241551939926"/>
    <n v="4.0401839999999964"/>
    <n v="-5.163379224030038"/>
    <n v="-1.1231952240300416"/>
    <n v="161.39536929027508"/>
    <n v="6.1959646326745959E-3"/>
    <n v="0.92111432538436366"/>
  </r>
  <r>
    <x v="5"/>
    <s v="MSG"/>
    <x v="40"/>
    <d v="2024-08-03T00:00:00"/>
    <n v="9.9999999999999998E-20"/>
    <n v="41.8"/>
    <n v="4.1799999999999993E-18"/>
    <n v="8.3500000000000005E-2"/>
    <n v="0.39029999999999998"/>
    <n v="0.21393799641301564"/>
    <n v="0.19247778941731217"/>
    <n v="1.6314539999999997E-18"/>
    <n v="45.290299999999995"/>
    <n v="4.5290299999999995E-18"/>
    <n v="38.39"/>
    <n v="3.8390000000000001E-18"/>
    <n v="-3.4099999999999919E-19"/>
    <n v="31.986531986531986"/>
    <n v="3.4902999999999977"/>
    <n v="-4.9067340067340055"/>
    <n v="-1.4164340067340078"/>
    <n v="161.68860807297904"/>
    <n v="6.1847276188353641E-3"/>
    <n v="0.92278789535538974"/>
  </r>
  <r>
    <x v="7"/>
    <s v="Japan Yen"/>
    <x v="41"/>
    <d v="2024-10-09T00:00:00"/>
    <n v="9.9999999999999998E-20"/>
    <n v="153.7552"/>
    <n v="1.5375519999999999E-17"/>
    <n v="2.2700000000000001E-2"/>
    <n v="8.8400000000000006E-2"/>
    <n v="0.25678733031674206"/>
    <n v="0.23102888929707052"/>
    <n v="1.359195968E-18"/>
    <n v="157.24544304"/>
    <n v="1.5724544303999999E-17"/>
    <n v="151.47"/>
    <n v="1.5146999999999998E-17"/>
    <n v="-2.28520000000001E-19"/>
    <n v="144.27625035188137"/>
    <n v="3.4902430399999957"/>
    <n v="-4.7394748240593145"/>
    <n v="-1.2492317840593188"/>
    <n v="161.52140585030435"/>
    <n v="6.1911298674974706E-3"/>
    <n v="0.92183364020408631"/>
  </r>
  <r>
    <x v="9"/>
    <s v="3M"/>
    <x v="42"/>
    <d v="2024-12-01T00:00:00"/>
    <n v="9.9999999999999998E-20"/>
    <n v="133.53"/>
    <n v="1.3353E-17"/>
    <n v="4.0899999999999999E-2"/>
    <n v="0.25"/>
    <n v="0.1636"/>
    <n v="0.14718921779505134"/>
    <n v="3.3382499999999999E-18"/>
    <n v="138.991377"/>
    <n v="1.38991377E-17"/>
    <n v="150.19999999999999"/>
    <n v="1.5019999999999999E-17"/>
    <n v="1.6669999999999989E-18"/>
    <n v="110.4375155074022"/>
    <n v="5.4613769999999988"/>
    <n v="-11.546242246298903"/>
    <n v="-6.0848652462989037"/>
    <n v="166.35703931254395"/>
    <n v="6.0111673310153475E-3"/>
    <n v="0.94943152776408135"/>
  </r>
  <r>
    <x v="0"/>
    <s v="PG&amp;E"/>
    <x v="43"/>
    <d v="2024-12-01T00:00:00"/>
    <n v="9.9999999999999998E-20"/>
    <n v="26.63"/>
    <n v="2.663E-18"/>
    <n v="-0.1193"/>
    <n v="0.60340000000000005"/>
    <n v="-0.19771295989393436"/>
    <n v="-0.17788029287733836"/>
    <n v="1.6068542000000001E-18"/>
    <n v="23.453040999999999"/>
    <n v="2.3453040999999998E-18"/>
    <n v="15.66"/>
    <n v="1.566E-18"/>
    <n v="-1.097E-18"/>
    <n v="15.458292215707898"/>
    <n v="-3.1769590000000001"/>
    <n v="-5.5858538921460505"/>
    <n v="-8.7628128921460515"/>
    <n v="169.0349869583911"/>
    <n v="5.9159350261975968E-3"/>
    <n v="0.96471508856304522"/>
  </r>
  <r>
    <x v="6"/>
    <s v="HCA Healthcare"/>
    <x v="44"/>
    <d v="2024-12-04T00:00:00"/>
    <n v="9.9999999999999998E-20"/>
    <n v="323.75"/>
    <n v="3.2375000000000002E-17"/>
    <n v="0.16109999999999999"/>
    <n v="0.32779999999999998"/>
    <n v="0.49145820622330688"/>
    <n v="0.44215983467584091"/>
    <n v="1.0612525E-17"/>
    <n v="375.90612500000003"/>
    <n v="3.7590612500000005E-17"/>
    <n v="320.56"/>
    <n v="3.2055999999999996E-17"/>
    <n v="-3.1900000000000578E-19"/>
    <n v="277.49207165509563"/>
    <n v="52.156125000000031"/>
    <n v="-23.128964172452186"/>
    <n v="29.027160827547846"/>
    <n v="131.2450132386972"/>
    <n v="7.619337110974918E-3"/>
    <n v="0.74904046108037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C1D4E-8AFF-4F3A-87D7-1A82850D7D48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0" firstDataRow="1" firstDataCol="1"/>
  <pivotFields count="29">
    <pivotField axis="axisRow" showAll="0" sortType="descending">
      <items count="11">
        <item sd="0" x="5"/>
        <item sd="0" x="8"/>
        <item sd="0" x="3"/>
        <item sd="0" x="0"/>
        <item sd="0" x="7"/>
        <item sd="0" x="6"/>
        <item sd="0" x="9"/>
        <item sd="0" x="4"/>
        <item sd="0" x="2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6">
        <item x="18"/>
        <item x="3"/>
        <item x="16"/>
        <item x="29"/>
        <item x="0"/>
        <item x="37"/>
        <item x="27"/>
        <item x="2"/>
        <item x="9"/>
        <item x="1"/>
        <item x="34"/>
        <item x="40"/>
        <item x="30"/>
        <item x="11"/>
        <item x="17"/>
        <item x="35"/>
        <item x="21"/>
        <item x="44"/>
        <item x="4"/>
        <item x="15"/>
        <item x="32"/>
        <item x="12"/>
        <item x="20"/>
        <item x="23"/>
        <item x="26"/>
        <item x="42"/>
        <item x="5"/>
        <item x="19"/>
        <item x="10"/>
        <item x="28"/>
        <item x="43"/>
        <item x="13"/>
        <item x="31"/>
        <item x="25"/>
        <item x="33"/>
        <item x="14"/>
        <item x="41"/>
        <item x="38"/>
        <item x="24"/>
        <item x="8"/>
        <item x="36"/>
        <item x="6"/>
        <item x="22"/>
        <item x="3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numFmtId="44" showAll="0"/>
    <pivotField dataField="1" numFmtId="44" showAll="0"/>
    <pivotField showAll="0"/>
    <pivotField showAll="0"/>
    <pivotField numFmtId="9" showAll="0"/>
    <pivotField numFmtId="9" showAll="0"/>
    <pivotField numFmtId="9" showAll="0"/>
    <pivotField numFmtId="44"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2"/>
  </rowFields>
  <rowItems count="11">
    <i>
      <x v="8"/>
    </i>
    <i>
      <x v="9"/>
    </i>
    <i>
      <x v="3"/>
    </i>
    <i>
      <x v="7"/>
    </i>
    <i>
      <x v="2"/>
    </i>
    <i>
      <x/>
    </i>
    <i>
      <x v="5"/>
    </i>
    <i>
      <x v="4"/>
    </i>
    <i>
      <x v="6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Initial Volume $" fld="6" baseField="0" baseItem="0" numFmtId="44"/>
    <dataField name="$%" fld="6" baseField="0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Volatility " fld="28" baseField="0" baseItem="8" numFmtId="10"/>
    <dataField name="Target Return %" fld="24" baseField="0" baseItem="0" numFmtId="10"/>
    <dataField name="Target P&amp;L" fld="25" baseField="0" baseItem="0" numFmtId="44"/>
    <dataField name="Actual Return %" fld="27" baseField="0" baseItem="8" numFmtId="10"/>
    <dataField name="Actual P&amp;L " fld="26" baseField="0" baseItem="0" numFmtId="44"/>
  </dataFields>
  <formats count="8"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fieldPosition="0">
        <references count="1">
          <reference field="4294967294" count="1">
            <x v="3"/>
          </reference>
        </references>
      </pivotArea>
    </format>
    <format dxfId="35">
      <pivotArea outline="0" fieldPosition="0">
        <references count="1">
          <reference field="4294967294" count="1">
            <x v="5"/>
          </reference>
        </references>
      </pivotArea>
    </format>
    <format dxfId="36">
      <pivotArea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38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39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2">
  <a r="1">
    <v t="i">0</v>
  </a>
  <a r="1">
    <v>200.95</v>
  </a>
  <a r="1">
    <v>162.5</v>
  </a>
  <a r="1">
    <v>148.29</v>
  </a>
  <a r="1">
    <v>45.97</v>
  </a>
  <a r="1">
    <v>151.47</v>
  </a>
  <a r="1">
    <v>137.93</v>
  </a>
  <a r="1">
    <v>175.22</v>
  </a>
  <a r="1">
    <v>5.64</v>
  </a>
  <a r="1">
    <v>0.78559999999999997</v>
  </a>
  <a r="1">
    <v>37.11</v>
  </a>
  <a r="1">
    <v>23.2</v>
  </a>
  <a r="1">
    <v>23.59</v>
  </a>
  <a r="1">
    <v>174.06</v>
  </a>
  <a r="1">
    <v>66.66</v>
  </a>
  <a r="1">
    <v>53.34</v>
  </a>
  <a r="1">
    <v>11.05</v>
  </a>
  <a r="1">
    <v>139.22999999999999</v>
  </a>
  <a r="1">
    <v>414.77</v>
  </a>
  <a r="1">
    <v>69.06</v>
  </a>
  <a r="1">
    <v>355.23</v>
  </a>
  <a r="1">
    <v>42.65</v>
  </a>
  <a r="1">
    <v>568.5</v>
  </a>
  <a r="1">
    <v>20.431999999999999</v>
  </a>
  <a r="1">
    <v>38.39</v>
  </a>
  <a r="1">
    <v>18.309999999999999</v>
  </a>
  <a r="1">
    <v>112.06</v>
  </a>
  <a r="1">
    <v>34.020000000000003</v>
  </a>
  <a r="1">
    <v>49.3</v>
  </a>
  <a r="1">
    <v>150.19999999999999</v>
  </a>
  <a r="1">
    <v>47.29</v>
  </a>
  <a r="1">
    <v>104</v>
  </a>
  <a r="1">
    <v>717.5</v>
  </a>
  <a r="1">
    <v>185.27</v>
  </a>
  <a r="1">
    <v>244.87</v>
  </a>
  <a r="1">
    <v>320.56</v>
  </a>
  <a r="1">
    <v>126.91</v>
  </a>
  <a r="1">
    <v>139.5</v>
  </a>
  <a r="1">
    <v>16.874600000000001</v>
  </a>
  <a r="1">
    <v>111.79</v>
  </a>
  <a r="1">
    <v>15.66</v>
  </a>
  <a r="46">
    <v t="r">0</v>
    <v t="e">#NULL!</v>
    <v t="r">1</v>
    <v t="e">#NULL!</v>
    <v t="r">2</v>
    <v t="r">3</v>
    <v t="r">4</v>
    <v t="r">5</v>
    <v t="r">6</v>
    <v t="e">#NULL!</v>
    <v t="r">7</v>
    <v t="r">8</v>
    <v t="r">9</v>
    <v t="r">10</v>
    <v t="r">11</v>
    <v t="r">12</v>
    <v t="r">13</v>
    <v t="r">14</v>
    <v t="r">15</v>
    <v t="r">16</v>
    <v t="r">17</v>
    <v t="r">18</v>
    <v t="r">19</v>
    <v t="r">20</v>
    <v t="r">21</v>
    <v t="r">22</v>
    <v t="r">82</v>
    <v t="r">24</v>
    <v t="r">25</v>
    <v t="r">26</v>
    <v t="r">27</v>
    <v t="r">28</v>
    <v t="r">29</v>
    <v t="r">30</v>
    <v t="r">31</v>
    <v t="r">32</v>
    <v t="r">33</v>
    <v t="r">34</v>
    <v t="r">35</v>
    <v t="r">36</v>
    <v t="r">37</v>
    <v t="r">38</v>
    <v t="r">39</v>
    <v t="r">40</v>
    <v t="r">41</v>
    <v t="i">2</v>
  </a>
</arrayData>
</file>

<file path=xl/richData/rdrichvalue.xml><?xml version="1.0" encoding="utf-8"?>
<rvData xmlns="http://schemas.microsoft.com/office/spreadsheetml/2017/richdata" count="85">
  <rv s="0">
    <fb>23.59</fb>
    <v>0</v>
  </rv>
  <rv s="0">
    <fb>16.874600000000001</fb>
    <v>1</v>
  </rv>
  <rv s="0">
    <fb>17.03</fb>
    <v>0</v>
  </rv>
  <rv s="0">
    <fb>53.34</fb>
    <v>0</v>
  </rv>
  <rv s="0">
    <fb>37.11</fb>
    <v>0</v>
  </rv>
  <rv s="0">
    <fb>45.97</fb>
    <v>0</v>
  </rv>
  <rv s="0">
    <fb>49.3</fb>
    <v>1</v>
  </rv>
  <rv s="0">
    <fb>69.06</fb>
    <v>0</v>
  </rv>
  <rv s="0">
    <fb>42.65</fb>
    <v>0</v>
  </rv>
  <rv s="0">
    <fb>137.93</fb>
    <v>0</v>
  </rv>
  <rv s="0">
    <fb>139.5</fb>
    <v>1</v>
  </rv>
  <rv s="0">
    <fb>200.95</fb>
    <v>0</v>
  </rv>
  <rv s="0">
    <fb>126.91</fb>
    <v>0</v>
  </rv>
  <rv s="0">
    <fb>34.020000000000003</fb>
    <v>0</v>
  </rv>
  <rv s="0">
    <fb>162.5</fb>
    <v>0</v>
  </rv>
  <rv s="0">
    <fb>244.87</fb>
    <v>0</v>
  </rv>
  <rv s="0">
    <fb>414.77</fb>
    <v>0</v>
  </rv>
  <rv s="0">
    <fb>568.5</fb>
    <v>0</v>
  </rv>
  <rv s="0">
    <fb>185.27</fb>
    <v>0</v>
  </rv>
  <rv s="0">
    <fb>148.29</fb>
    <v>0</v>
  </rv>
  <rv s="0">
    <fb>5.64</fb>
    <v>0</v>
  </rv>
  <rv s="0">
    <fb>355.23</fb>
    <v>0</v>
  </rv>
  <rv s="0">
    <fb>175.22</fb>
    <v>0</v>
  </rv>
  <rv s="1">
    <v>2</v>
    <v>18</v>
  </rv>
  <rv s="0">
    <fb>717.5</fb>
    <v>1</v>
  </rv>
  <rv s="0">
    <fb>139.22999999999999</fb>
    <v>0</v>
  </rv>
  <rv s="0">
    <fb>174.06</fb>
    <v>0</v>
  </rv>
  <rv s="0">
    <fb>111.79</fb>
    <v>0</v>
  </rv>
  <rv s="0">
    <fb>112.06</fb>
    <v>0</v>
  </rv>
  <rv s="0">
    <fb>23.2</fb>
    <v>0</v>
  </rv>
  <rv s="0">
    <fb>18.309999999999999</fb>
    <v>0</v>
  </rv>
  <rv s="0">
    <fb>11.05</fb>
    <v>0</v>
  </rv>
  <rv s="0">
    <fb>0.78559999999999997</fb>
    <v>0</v>
  </rv>
  <rv s="0">
    <fb>104</fb>
    <v>0</v>
  </rv>
  <rv s="0">
    <fb>66.66</fb>
    <v>0</v>
  </rv>
  <rv s="0">
    <fb>20.431999999999999</fb>
    <v>2</v>
  </rv>
  <rv s="0">
    <fb>47.29</fb>
    <v>0</v>
  </rv>
  <rv s="0">
    <fb>38.39</fb>
    <v>0</v>
  </rv>
  <rv s="0">
    <fb>151.47</fb>
    <v>3</v>
  </rv>
  <rv s="0">
    <fb>150.19999999999999</fb>
    <v>0</v>
  </rv>
  <rv s="0">
    <fb>15.66</fb>
    <v>0</v>
  </rv>
  <rv s="0">
    <fb>320.56</fb>
    <v>0</v>
  </rv>
  <rv s="2">
    <v>4</v>
    <v>TSM</v>
    <v>Daily</v>
    <v>45707</v>
    <v>45707</v>
    <v>0</v>
    <v>1</v>
    <v>638755200000000000,638756195345373213,0</v>
    <v>0</v>
    <v>a24kjc</v>
    <v>XNYS:TSM</v>
    <v>1</v>
  </rv>
  <rv s="2">
    <v>4</v>
    <v>FSLR</v>
    <v>Daily</v>
    <v>45707</v>
    <v>45707</v>
    <v>0</v>
    <v>1</v>
    <v>638755200000000000,638756195344434400,0</v>
    <v>0</v>
    <v>a1tdvh</v>
    <v>XNAS:FSLR</v>
    <v>2</v>
  </rv>
  <rv s="2">
    <v>4</v>
    <v>YUM</v>
    <v>Daily</v>
    <v>45707</v>
    <v>45707</v>
    <v>0</v>
    <v>1</v>
    <v>638755200000000000,638756195343637206,0</v>
    <v>0</v>
    <v>a26em7</v>
    <v>XNYS:YUM</v>
    <v>3</v>
  </rv>
  <rv s="2">
    <v>4</v>
    <v>VWO.US</v>
    <v>Daily</v>
    <v>45707</v>
    <v>45707</v>
    <v>0</v>
    <v>1</v>
    <v>638755200000000000,638756195344265467,0</v>
    <v>0</v>
    <v>a25nhw</v>
    <v>ARCX:VWO</v>
    <v>4</v>
  </rv>
  <rv s="2">
    <v>5</v>
    <v>USDJPY=X</v>
    <v>Daily</v>
    <v>45707</v>
    <v>45707</v>
    <v>0</v>
    <v>1</v>
    <v>638755200000000000,638756195344297942,0</v>
    <v>0</v>
    <v>avyomw</v>
    <v>USDJPY</v>
    <v>5</v>
  </rv>
  <rv s="2">
    <v>4</v>
    <v>KMB</v>
    <v>Daily</v>
    <v>45707</v>
    <v>45707</v>
    <v>0</v>
    <v>1</v>
    <v>638755200000000000,638756195344463565,0</v>
    <v>0</v>
    <v>a1wjz2</v>
    <v>XNYS:KMB</v>
    <v>6</v>
  </rv>
  <rv s="2">
    <v>4</v>
    <v>QCOM</v>
    <v>Daily</v>
    <v>45707</v>
    <v>45707</v>
    <v>0</v>
    <v>1</v>
    <v>638755200000000000,638756195345514549,0</v>
    <v>0</v>
    <v>a21k2w</v>
    <v>XNAS:QCOM</v>
    <v>7</v>
  </rv>
  <rv s="2">
    <v>4</v>
    <v>MAXN</v>
    <v>Daily</v>
    <v>45707</v>
    <v>45707</v>
    <v>0</v>
    <v>1</v>
    <v>638755200000000000,638756195344407151,0</v>
    <v>0</v>
    <v>bvhkk2</v>
    <v>XNAS:MAXN</v>
    <v>8</v>
  </rv>
  <rv s="2">
    <v>4</v>
    <v>GC=F</v>
    <v>Daily</v>
    <v>45707</v>
    <v>45707</v>
    <v>0</v>
    <v>1</v>
    <v>638755200000000000,638756195344336785,0</v>
    <v>0</v>
    <v>a2losm</v>
    <v>OTCM:JETMF</v>
    <v>9</v>
  </rv>
  <rv s="2">
    <v>4</v>
    <v>YPF</v>
    <v>Daily</v>
    <v>45707</v>
    <v>45707</v>
    <v>0</v>
    <v>1</v>
    <v>638755200000000000,638756195435611501,0</v>
    <v>0</v>
    <v>a26e7w</v>
    <v>XNYS:YPF</v>
    <v>10</v>
  </rv>
  <rv s="2">
    <v>4</v>
    <v>JKS</v>
    <v>Daily</v>
    <v>45707</v>
    <v>45707</v>
    <v>0</v>
    <v>1</v>
    <v>638755200000000000,638756195344370947,0</v>
    <v>0</v>
    <v>a1w7f2</v>
    <v>XNYS:JKS</v>
    <v>11</v>
  </rv>
  <rv s="2">
    <v>4</v>
    <v>APA</v>
    <v>Daily</v>
    <v>45707</v>
    <v>45707</v>
    <v>0</v>
    <v>1</v>
    <v>638755200000000000,638756195344530952,0</v>
    <v>0</v>
    <v>a1nkur</v>
    <v>XNAS:APA</v>
    <v>12</v>
  </rv>
  <rv s="2">
    <v>4</v>
    <v>AMAT</v>
    <v>Daily</v>
    <v>45707</v>
    <v>45707</v>
    <v>0</v>
    <v>1</v>
    <v>638755200000000000,638756195343841890,0</v>
    <v>0</v>
    <v>a1nda2</v>
    <v>XNAS:AMAT</v>
    <v>13</v>
  </rv>
  <rv s="2">
    <v>4</v>
    <v>APTV</v>
    <v>Daily</v>
    <v>45707</v>
    <v>45707</v>
    <v>0</v>
    <v>1</v>
    <v>638755200000000000,638756195343547070,0</v>
    <v>0</v>
    <v>awagjc</v>
    <v>XNYS:APTV</v>
    <v>14</v>
  </rv>
  <rv s="2">
    <v>4</v>
    <v>MO</v>
    <v>Daily</v>
    <v>45707</v>
    <v>45707</v>
    <v>0</v>
    <v>1</v>
    <v>638755200000000000,638756195345407070,0</v>
    <v>0</v>
    <v>a1xtpr</v>
    <v>XNYS:MO</v>
    <v>15</v>
  </rv>
  <rv s="2">
    <v>4</v>
    <v>CSIQ</v>
    <v>Daily</v>
    <v>45707</v>
    <v>45707</v>
    <v>0</v>
    <v>1</v>
    <v>638755200000000000,638756195343580784,0</v>
    <v>0</v>
    <v>a1qepr</v>
    <v>XNAS:CSIQ</v>
    <v>16</v>
  </rv>
  <rv s="2">
    <v>4</v>
    <v>NVDA</v>
    <v>Daily</v>
    <v>45707</v>
    <v>45707</v>
    <v>0</v>
    <v>1</v>
    <v>638755200000000000,638756195343604968,0</v>
    <v>0</v>
    <v>a1yv52</v>
    <v>XNAS:NVDA</v>
    <v>17</v>
  </rv>
  <rv s="2">
    <v>4</v>
    <v>MSFT</v>
    <v>Daily</v>
    <v>45707</v>
    <v>45707</v>
    <v>0</v>
    <v>1</v>
    <v>638755200000000000,638756195343657119,0</v>
    <v>0</v>
    <v>a1xzim</v>
    <v>XNAS:MSFT</v>
    <v>18</v>
  </rv>
  <rv s="2">
    <v>4</v>
    <v>NEE</v>
    <v>Daily</v>
    <v>45707</v>
    <v>45707</v>
    <v>0</v>
    <v>1</v>
    <v>638755200000000000,638756195343682753,0</v>
    <v>0</v>
    <v>a1ye2w</v>
    <v>XNYS:NEE</v>
    <v>19</v>
  </rv>
  <rv s="2">
    <v>4</v>
    <v>V</v>
    <v>Daily</v>
    <v>45707</v>
    <v>45707</v>
    <v>0</v>
    <v>1</v>
    <v>638755200000000000,638756195343744492,0</v>
    <v>0</v>
    <v>a256cw</v>
    <v>XNYS:V</v>
    <v>20</v>
  </rv>
  <rv s="2">
    <v>4</v>
    <v>EXC</v>
    <v>Daily</v>
    <v>45707</v>
    <v>45707</v>
    <v>0</v>
    <v>1</v>
    <v>638755200000000000,638756195343720482,0</v>
    <v>0</v>
    <v>a1shjc</v>
    <v>XNAS:EXC</v>
    <v>21</v>
  </rv>
  <rv s="2">
    <v>4</v>
    <v>MA</v>
    <v>Daily</v>
    <v>45707</v>
    <v>45707</v>
    <v>0</v>
    <v>1</v>
    <v>638755200000000000,638756195345356613,0</v>
    <v>0</v>
    <v>a1x8w7</v>
    <v>XNYS:MA</v>
    <v>22</v>
  </rv>
  <rv s="2">
    <v>6</v>
    <v>USDMXN=X</v>
    <v>Daily</v>
    <v>45707</v>
    <v>45707</v>
    <v>0</v>
    <v>1</v>
    <v>638755200000000000,638756195343813914,0</v>
    <v>0</v>
    <v>avyqcw</v>
    <v>USDMXN</v>
    <v>23</v>
  </rv>
  <rv s="2">
    <v>4</v>
    <v>DAR</v>
    <v>Daily</v>
    <v>45707</v>
    <v>45707</v>
    <v>0</v>
    <v>1</v>
    <v>638755200000000000,638756195345450404,0</v>
    <v>0</v>
    <v>a1qqk2</v>
    <v>XNYS:DAR</v>
    <v>24</v>
  </rv>
  <rv s="2">
    <v>4</v>
    <v>SWI</v>
    <v>Daily</v>
    <v>45707</v>
    <v>45707</v>
    <v>0</v>
    <v>1</v>
    <v>638755200000000000,638756195343680192,0</v>
    <v>0</v>
    <v>bn8mkr</v>
    <v>XNYS:SWI</v>
    <v>25</v>
  </rv>
  <rv s="2">
    <v>4</v>
    <v>PLTR</v>
    <v>Daily</v>
    <v>45707</v>
    <v>45707</v>
    <v>0</v>
    <v>1</v>
    <v>638755200000000000,638756195345479208,0</v>
    <v>0</v>
    <v>bvsk7w</v>
    <v>XNAS:PLTR</v>
    <v>26</v>
  </rv>
  <rv s="2">
    <v>4</v>
    <v>AGIO</v>
    <v>Daily</v>
    <v>45707</v>
    <v>45707</v>
    <v>0</v>
    <v>1</v>
    <v>638755200000000000,638756195345541479,0</v>
    <v>0</v>
    <v>a1n2qh</v>
    <v>XNAS:AGIO</v>
    <v>27</v>
  </rv>
  <rv s="2">
    <v>7</v>
    <v>VBTC.DE</v>
    <v>Daily</v>
    <v>45707</v>
    <v>45707</v>
    <v>0</v>
    <v>1</v>
    <v>638755200000000000,638756195345591773,0</v>
    <v>0</v>
    <v>bwxxim</v>
    <v>XFRA:VBTC</v>
    <v>28</v>
  </rv>
  <rv s="2">
    <v>4</v>
    <v>MMM</v>
    <v>Daily</v>
    <v>45707</v>
    <v>45707</v>
    <v>0</v>
    <v>1</v>
    <v>638755200000000000,638756195345619194,0</v>
    <v>0</v>
    <v>a1xroc</v>
    <v>XNYS:MMM</v>
    <v>29</v>
  </rv>
  <rv s="2">
    <v>4</v>
    <v>YUMC</v>
    <v>Daily</v>
    <v>45707</v>
    <v>45707</v>
    <v>0</v>
    <v>1</v>
    <v>638755200000000000,638756195345649314,0</v>
    <v>0</v>
    <v>a26erw</v>
    <v>XNYS:YUMC</v>
    <v>30</v>
  </rv>
  <rv s="2">
    <v>4</v>
    <v>WMT</v>
    <v>Daily</v>
    <v>45707</v>
    <v>45707</v>
    <v>0</v>
    <v>1</v>
    <v>638755200000000000,638756195343638409,0</v>
    <v>0</v>
    <v>a25ya2</v>
    <v>XNYS:WMT</v>
    <v>31</v>
  </rv>
  <rv s="2">
    <v>7</v>
    <v>ASML</v>
    <v>Daily</v>
    <v>45707</v>
    <v>45707</v>
    <v>0</v>
    <v>1</v>
    <v>638755200000000000,638756195343716563,0</v>
    <v>0</v>
    <v>alnz5r</v>
    <v>XAMS:ASML</v>
    <v>32</v>
  </rv>
  <rv s="2">
    <v>4</v>
    <v>GOOGL</v>
    <v>Daily</v>
    <v>45707</v>
    <v>45707</v>
    <v>0</v>
    <v>1</v>
    <v>638755200000000000,638756195343767202,0</v>
    <v>0</v>
    <v>a1u3rw</v>
    <v>XNAS:GOOGL</v>
    <v>33</v>
  </rv>
  <rv s="2">
    <v>4</v>
    <v>AAPL</v>
    <v>Daily</v>
    <v>45707</v>
    <v>45707</v>
    <v>0</v>
    <v>1</v>
    <v>638755200000000000,638756195343793213,0</v>
    <v>0</v>
    <v>a1mou2</v>
    <v>XNAS:AAPL</v>
    <v>34</v>
  </rv>
  <rv s="2">
    <v>4</v>
    <v>HCA</v>
    <v>Daily</v>
    <v>45707</v>
    <v>45707</v>
    <v>0</v>
    <v>1</v>
    <v>638755200000000000,638756195343924290,0</v>
    <v>0</v>
    <v>a1uhnm</v>
    <v>XNYS:HCA</v>
    <v>35</v>
  </rv>
  <rv s="2">
    <v>4</v>
    <v>INGR</v>
    <v>Daily</v>
    <v>45707</v>
    <v>45707</v>
    <v>0</v>
    <v>1</v>
    <v>638755200000000000,638756195343830973,0</v>
    <v>0</v>
    <v>a1vkp2</v>
    <v>XNYS:INGR</v>
    <v>36</v>
  </rv>
  <rv s="2">
    <v>7</v>
    <v>PEP</v>
    <v>Daily</v>
    <v>45707</v>
    <v>45707</v>
    <v>0</v>
    <v>1</v>
    <v>638755200000000000,638756195343863163,0</v>
    <v>0</v>
    <v>afiar7</v>
    <v>XFRA:PEP</v>
    <v>37</v>
  </rv>
  <rv s="2">
    <v>7</v>
    <v>BATT.NL</v>
    <v>Daily</v>
    <v>45707</v>
    <v>45707</v>
    <v>0</v>
    <v>1</v>
    <v>638755200000000000,638756195343888223,0</v>
    <v>0</v>
    <v>aytcmw</v>
    <v>XAMS:BATT</v>
    <v>38</v>
  </rv>
  <rv s="2">
    <v>4</v>
    <v>DUK</v>
    <v>Daily</v>
    <v>45707</v>
    <v>45707</v>
    <v>0</v>
    <v>1</v>
    <v>638755200000000000,638756195343286502,0</v>
    <v>0</v>
    <v>a1rdzr</v>
    <v>XNYS:DUK</v>
    <v>39</v>
  </rv>
  <rv s="2">
    <v>4</v>
    <v>PCG</v>
    <v>Daily</v>
    <v>45707</v>
    <v>45707</v>
    <v>0</v>
    <v>1</v>
    <v>638755200000000000,638756195343315233,0</v>
    <v>0</v>
    <v>a1zkar</v>
    <v>XNYS:PCG</v>
    <v>40</v>
  </rv>
  <rv s="3">
    <v>2</v>
    <v>1</v>
  </rv>
  <rv s="4">
    <v>41</v>
  </rv>
  <rv s="5">
    <v>{1E74FF3F-FD41-47C6-9554-6AF9D4A04843}</v>
    <v>0</v>
    <v>8</v>
    <v>83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error">
    <k n="errorType" t="i"/>
    <k n="propagated" t="b"/>
  </s>
  <s t="_array">
    <k n="array" t="a"/>
  </s>
  <s t="_datasourcecontainer">
    <k n="%XLUID" t="s"/>
    <k n="_CRID" t="i"/>
    <k n="_Display" t="spb"/>
    <k n="Close Pric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Close Price</v>
      <v t="s">_CRID</v>
      <v t="s">%XLUID</v>
      <v t="s">_Display</v>
    </a>
  </spbArrays>
  <spbData count="9">
    <spb s="0">
      <v>1</v>
    </spb>
    <spb s="0">
      <v>2</v>
    </spb>
    <spb s="0">
      <v>3</v>
    </spb>
    <spb s="0">
      <v>4</v>
    </spb>
    <spb s="1">
      <v>5</v>
      <v>1</v>
    </spb>
    <spb s="1">
      <v>5</v>
      <v>4</v>
    </spb>
    <spb s="1">
      <v>5</v>
      <v>3</v>
    </spb>
    <spb s="1">
      <v>5</v>
      <v>2</v>
    </spb>
    <spb s="2">
      <v>0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0">
      <rpv i="0">_([$$-en-US]* #,##0.00_);_([$$-en-US]* (#,##0.00);_([$$-en-US]* "-"??_);_(@_)</rpv>
    </rSty>
    <rSty dxfid="0">
      <rpv i="0">_([$€-x-euro2] * #,##0.00_);_([$€-x-euro2] * (#,##0.00);_([$€-x-euro2] * "-"??_);_(@_)</rpv>
    </rSty>
    <rSty dxfid="0">
      <rpv i="0">_-[$$-es-MX]* #,##0.00_-;-[$$-es-MX]* #,##0.00_-;_-[$$-es-MX]* "-"??_-;_-@_-</rpv>
    </rSty>
    <rSty dxfid="0">
      <rpv i="0">_-[$¥-ja-JP]* #,##0.00_-;-[$¥-ja-JP]* #,##0.00_-;_-[$¥-ja-JP]* "-"??_-;_-@_-</rpv>
    </rSty>
    <rSty dxfid="1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7"/>
  <sheetViews>
    <sheetView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17.85546875" bestFit="1" customWidth="1"/>
    <col min="3" max="3" width="11" bestFit="1" customWidth="1"/>
    <col min="4" max="4" width="30.42578125" style="8" customWidth="1"/>
    <col min="5" max="5" width="12.5703125" style="2" bestFit="1" customWidth="1"/>
    <col min="6" max="6" width="10.5703125" style="1" bestFit="1" customWidth="1"/>
    <col min="7" max="7" width="11.140625" style="1" bestFit="1" customWidth="1"/>
    <col min="8" max="9" width="13.7109375" style="10" bestFit="1" customWidth="1"/>
    <col min="10" max="10" width="9.140625" style="10"/>
    <col min="11" max="12" width="7.5703125" style="10" customWidth="1"/>
    <col min="13" max="13" width="11.42578125" bestFit="1" customWidth="1"/>
    <col min="14" max="17" width="11.42578125" customWidth="1"/>
    <col min="18" max="18" width="14.28515625" bestFit="1" customWidth="1"/>
    <col min="19" max="19" width="10.5703125" bestFit="1" customWidth="1"/>
    <col min="20" max="20" width="13.28515625" bestFit="1" customWidth="1"/>
    <col min="21" max="21" width="12.42578125" bestFit="1" customWidth="1"/>
    <col min="22" max="22" width="14.7109375" bestFit="1" customWidth="1"/>
    <col min="23" max="23" width="12.85546875" bestFit="1" customWidth="1"/>
    <col min="24" max="24" width="15.85546875" bestFit="1" customWidth="1"/>
  </cols>
  <sheetData>
    <row r="1" spans="1:24" ht="45" customHeight="1" x14ac:dyDescent="0.25">
      <c r="A1" s="15" t="s">
        <v>35</v>
      </c>
      <c r="B1" s="15" t="s">
        <v>0</v>
      </c>
      <c r="C1" s="15" t="s">
        <v>83</v>
      </c>
      <c r="D1" s="16" t="s">
        <v>1</v>
      </c>
      <c r="E1" s="17" t="s">
        <v>2</v>
      </c>
      <c r="F1" s="18" t="s">
        <v>3</v>
      </c>
      <c r="G1" s="18" t="s">
        <v>4</v>
      </c>
      <c r="H1" s="15" t="s">
        <v>66</v>
      </c>
      <c r="I1" s="15" t="s">
        <v>61</v>
      </c>
      <c r="J1" s="15" t="s">
        <v>62</v>
      </c>
      <c r="K1" s="15" t="s">
        <v>63</v>
      </c>
      <c r="L1" s="15" t="s">
        <v>172</v>
      </c>
      <c r="M1" s="15" t="s">
        <v>64</v>
      </c>
      <c r="N1" s="15" t="s">
        <v>166</v>
      </c>
      <c r="O1" s="15" t="s">
        <v>169</v>
      </c>
      <c r="P1" s="15" t="s">
        <v>170</v>
      </c>
      <c r="Q1" s="15" t="s">
        <v>171</v>
      </c>
      <c r="R1" s="15" t="s">
        <v>65</v>
      </c>
      <c r="S1" s="15" t="s">
        <v>67</v>
      </c>
      <c r="T1" s="15" t="s">
        <v>68</v>
      </c>
      <c r="U1" s="15" t="s">
        <v>69</v>
      </c>
      <c r="V1" s="15" t="s">
        <v>70</v>
      </c>
      <c r="W1" s="15" t="s">
        <v>82</v>
      </c>
      <c r="X1" s="15" t="s">
        <v>71</v>
      </c>
    </row>
    <row r="2" spans="1:24" hidden="1" x14ac:dyDescent="0.25">
      <c r="A2" t="s">
        <v>40</v>
      </c>
      <c r="B2" s="7" t="s">
        <v>95</v>
      </c>
      <c r="C2" t="s">
        <v>95</v>
      </c>
      <c r="D2" s="8">
        <v>45627</v>
      </c>
      <c r="E2" s="2">
        <v>2.2953000000000001</v>
      </c>
      <c r="F2" s="1">
        <v>21.78</v>
      </c>
      <c r="G2" s="1">
        <f t="shared" ref="G2:G46" si="0">E2*F2</f>
        <v>49.991634000000005</v>
      </c>
      <c r="H2" s="21">
        <f>IFERROR(INDEX(Sheet1!$B:$C,MATCH(Positions!$C2,Sheet1!$G:$G,0),1),2.5%)</f>
        <v>-8.7400000000000005E-2</v>
      </c>
      <c r="I2" s="11">
        <f>IFERROR(INDEX(Sheet1!$B:$C,MATCH(Positions!$C2,Sheet1!$G:$G,0),2),25%)</f>
        <v>0.60389999999999999</v>
      </c>
      <c r="J2" s="9">
        <f t="shared" ref="J2:J41" si="1">IFERROR(H2/I2,"")</f>
        <v>-0.14472594800463653</v>
      </c>
      <c r="K2" s="9">
        <f t="shared" ref="K2:K46" si="2">IFERROR(J2/SUBTOTAL(9,$J$2:$J$1048576),"")</f>
        <v>-0.13020842959321346</v>
      </c>
      <c r="L2" s="9">
        <f>I2*G2</f>
        <v>30.189947772600004</v>
      </c>
      <c r="M2" s="12">
        <f>IF((1+H2)*F2&lt;0,0,(1+H2)*F2)</f>
        <v>19.876428000000001</v>
      </c>
      <c r="N2" s="12">
        <f t="shared" ref="N2:N46" si="3">M2*E2</f>
        <v>45.622365188400003</v>
      </c>
      <c r="O2" s="12" cm="1" vm="1">
        <f t="array" aca="1" ref="O2" ca="1">_xlfn.STOCKHISTORY(C2,TODAY(),TODAY(),0,0,1)</f>
        <v>23.59</v>
      </c>
      <c r="P2" s="12">
        <f ca="1">IFERROR(O2*E2,G2)</f>
        <v>54.146127</v>
      </c>
      <c r="Q2" s="12">
        <f ca="1">P2-G2</f>
        <v>4.1544929999999951</v>
      </c>
      <c r="R2" s="12">
        <f t="shared" ref="R2:R41" si="4">F2/(1+I2-H2)</f>
        <v>12.877668065984748</v>
      </c>
      <c r="S2" s="12">
        <f t="shared" ref="S2:S41" si="5">M2-F2</f>
        <v>-1.9035720000000005</v>
      </c>
      <c r="T2" s="12">
        <f t="shared" ref="T2:T41" si="6">0.5*(R2-F2)</f>
        <v>-4.4511659670076265</v>
      </c>
      <c r="U2" s="14">
        <f t="shared" ref="U2:U41" si="7">S2+T2</f>
        <v>-6.3547379670076269</v>
      </c>
      <c r="V2" s="12">
        <f t="shared" ref="V2:V46" si="8">MAX($U$2:$U$280)-U2</f>
        <v>166.62691203325267</v>
      </c>
      <c r="W2" s="9">
        <f t="shared" ref="W2:W46" si="9">IFERROR((SUBTOTAL(109,$V$2:$V$1048576)/V2)/SUBTOTAL(109,$V$2:$V$1048576),0)</f>
        <v>6.0014315082574203E-3</v>
      </c>
      <c r="X2" s="9">
        <f t="shared" ref="X2:X41" si="10">V2/MAX($V$2:$V$28)</f>
        <v>0.95097174313809352</v>
      </c>
    </row>
    <row r="3" spans="1:24" x14ac:dyDescent="0.25">
      <c r="A3" t="s">
        <v>145</v>
      </c>
      <c r="B3" s="7" t="s">
        <v>152</v>
      </c>
      <c r="C3" t="s">
        <v>146</v>
      </c>
      <c r="D3" s="8">
        <v>45481</v>
      </c>
      <c r="E3" s="2">
        <v>2</v>
      </c>
      <c r="F3" s="1">
        <f>45.12/2</f>
        <v>22.56</v>
      </c>
      <c r="G3" s="1">
        <f t="shared" si="0"/>
        <v>45.12</v>
      </c>
      <c r="H3" s="21">
        <v>3.5000000000000003E-2</v>
      </c>
      <c r="I3" s="11">
        <v>0.16500000000000001</v>
      </c>
      <c r="J3" s="9">
        <f t="shared" si="1"/>
        <v>0.21212121212121213</v>
      </c>
      <c r="K3" s="9">
        <f t="shared" si="2"/>
        <v>0.19084324749302797</v>
      </c>
      <c r="L3" s="9">
        <f t="shared" ref="L3:L47" si="11">I3*G3</f>
        <v>7.4447999999999999</v>
      </c>
      <c r="M3" s="12">
        <f t="shared" ref="M3:M41" si="12">IF((1+H3)*F3&lt;0,0,(1+H3)*F3)</f>
        <v>23.349599999999995</v>
      </c>
      <c r="N3" s="12">
        <f t="shared" si="3"/>
        <v>46.69919999999999</v>
      </c>
      <c r="O3" s="12">
        <v>22.65</v>
      </c>
      <c r="P3" s="12">
        <f>IFERROR(O3*E3,G3)</f>
        <v>45.3</v>
      </c>
      <c r="Q3" s="12">
        <f>P3-G3</f>
        <v>0.17999999999999972</v>
      </c>
      <c r="R3" s="12">
        <f t="shared" si="4"/>
        <v>19.9646017699115</v>
      </c>
      <c r="S3" s="12">
        <f t="shared" si="5"/>
        <v>0.78959999999999653</v>
      </c>
      <c r="T3" s="12">
        <f t="shared" si="6"/>
        <v>-1.2976991150442494</v>
      </c>
      <c r="U3" s="14">
        <f t="shared" si="7"/>
        <v>-0.50809911504425287</v>
      </c>
      <c r="V3" s="12">
        <f t="shared" si="8"/>
        <v>160.78027318128929</v>
      </c>
      <c r="W3" s="9">
        <f t="shared" si="9"/>
        <v>6.2196684967218627E-3</v>
      </c>
      <c r="X3" s="9">
        <f t="shared" si="10"/>
        <v>0.91760385392556976</v>
      </c>
    </row>
    <row r="4" spans="1:24" x14ac:dyDescent="0.25">
      <c r="A4" t="s">
        <v>145</v>
      </c>
      <c r="B4" s="7" t="s">
        <v>153</v>
      </c>
      <c r="C4" t="s">
        <v>147</v>
      </c>
      <c r="D4" s="8">
        <v>45481</v>
      </c>
      <c r="E4" s="2">
        <v>2</v>
      </c>
      <c r="F4" s="1">
        <v>16.399000000000001</v>
      </c>
      <c r="G4" s="1">
        <f t="shared" si="0"/>
        <v>32.798000000000002</v>
      </c>
      <c r="H4" s="21">
        <v>3.5000000000000003E-2</v>
      </c>
      <c r="I4" s="11">
        <v>0.16500000000000001</v>
      </c>
      <c r="J4" s="9">
        <f t="shared" si="1"/>
        <v>0.21212121212121213</v>
      </c>
      <c r="K4" s="9">
        <f t="shared" si="2"/>
        <v>0.19084324749302797</v>
      </c>
      <c r="L4" s="9">
        <f t="shared" si="11"/>
        <v>5.4116700000000009</v>
      </c>
      <c r="M4" s="12">
        <f t="shared" si="12"/>
        <v>16.972964999999999</v>
      </c>
      <c r="N4" s="12">
        <f t="shared" si="3"/>
        <v>33.945929999999997</v>
      </c>
      <c r="O4" s="26" cm="1" vm="2">
        <f t="array" aca="1" ref="O4" ca="1">_xlfn.STOCKHISTORY(C4,TODAY(),TODAY(),0,0,1)</f>
        <v>16.874600000000001</v>
      </c>
      <c r="P4" s="12">
        <f ca="1">IFERROR(O4*E4,G4)</f>
        <v>33.749200000000002</v>
      </c>
      <c r="Q4" s="12">
        <f ca="1">P4-G4</f>
        <v>0.95120000000000005</v>
      </c>
      <c r="R4" s="12">
        <f t="shared" si="4"/>
        <v>14.512389380530973</v>
      </c>
      <c r="S4" s="12">
        <f t="shared" si="5"/>
        <v>0.57396499999999762</v>
      </c>
      <c r="T4" s="12">
        <f t="shared" si="6"/>
        <v>-0.9433053097345141</v>
      </c>
      <c r="U4" s="14">
        <f t="shared" si="7"/>
        <v>-0.36934030973451648</v>
      </c>
      <c r="V4" s="12">
        <f t="shared" si="8"/>
        <v>160.64151437597957</v>
      </c>
      <c r="W4" s="9">
        <f t="shared" si="9"/>
        <v>6.2250409172532562E-3</v>
      </c>
      <c r="X4" s="9">
        <f t="shared" si="10"/>
        <v>0.91681193081212453</v>
      </c>
    </row>
    <row r="5" spans="1:24" hidden="1" x14ac:dyDescent="0.25">
      <c r="A5" t="s">
        <v>38</v>
      </c>
      <c r="B5" s="5" t="s">
        <v>99</v>
      </c>
      <c r="C5" s="20" t="s">
        <v>100</v>
      </c>
      <c r="D5" s="8">
        <v>45630</v>
      </c>
      <c r="E5" s="2">
        <v>2</v>
      </c>
      <c r="F5" s="1">
        <v>20.5</v>
      </c>
      <c r="G5" s="1">
        <f t="shared" si="0"/>
        <v>41</v>
      </c>
      <c r="H5" s="21">
        <f>IFERROR(INDEX(Sheet1!$B:$C,MATCH(Positions!$C5,Sheet1!$G:$G,0),1),2.5%)</f>
        <v>0.14929999999999999</v>
      </c>
      <c r="I5" s="11">
        <f>IFERROR(INDEX(Sheet1!$B:$C,MATCH(Positions!$C5,Sheet1!$G:$G,0),2),25%)</f>
        <v>0.31569999999999998</v>
      </c>
      <c r="J5" s="9">
        <f t="shared" si="1"/>
        <v>0.47291732657586316</v>
      </c>
      <c r="K5" s="9">
        <f t="shared" si="2"/>
        <v>0.42547879816887618</v>
      </c>
      <c r="L5" s="9">
        <f t="shared" si="11"/>
        <v>12.9437</v>
      </c>
      <c r="M5" s="12">
        <f t="shared" si="12"/>
        <v>23.560649999999999</v>
      </c>
      <c r="N5" s="12">
        <f t="shared" si="3"/>
        <v>47.121299999999998</v>
      </c>
      <c r="O5" s="26">
        <v>20.52</v>
      </c>
      <c r="P5" s="12">
        <f>IFERROR(O5*E5,G5)</f>
        <v>41.04</v>
      </c>
      <c r="Q5" s="12">
        <f>P5-G5</f>
        <v>3.9999999999999147E-2</v>
      </c>
      <c r="R5" s="12">
        <f t="shared" si="4"/>
        <v>17.575445816186555</v>
      </c>
      <c r="S5" s="12">
        <f t="shared" si="5"/>
        <v>3.060649999999999</v>
      </c>
      <c r="T5" s="12">
        <f t="shared" si="6"/>
        <v>-1.4622770919067225</v>
      </c>
      <c r="U5" s="14">
        <f t="shared" si="7"/>
        <v>1.5983729080932765</v>
      </c>
      <c r="V5" s="12">
        <f t="shared" si="8"/>
        <v>158.67380115815178</v>
      </c>
      <c r="W5" s="9">
        <f t="shared" si="9"/>
        <v>6.302237626508298E-3</v>
      </c>
      <c r="X5" s="9">
        <f t="shared" si="10"/>
        <v>0.90558181410456573</v>
      </c>
    </row>
    <row r="6" spans="1:24" hidden="1" x14ac:dyDescent="0.25">
      <c r="A6" t="s">
        <v>37</v>
      </c>
      <c r="B6" s="4" t="s">
        <v>86</v>
      </c>
      <c r="C6" s="20" t="s">
        <v>87</v>
      </c>
      <c r="D6" s="8">
        <v>45623</v>
      </c>
      <c r="E6" s="2">
        <v>1.9595</v>
      </c>
      <c r="F6" s="1">
        <v>15.3</v>
      </c>
      <c r="G6" s="1">
        <f t="shared" si="0"/>
        <v>29.980350000000001</v>
      </c>
      <c r="H6" s="21">
        <f>IFERROR(INDEX(Sheet1!$B:$C,MATCH(Positions!$C6,Sheet1!$G:$G,0),1),2.5%)</f>
        <v>7.0499999999999993E-2</v>
      </c>
      <c r="I6" s="11">
        <f>IFERROR(INDEX(Sheet1!$B:$C,MATCH(Positions!$C6,Sheet1!$G:$G,0),2),25%)</f>
        <v>0.35260000000000002</v>
      </c>
      <c r="J6" s="9">
        <f t="shared" si="1"/>
        <v>0.19994327850255245</v>
      </c>
      <c r="K6" s="9">
        <f t="shared" si="2"/>
        <v>0.17988688732377014</v>
      </c>
      <c r="L6" s="9">
        <f t="shared" si="11"/>
        <v>10.571071410000002</v>
      </c>
      <c r="M6" s="12">
        <f t="shared" si="12"/>
        <v>16.37865</v>
      </c>
      <c r="N6" s="12">
        <f t="shared" si="3"/>
        <v>32.093964675000002</v>
      </c>
      <c r="O6" s="12" vm="3">
        <v>17.03</v>
      </c>
      <c r="P6" s="12">
        <f>IFERROR(O6*E6,G6)</f>
        <v>33.370285000000003</v>
      </c>
      <c r="Q6" s="12">
        <f>P6-G6</f>
        <v>3.3899350000000013</v>
      </c>
      <c r="R6" s="12">
        <f t="shared" si="4"/>
        <v>11.933546525232041</v>
      </c>
      <c r="S6" s="12">
        <f t="shared" si="5"/>
        <v>1.0786499999999997</v>
      </c>
      <c r="T6" s="12">
        <f t="shared" si="6"/>
        <v>-1.68322673738398</v>
      </c>
      <c r="U6" s="14">
        <f t="shared" si="7"/>
        <v>-0.60457673738398032</v>
      </c>
      <c r="V6" s="12">
        <f t="shared" si="8"/>
        <v>160.87675080362902</v>
      </c>
      <c r="W6" s="9">
        <f t="shared" si="9"/>
        <v>6.2159385679079878E-3</v>
      </c>
      <c r="X6" s="9">
        <f t="shared" si="10"/>
        <v>0.91815447021900465</v>
      </c>
    </row>
    <row r="7" spans="1:24" hidden="1" x14ac:dyDescent="0.25">
      <c r="A7" t="s">
        <v>38</v>
      </c>
      <c r="B7" s="5" t="s">
        <v>6</v>
      </c>
      <c r="C7" t="s">
        <v>5</v>
      </c>
      <c r="D7" s="8">
        <v>45553</v>
      </c>
      <c r="E7" s="2">
        <v>1.7345999999999999</v>
      </c>
      <c r="F7" s="1">
        <v>51.88</v>
      </c>
      <c r="G7" s="1">
        <f t="shared" si="0"/>
        <v>89.991048000000006</v>
      </c>
      <c r="H7" s="21">
        <f>IFERROR(INDEX(Sheet1!$B:$C,MATCH(Positions!$C7,Sheet1!$G:$G,0),1),2.5%)</f>
        <v>5.8799999999999998E-2</v>
      </c>
      <c r="I7" s="11">
        <f>IFERROR(INDEX(Sheet1!$B:$C,MATCH(Positions!$C7,Sheet1!$G:$G,0),2),25%)</f>
        <v>0.22600000000000001</v>
      </c>
      <c r="J7" s="9">
        <f t="shared" si="1"/>
        <v>0.26017699115044246</v>
      </c>
      <c r="K7" s="9">
        <f t="shared" si="2"/>
        <v>0.23407853188082897</v>
      </c>
      <c r="L7" s="9">
        <f t="shared" si="11"/>
        <v>20.337976848</v>
      </c>
      <c r="M7" s="12">
        <f t="shared" si="12"/>
        <v>54.930543999999998</v>
      </c>
      <c r="N7" s="12">
        <f t="shared" si="3"/>
        <v>95.282521622399997</v>
      </c>
      <c r="O7" s="12" cm="1" vm="4">
        <f t="array" aca="1" ref="O7" ca="1">_xlfn.STOCKHISTORY(C7,TODAY(),TODAY(),0,0,1)</f>
        <v>53.34</v>
      </c>
      <c r="P7" s="12">
        <f ca="1">IFERROR(O7*E7,G7)</f>
        <v>92.523564000000007</v>
      </c>
      <c r="Q7" s="12">
        <f ca="1">P7-G7</f>
        <v>2.5325160000000011</v>
      </c>
      <c r="R7" s="12">
        <f t="shared" si="4"/>
        <v>44.44825222755312</v>
      </c>
      <c r="S7" s="12">
        <f t="shared" si="5"/>
        <v>3.050543999999995</v>
      </c>
      <c r="T7" s="12">
        <f t="shared" si="6"/>
        <v>-3.7158738862234415</v>
      </c>
      <c r="U7" s="14">
        <f t="shared" si="7"/>
        <v>-0.66532988622344647</v>
      </c>
      <c r="V7" s="12">
        <f t="shared" si="8"/>
        <v>160.93750395246849</v>
      </c>
      <c r="W7" s="9">
        <f t="shared" si="9"/>
        <v>6.21359208040993E-3</v>
      </c>
      <c r="X7" s="9">
        <f t="shared" si="10"/>
        <v>0.91850120009083625</v>
      </c>
    </row>
    <row r="8" spans="1:24" hidden="1" x14ac:dyDescent="0.25">
      <c r="A8" t="s">
        <v>40</v>
      </c>
      <c r="B8" s="7" t="s">
        <v>136</v>
      </c>
      <c r="C8" t="s">
        <v>136</v>
      </c>
      <c r="D8" s="8">
        <v>45627</v>
      </c>
      <c r="E8" s="2">
        <v>1.2354000000000001</v>
      </c>
      <c r="F8" s="1">
        <v>40.49</v>
      </c>
      <c r="G8" s="1">
        <f t="shared" si="0"/>
        <v>50.021346000000001</v>
      </c>
      <c r="H8" s="21">
        <f>IFERROR(INDEX(Sheet1!$B:$C,MATCH(Positions!$C8,Sheet1!$G:$G,0),1),2.5%)</f>
        <v>4.19E-2</v>
      </c>
      <c r="I8" s="11">
        <f>IFERROR(INDEX(Sheet1!$B:$C,MATCH(Positions!$C8,Sheet1!$G:$G,0),2),25%)</f>
        <v>0.53510000000000002</v>
      </c>
      <c r="J8" s="9">
        <f t="shared" si="1"/>
        <v>7.8303120911979066E-2</v>
      </c>
      <c r="K8" s="9">
        <f t="shared" si="2"/>
        <v>7.0448503165926199E-2</v>
      </c>
      <c r="L8" s="9">
        <f t="shared" si="11"/>
        <v>26.766422244600001</v>
      </c>
      <c r="M8" s="12">
        <f t="shared" si="12"/>
        <v>42.186531000000002</v>
      </c>
      <c r="N8" s="12">
        <f t="shared" si="3"/>
        <v>52.117240397400003</v>
      </c>
      <c r="O8" s="12" cm="1" vm="5">
        <f t="array" aca="1" ref="O8" ca="1">_xlfn.STOCKHISTORY(C8,TODAY(),TODAY(),0,0,1)</f>
        <v>37.11</v>
      </c>
      <c r="P8" s="12">
        <f ca="1">IFERROR(O8*E8,G8)</f>
        <v>45.845694000000002</v>
      </c>
      <c r="Q8" s="12">
        <f ca="1">P8-G8</f>
        <v>-4.1756519999999995</v>
      </c>
      <c r="R8" s="12">
        <f t="shared" si="4"/>
        <v>27.116260380391111</v>
      </c>
      <c r="S8" s="12">
        <f t="shared" si="5"/>
        <v>1.6965310000000002</v>
      </c>
      <c r="T8" s="12">
        <f t="shared" si="6"/>
        <v>-6.6868698098044455</v>
      </c>
      <c r="U8" s="14">
        <f t="shared" si="7"/>
        <v>-4.9903388098044452</v>
      </c>
      <c r="V8" s="12">
        <f t="shared" si="8"/>
        <v>165.2625128760495</v>
      </c>
      <c r="W8" s="9">
        <f t="shared" si="9"/>
        <v>6.0509790308587519E-3</v>
      </c>
      <c r="X8" s="9">
        <f t="shared" si="10"/>
        <v>0.94318485547973796</v>
      </c>
    </row>
    <row r="9" spans="1:24" x14ac:dyDescent="0.25">
      <c r="A9" t="s">
        <v>145</v>
      </c>
      <c r="B9" s="7" t="s">
        <v>154</v>
      </c>
      <c r="C9" t="s">
        <v>151</v>
      </c>
      <c r="D9" s="8">
        <v>45688</v>
      </c>
      <c r="E9" s="2">
        <v>1</v>
      </c>
      <c r="F9" s="1">
        <v>44.24</v>
      </c>
      <c r="G9" s="1">
        <f t="shared" si="0"/>
        <v>44.24</v>
      </c>
      <c r="H9" s="21">
        <v>6.2E-2</v>
      </c>
      <c r="I9" s="11">
        <v>0.26100000000000001</v>
      </c>
      <c r="J9" s="9">
        <f t="shared" si="1"/>
        <v>0.23754789272030649</v>
      </c>
      <c r="K9" s="9">
        <f t="shared" si="2"/>
        <v>0.21371936747166675</v>
      </c>
      <c r="L9" s="9">
        <f t="shared" si="11"/>
        <v>11.546640000000002</v>
      </c>
      <c r="M9" s="12">
        <f t="shared" si="12"/>
        <v>46.982880000000002</v>
      </c>
      <c r="N9" s="12">
        <f t="shared" si="3"/>
        <v>46.982880000000002</v>
      </c>
      <c r="O9" s="12" cm="1" vm="6">
        <f t="array" aca="1" ref="O9" ca="1">_xlfn.STOCKHISTORY(C9,TODAY(),TODAY(),0,0,1)</f>
        <v>45.97</v>
      </c>
      <c r="P9" s="12">
        <f ca="1">IFERROR(O9*E9,G9)</f>
        <v>45.97</v>
      </c>
      <c r="Q9" s="12">
        <f ca="1">P9-G9</f>
        <v>1.7299999999999969</v>
      </c>
      <c r="R9" s="12">
        <f t="shared" si="4"/>
        <v>36.897414512093412</v>
      </c>
      <c r="S9" s="12">
        <f t="shared" si="5"/>
        <v>2.7428799999999995</v>
      </c>
      <c r="T9" s="12">
        <f t="shared" si="6"/>
        <v>-3.6712927439532947</v>
      </c>
      <c r="U9" s="14">
        <f t="shared" si="7"/>
        <v>-0.92841274395329521</v>
      </c>
      <c r="V9" s="12">
        <f t="shared" si="8"/>
        <v>161.20058681019833</v>
      </c>
      <c r="W9" s="9">
        <f t="shared" si="9"/>
        <v>6.2034513632225506E-3</v>
      </c>
      <c r="X9" s="9">
        <f t="shared" si="10"/>
        <v>0.92000266441464951</v>
      </c>
    </row>
    <row r="10" spans="1:24" x14ac:dyDescent="0.25">
      <c r="A10" t="s">
        <v>145</v>
      </c>
      <c r="B10" s="7" t="s">
        <v>155</v>
      </c>
      <c r="C10" t="s">
        <v>148</v>
      </c>
      <c r="D10" s="8">
        <v>45481</v>
      </c>
      <c r="E10" s="2">
        <v>1</v>
      </c>
      <c r="F10" s="1">
        <v>48.68</v>
      </c>
      <c r="G10" s="1">
        <f t="shared" si="0"/>
        <v>48.68</v>
      </c>
      <c r="H10" s="21">
        <v>3.7999999999999999E-2</v>
      </c>
      <c r="I10" s="11">
        <v>0.16900000000000001</v>
      </c>
      <c r="J10" s="9">
        <f t="shared" si="1"/>
        <v>0.22485207100591714</v>
      </c>
      <c r="K10" s="9">
        <f t="shared" si="2"/>
        <v>0.20229706877113868</v>
      </c>
      <c r="L10" s="9">
        <f t="shared" si="11"/>
        <v>8.2269199999999998</v>
      </c>
      <c r="M10" s="12">
        <f t="shared" si="12"/>
        <v>50.52984</v>
      </c>
      <c r="N10" s="12">
        <f t="shared" si="3"/>
        <v>50.52984</v>
      </c>
      <c r="O10" s="12" cm="1" vm="7">
        <f t="array" aca="1" ref="O10" ca="1">_xlfn.STOCKHISTORY(C10,TODAY(),TODAY(),0,0,1)</f>
        <v>49.3</v>
      </c>
      <c r="P10" s="12">
        <f ca="1">IFERROR(O10*E10,G10)</f>
        <v>49.3</v>
      </c>
      <c r="Q10" s="12">
        <f ca="1">P10-G10</f>
        <v>0.61999999999999744</v>
      </c>
      <c r="R10" s="12">
        <f t="shared" si="4"/>
        <v>43.041556145004421</v>
      </c>
      <c r="S10" s="12">
        <f t="shared" si="5"/>
        <v>1.8498400000000004</v>
      </c>
      <c r="T10" s="12">
        <f t="shared" si="6"/>
        <v>-2.8192219274977894</v>
      </c>
      <c r="U10" s="14">
        <f t="shared" si="7"/>
        <v>-0.96938192749778906</v>
      </c>
      <c r="V10" s="12">
        <f t="shared" si="8"/>
        <v>161.24155599374282</v>
      </c>
      <c r="W10" s="9">
        <f t="shared" si="9"/>
        <v>6.2018751545588301E-3</v>
      </c>
      <c r="X10" s="9">
        <f t="shared" si="10"/>
        <v>0.92023648340231989</v>
      </c>
    </row>
    <row r="11" spans="1:24" x14ac:dyDescent="0.25">
      <c r="A11" t="s">
        <v>145</v>
      </c>
      <c r="B11" s="7" t="s">
        <v>149</v>
      </c>
      <c r="C11" t="s">
        <v>150</v>
      </c>
      <c r="D11" s="8">
        <v>45481</v>
      </c>
      <c r="E11" s="2">
        <v>1</v>
      </c>
      <c r="F11" s="1">
        <v>51.28</v>
      </c>
      <c r="G11" s="1">
        <f t="shared" si="0"/>
        <v>51.28</v>
      </c>
      <c r="H11" s="21">
        <v>3.7999999999999999E-2</v>
      </c>
      <c r="I11" s="11">
        <v>0.16900000000000001</v>
      </c>
      <c r="J11" s="9">
        <f t="shared" si="1"/>
        <v>0.22485207100591714</v>
      </c>
      <c r="K11" s="9">
        <f t="shared" si="2"/>
        <v>0.20229706877113868</v>
      </c>
      <c r="L11" s="9">
        <f t="shared" si="11"/>
        <v>8.6663200000000007</v>
      </c>
      <c r="M11" s="12">
        <f t="shared" si="12"/>
        <v>53.228640000000006</v>
      </c>
      <c r="N11" s="12">
        <f t="shared" si="3"/>
        <v>53.228640000000006</v>
      </c>
      <c r="O11" s="12">
        <v>51.28</v>
      </c>
      <c r="P11" s="12">
        <f>IFERROR(O11*E11,G11)</f>
        <v>51.28</v>
      </c>
      <c r="Q11" s="12">
        <f>P11-G11</f>
        <v>0</v>
      </c>
      <c r="R11" s="12">
        <f t="shared" si="4"/>
        <v>45.340406719717066</v>
      </c>
      <c r="S11" s="12">
        <f t="shared" si="5"/>
        <v>1.9486400000000046</v>
      </c>
      <c r="T11" s="12">
        <f t="shared" si="6"/>
        <v>-2.9697966401414675</v>
      </c>
      <c r="U11" s="14">
        <f t="shared" si="7"/>
        <v>-1.0211566401414629</v>
      </c>
      <c r="V11" s="12">
        <f t="shared" si="8"/>
        <v>161.29333070638651</v>
      </c>
      <c r="W11" s="9">
        <f t="shared" si="9"/>
        <v>6.1998843698030494E-3</v>
      </c>
      <c r="X11" s="9">
        <f t="shared" si="10"/>
        <v>0.92053197161687317</v>
      </c>
    </row>
    <row r="12" spans="1:24" hidden="1" x14ac:dyDescent="0.25">
      <c r="A12" t="s">
        <v>40</v>
      </c>
      <c r="B12" s="7" t="s">
        <v>26</v>
      </c>
      <c r="C12" t="s">
        <v>27</v>
      </c>
      <c r="D12" s="8">
        <v>45511</v>
      </c>
      <c r="E12" s="2">
        <v>0.74609999999999999</v>
      </c>
      <c r="F12" s="1">
        <v>73.7</v>
      </c>
      <c r="G12" s="1">
        <f t="shared" si="0"/>
        <v>54.987569999999998</v>
      </c>
      <c r="H12" s="21">
        <f>IFERROR(INDEX(Sheet1!$B:$C,MATCH(Positions!$C12,Sheet1!$G:$G,0),1),2.5%)</f>
        <v>0.1212</v>
      </c>
      <c r="I12" s="11">
        <f>IFERROR(INDEX(Sheet1!$B:$C,MATCH(Positions!$C12,Sheet1!$G:$G,0),2),25%)</f>
        <v>0.24540000000000001</v>
      </c>
      <c r="J12" s="9">
        <f t="shared" si="1"/>
        <v>0.49388753056234719</v>
      </c>
      <c r="K12" s="9">
        <f t="shared" si="2"/>
        <v>0.44434547250734346</v>
      </c>
      <c r="L12" s="9">
        <f t="shared" si="11"/>
        <v>13.493949678</v>
      </c>
      <c r="M12" s="12">
        <f t="shared" si="12"/>
        <v>82.632440000000003</v>
      </c>
      <c r="N12" s="12">
        <f t="shared" si="3"/>
        <v>61.652063484000003</v>
      </c>
      <c r="O12" s="12" cm="1" vm="8">
        <f t="array" aca="1" ref="O12" ca="1">_xlfn.STOCKHISTORY(C12,TODAY(),TODAY(),0,0,1)</f>
        <v>69.06</v>
      </c>
      <c r="P12" s="12">
        <f ca="1">IFERROR(O12*E12,G12)</f>
        <v>51.525666000000001</v>
      </c>
      <c r="Q12" s="12">
        <f ca="1">P12-G12</f>
        <v>-3.461903999999997</v>
      </c>
      <c r="R12" s="12">
        <f t="shared" si="4"/>
        <v>65.557729941291583</v>
      </c>
      <c r="S12" s="12">
        <f t="shared" si="5"/>
        <v>8.9324399999999997</v>
      </c>
      <c r="T12" s="12">
        <f t="shared" si="6"/>
        <v>-4.0711350293542097</v>
      </c>
      <c r="U12" s="14">
        <f t="shared" si="7"/>
        <v>4.86130497064579</v>
      </c>
      <c r="V12" s="12">
        <f t="shared" si="8"/>
        <v>155.41086909559925</v>
      </c>
      <c r="W12" s="9">
        <f t="shared" si="9"/>
        <v>6.4345563847587857E-3</v>
      </c>
      <c r="X12" s="9">
        <f t="shared" si="10"/>
        <v>0.886959635049555</v>
      </c>
    </row>
    <row r="13" spans="1:24" hidden="1" x14ac:dyDescent="0.25">
      <c r="A13" t="s">
        <v>40</v>
      </c>
      <c r="B13" s="7" t="s">
        <v>91</v>
      </c>
      <c r="C13" s="20" t="s">
        <v>92</v>
      </c>
      <c r="D13" s="8">
        <v>45627</v>
      </c>
      <c r="E13" s="2">
        <v>0.52039999999999997</v>
      </c>
      <c r="F13" s="1">
        <v>40.340000000000003</v>
      </c>
      <c r="G13" s="1">
        <f t="shared" si="0"/>
        <v>20.992936</v>
      </c>
      <c r="H13" s="21">
        <f>IFERROR(INDEX(Sheet1!$B:$C,MATCH(Positions!$C13,Sheet1!$G:$G,0),1),2.5%)</f>
        <v>8.6900000000000005E-2</v>
      </c>
      <c r="I13" s="11">
        <f>IFERROR(INDEX(Sheet1!$B:$C,MATCH(Positions!$C13,Sheet1!$G:$G,0),2),25%)</f>
        <v>0.24529999999999999</v>
      </c>
      <c r="J13" s="9">
        <f t="shared" si="1"/>
        <v>0.35426008968609868</v>
      </c>
      <c r="K13" s="9">
        <f t="shared" si="2"/>
        <v>0.31872411672922735</v>
      </c>
      <c r="L13" s="9">
        <f t="shared" si="11"/>
        <v>5.1495672008</v>
      </c>
      <c r="M13" s="12">
        <f t="shared" si="12"/>
        <v>43.845546000000006</v>
      </c>
      <c r="N13" s="12">
        <f t="shared" si="3"/>
        <v>22.817222138400002</v>
      </c>
      <c r="O13" s="12" cm="1" vm="9">
        <f t="array" aca="1" ref="O13" ca="1">_xlfn.STOCKHISTORY(C13,TODAY(),TODAY(),0,0,1)</f>
        <v>42.65</v>
      </c>
      <c r="P13" s="12">
        <f ca="1">IFERROR(O13*E13,G13)</f>
        <v>22.195059999999998</v>
      </c>
      <c r="Q13" s="12">
        <f ca="1">P13-G13</f>
        <v>1.2021239999999977</v>
      </c>
      <c r="R13" s="12">
        <f t="shared" si="4"/>
        <v>34.82389502762431</v>
      </c>
      <c r="S13" s="12">
        <f t="shared" si="5"/>
        <v>3.5055460000000025</v>
      </c>
      <c r="T13" s="12">
        <f t="shared" si="6"/>
        <v>-2.7580524861878466</v>
      </c>
      <c r="U13" s="14">
        <f t="shared" si="7"/>
        <v>0.7474935138121559</v>
      </c>
      <c r="V13" s="12">
        <f t="shared" si="8"/>
        <v>159.5246805524329</v>
      </c>
      <c r="W13" s="9">
        <f t="shared" si="9"/>
        <v>6.2686224886143432E-3</v>
      </c>
      <c r="X13" s="9">
        <f t="shared" si="10"/>
        <v>0.91043794599170247</v>
      </c>
    </row>
    <row r="14" spans="1:24" hidden="1" x14ac:dyDescent="0.25">
      <c r="A14" t="s">
        <v>38</v>
      </c>
      <c r="B14" s="5" t="s">
        <v>19</v>
      </c>
      <c r="C14" t="s">
        <v>20</v>
      </c>
      <c r="D14" s="8">
        <v>45544</v>
      </c>
      <c r="E14" s="2">
        <v>0.51380000000000003</v>
      </c>
      <c r="F14" s="1">
        <v>138.53</v>
      </c>
      <c r="G14" s="1">
        <f t="shared" si="0"/>
        <v>71.176714000000004</v>
      </c>
      <c r="H14" s="21">
        <f>IFERROR(INDEX(Sheet1!$B:$C,MATCH(Positions!$C14,Sheet1!$G:$G,0),1),2.5%)</f>
        <v>5.0200000000000002E-2</v>
      </c>
      <c r="I14" s="11">
        <f>IFERROR(INDEX(Sheet1!$B:$C,MATCH(Positions!$C14,Sheet1!$G:$G,0),2),25%)</f>
        <v>0.2001</v>
      </c>
      <c r="J14" s="9">
        <f t="shared" si="1"/>
        <v>0.25087456271864067</v>
      </c>
      <c r="K14" s="9">
        <f t="shared" si="2"/>
        <v>0.22570923380948818</v>
      </c>
      <c r="L14" s="9">
        <f t="shared" si="11"/>
        <v>14.242460471400001</v>
      </c>
      <c r="M14" s="12">
        <f t="shared" si="12"/>
        <v>145.484206</v>
      </c>
      <c r="N14" s="12">
        <f t="shared" si="3"/>
        <v>74.749785042799999</v>
      </c>
      <c r="O14" s="12" cm="1" vm="10">
        <f t="array" aca="1" ref="O14" ca="1">_xlfn.STOCKHISTORY(C14,TODAY(),TODAY(),0,0,1)</f>
        <v>137.93</v>
      </c>
      <c r="P14" s="12">
        <f ca="1">IFERROR(O14*E14,G14)</f>
        <v>70.868434000000008</v>
      </c>
      <c r="Q14" s="12">
        <f ca="1">P14-G14</f>
        <v>-0.30827999999999633</v>
      </c>
      <c r="R14" s="12">
        <f t="shared" si="4"/>
        <v>120.47134533437691</v>
      </c>
      <c r="S14" s="12">
        <f t="shared" si="5"/>
        <v>6.9542059999999992</v>
      </c>
      <c r="T14" s="12">
        <f t="shared" si="6"/>
        <v>-9.0293273328115475</v>
      </c>
      <c r="U14" s="14">
        <f t="shared" si="7"/>
        <v>-2.0751213328115483</v>
      </c>
      <c r="V14" s="12">
        <f t="shared" si="8"/>
        <v>162.34729539905658</v>
      </c>
      <c r="W14" s="9">
        <f t="shared" si="9"/>
        <v>6.1596344893948326E-3</v>
      </c>
      <c r="X14" s="9">
        <f t="shared" si="10"/>
        <v>0.92654715025016887</v>
      </c>
    </row>
    <row r="15" spans="1:24" hidden="1" x14ac:dyDescent="0.25">
      <c r="A15" t="s">
        <v>38</v>
      </c>
      <c r="B15" s="5" t="s">
        <v>15</v>
      </c>
      <c r="C15" t="s">
        <v>16</v>
      </c>
      <c r="D15" s="8">
        <v>45460</v>
      </c>
      <c r="E15" s="2">
        <v>0.51239999999999997</v>
      </c>
      <c r="F15" s="1">
        <v>157.99</v>
      </c>
      <c r="G15" s="1">
        <f t="shared" si="0"/>
        <v>80.954076000000001</v>
      </c>
      <c r="H15" s="21">
        <f>IFERROR(INDEX(Sheet1!$B:$C,MATCH(Positions!$C15,Sheet1!$G:$G,0),1),2.5%)</f>
        <v>6.59E-2</v>
      </c>
      <c r="I15" s="11">
        <f>IFERROR(INDEX(Sheet1!$B:$C,MATCH(Positions!$C15,Sheet1!$G:$G,0),2),25%)</f>
        <v>0.1875</v>
      </c>
      <c r="J15" s="9">
        <f t="shared" si="1"/>
        <v>0.35146666666666665</v>
      </c>
      <c r="K15" s="9">
        <f t="shared" si="2"/>
        <v>0.31621090310330507</v>
      </c>
      <c r="L15" s="9">
        <f t="shared" si="11"/>
        <v>15.178889250000001</v>
      </c>
      <c r="M15" s="12">
        <f t="shared" si="12"/>
        <v>168.40154100000001</v>
      </c>
      <c r="N15" s="12">
        <f t="shared" si="3"/>
        <v>86.288949608400003</v>
      </c>
      <c r="O15" s="12" cm="1" vm="11">
        <f t="array" aca="1" ref="O15" ca="1">_xlfn.STOCKHISTORY(C15,TODAY(),TODAY(),0,0,1)</f>
        <v>139.5</v>
      </c>
      <c r="P15" s="12">
        <f ca="1">IFERROR(O15*E15,G15)</f>
        <v>71.479799999999997</v>
      </c>
      <c r="Q15" s="12">
        <f ca="1">P15-G15</f>
        <v>-9.4742760000000033</v>
      </c>
      <c r="R15" s="12">
        <f t="shared" si="4"/>
        <v>140.86126961483598</v>
      </c>
      <c r="S15" s="12">
        <f t="shared" si="5"/>
        <v>10.411541</v>
      </c>
      <c r="T15" s="12">
        <f t="shared" si="6"/>
        <v>-8.5643651925820166</v>
      </c>
      <c r="U15" s="14">
        <f t="shared" si="7"/>
        <v>1.8471758074179832</v>
      </c>
      <c r="V15" s="12">
        <f t="shared" si="8"/>
        <v>158.42499825882706</v>
      </c>
      <c r="W15" s="9">
        <f t="shared" si="9"/>
        <v>6.312135149064345E-3</v>
      </c>
      <c r="X15" s="9">
        <f t="shared" si="10"/>
        <v>0.90416184824201995</v>
      </c>
    </row>
    <row r="16" spans="1:24" hidden="1" x14ac:dyDescent="0.25">
      <c r="A16" t="s">
        <v>36</v>
      </c>
      <c r="B16" s="3" t="s">
        <v>21</v>
      </c>
      <c r="C16" t="s">
        <v>22</v>
      </c>
      <c r="D16" s="8">
        <v>45484</v>
      </c>
      <c r="E16" s="2">
        <v>0.4108</v>
      </c>
      <c r="F16" s="1">
        <v>189.76</v>
      </c>
      <c r="G16" s="1">
        <f t="shared" si="0"/>
        <v>77.953407999999996</v>
      </c>
      <c r="H16" s="21">
        <f>IFERROR(INDEX(Sheet1!$B:$C,MATCH(Positions!$C16,Sheet1!$G:$G,0),1),2.5%)</f>
        <v>0.24179999999999999</v>
      </c>
      <c r="I16" s="11">
        <f>IFERROR(INDEX(Sheet1!$B:$C,MATCH(Positions!$C16,Sheet1!$G:$G,0),2),25%)</f>
        <v>0.32229999999999998</v>
      </c>
      <c r="J16" s="9">
        <f t="shared" si="1"/>
        <v>0.75023270245113249</v>
      </c>
      <c r="K16" s="9">
        <f t="shared" si="2"/>
        <v>0.67497655646729637</v>
      </c>
      <c r="L16" s="9">
        <f t="shared" si="11"/>
        <v>25.124383398399996</v>
      </c>
      <c r="M16" s="12">
        <f t="shared" si="12"/>
        <v>235.643968</v>
      </c>
      <c r="N16" s="12">
        <f t="shared" si="3"/>
        <v>96.802542054400007</v>
      </c>
      <c r="O16" s="12" cm="1" vm="12">
        <f t="array" aca="1" ref="O16" ca="1">_xlfn.STOCKHISTORY(C16,TODAY(),TODAY(),0,0,1)</f>
        <v>200.95</v>
      </c>
      <c r="P16" s="12">
        <f ca="1">IFERROR(O16*E16,G16)</f>
        <v>82.550259999999994</v>
      </c>
      <c r="Q16" s="12">
        <f ca="1">P16-G16</f>
        <v>4.5968519999999984</v>
      </c>
      <c r="R16" s="12">
        <f t="shared" si="4"/>
        <v>175.62239703840814</v>
      </c>
      <c r="S16" s="12">
        <f t="shared" si="5"/>
        <v>45.88396800000001</v>
      </c>
      <c r="T16" s="12">
        <f t="shared" si="6"/>
        <v>-7.0688014807959263</v>
      </c>
      <c r="U16" s="14">
        <f t="shared" si="7"/>
        <v>38.815166519204084</v>
      </c>
      <c r="V16" s="12">
        <f t="shared" si="8"/>
        <v>121.45700754704096</v>
      </c>
      <c r="W16" s="9">
        <f t="shared" si="9"/>
        <v>8.2333660296438193E-3</v>
      </c>
      <c r="X16" s="9">
        <f t="shared" si="10"/>
        <v>0.69317843542762225</v>
      </c>
    </row>
    <row r="17" spans="1:24" hidden="1" x14ac:dyDescent="0.25">
      <c r="A17" t="s">
        <v>39</v>
      </c>
      <c r="B17" s="6" t="s">
        <v>156</v>
      </c>
      <c r="C17" t="s">
        <v>43</v>
      </c>
      <c r="D17" s="8">
        <v>45580</v>
      </c>
      <c r="E17" s="2">
        <v>0.34860000000000002</v>
      </c>
      <c r="F17" s="1">
        <v>131.91</v>
      </c>
      <c r="G17" s="1">
        <f t="shared" si="0"/>
        <v>45.983826000000001</v>
      </c>
      <c r="H17" s="21">
        <f>IFERROR(INDEX(Sheet1!$B:$C,MATCH(Positions!$C17,Sheet1!$G:$G,0),1),2.5%)</f>
        <v>6.9500000000000006E-2</v>
      </c>
      <c r="I17" s="11">
        <f>IFERROR(INDEX(Sheet1!$B:$C,MATCH(Positions!$C17,Sheet1!$G:$G,0),2),25%)</f>
        <v>0.25430000000000003</v>
      </c>
      <c r="J17" s="9">
        <f t="shared" si="1"/>
        <v>0.2732992528509634</v>
      </c>
      <c r="K17" s="9">
        <f t="shared" si="2"/>
        <v>0.24588449419990988</v>
      </c>
      <c r="L17" s="9">
        <f t="shared" si="11"/>
        <v>11.693686951800002</v>
      </c>
      <c r="M17" s="12">
        <f t="shared" si="12"/>
        <v>141.07774500000002</v>
      </c>
      <c r="N17" s="12">
        <f t="shared" si="3"/>
        <v>49.179701907000009</v>
      </c>
      <c r="O17" s="12" cm="1" vm="13">
        <f t="array" aca="1" ref="O17" ca="1">_xlfn.STOCKHISTORY(C17,TODAY(),TODAY(),0,0,1)</f>
        <v>126.91</v>
      </c>
      <c r="P17" s="12">
        <f ca="1">IFERROR(O17*E17,G17)</f>
        <v>44.240825999999998</v>
      </c>
      <c r="Q17" s="12">
        <f ca="1">P17-G17</f>
        <v>-1.7430000000000021</v>
      </c>
      <c r="R17" s="12">
        <f t="shared" si="4"/>
        <v>111.3352464550979</v>
      </c>
      <c r="S17" s="12">
        <f t="shared" si="5"/>
        <v>9.1677450000000249</v>
      </c>
      <c r="T17" s="12">
        <f t="shared" si="6"/>
        <v>-10.287376772451047</v>
      </c>
      <c r="U17" s="14">
        <f t="shared" si="7"/>
        <v>-1.1196317724510223</v>
      </c>
      <c r="V17" s="12">
        <f t="shared" si="8"/>
        <v>161.39180583869606</v>
      </c>
      <c r="W17" s="9">
        <f t="shared" si="9"/>
        <v>6.1961014365218489E-3</v>
      </c>
      <c r="X17" s="9">
        <f t="shared" si="10"/>
        <v>0.92109398808279364</v>
      </c>
    </row>
    <row r="18" spans="1:24" hidden="1" x14ac:dyDescent="0.25">
      <c r="A18" t="s">
        <v>96</v>
      </c>
      <c r="B18" s="7" t="s">
        <v>97</v>
      </c>
      <c r="C18" s="20" t="s">
        <v>98</v>
      </c>
      <c r="D18" s="8">
        <v>45630</v>
      </c>
      <c r="E18" s="2">
        <v>0.28749999999999998</v>
      </c>
      <c r="F18" s="1">
        <v>34.78</v>
      </c>
      <c r="G18" s="1">
        <f t="shared" si="0"/>
        <v>9.99925</v>
      </c>
      <c r="H18" s="21">
        <f>IFERROR(INDEX(Sheet1!$B:$C,MATCH(Positions!$C18,Sheet1!$G:$G,0),1),2.5%)</f>
        <v>-0.1268</v>
      </c>
      <c r="I18" s="11">
        <f>IFERROR(INDEX(Sheet1!$B:$C,MATCH(Positions!$C18,Sheet1!$G:$G,0),2),25%)</f>
        <v>0.58609999999999995</v>
      </c>
      <c r="J18" s="9">
        <f t="shared" si="1"/>
        <v>-0.2163453335608258</v>
      </c>
      <c r="K18" s="9">
        <f t="shared" si="2"/>
        <v>-0.19464364560163458</v>
      </c>
      <c r="L18" s="9">
        <f t="shared" si="11"/>
        <v>5.8605604249999992</v>
      </c>
      <c r="M18" s="12">
        <f t="shared" si="12"/>
        <v>30.369896000000001</v>
      </c>
      <c r="N18" s="12">
        <f t="shared" si="3"/>
        <v>8.7313450999999986</v>
      </c>
      <c r="O18" s="12" cm="1" vm="14">
        <f t="array" aca="1" ref="O18" ca="1">_xlfn.STOCKHISTORY(C18,TODAY(),TODAY(),0,0,1)</f>
        <v>34.020000000000003</v>
      </c>
      <c r="P18" s="12">
        <f ca="1">IFERROR(O18*E18,G18)</f>
        <v>9.7807499999999994</v>
      </c>
      <c r="Q18" s="12">
        <f ca="1">P18-G18</f>
        <v>-0.21850000000000058</v>
      </c>
      <c r="R18" s="12">
        <f t="shared" si="4"/>
        <v>20.304746336622102</v>
      </c>
      <c r="S18" s="12">
        <f t="shared" si="5"/>
        <v>-4.4101040000000005</v>
      </c>
      <c r="T18" s="12">
        <f t="shared" si="6"/>
        <v>-7.2376268316889494</v>
      </c>
      <c r="U18" s="14">
        <f t="shared" si="7"/>
        <v>-11.64773083168895</v>
      </c>
      <c r="V18" s="12">
        <f t="shared" si="8"/>
        <v>171.919904897934</v>
      </c>
      <c r="W18" s="9">
        <f t="shared" si="9"/>
        <v>5.8166621287609683E-3</v>
      </c>
      <c r="X18" s="9">
        <f t="shared" si="10"/>
        <v>0.981179868521459</v>
      </c>
    </row>
    <row r="19" spans="1:24" hidden="1" x14ac:dyDescent="0.25">
      <c r="A19" t="s">
        <v>40</v>
      </c>
      <c r="B19" s="7" t="s">
        <v>47</v>
      </c>
      <c r="C19" t="s">
        <v>46</v>
      </c>
      <c r="D19" s="8">
        <v>45511</v>
      </c>
      <c r="E19" s="2">
        <v>0.25169999999999998</v>
      </c>
      <c r="F19" s="1">
        <v>178.56</v>
      </c>
      <c r="G19" s="1">
        <f t="shared" si="0"/>
        <v>44.943551999999997</v>
      </c>
      <c r="H19" s="21">
        <f>IFERROR(INDEX(Sheet1!$B:$C,MATCH(Positions!$C19,Sheet1!$G:$G,0),1),2.5%)</f>
        <v>0.123</v>
      </c>
      <c r="I19" s="11">
        <f>IFERROR(INDEX(Sheet1!$B:$C,MATCH(Positions!$C19,Sheet1!$G:$G,0),2),25%)</f>
        <v>0.47839999999999999</v>
      </c>
      <c r="J19" s="9">
        <f t="shared" si="1"/>
        <v>0.25710702341137126</v>
      </c>
      <c r="K19" s="9">
        <f t="shared" si="2"/>
        <v>0.23131651384800542</v>
      </c>
      <c r="L19" s="9">
        <f t="shared" si="11"/>
        <v>21.500995276799998</v>
      </c>
      <c r="M19" s="12">
        <f t="shared" si="12"/>
        <v>200.52288000000001</v>
      </c>
      <c r="N19" s="12">
        <f t="shared" si="3"/>
        <v>50.471608895999999</v>
      </c>
      <c r="O19" s="12" cm="1" vm="15">
        <f t="array" aca="1" ref="O19" ca="1">_xlfn.STOCKHISTORY(C19,TODAY(),TODAY(),0,0,1)</f>
        <v>162.5</v>
      </c>
      <c r="P19" s="12">
        <f ca="1">IFERROR(O19*E19,G19)</f>
        <v>40.901249999999997</v>
      </c>
      <c r="Q19" s="12">
        <f ca="1">P19-G19</f>
        <v>-4.0423019999999994</v>
      </c>
      <c r="R19" s="12">
        <f t="shared" si="4"/>
        <v>131.73970783532536</v>
      </c>
      <c r="S19" s="12">
        <f t="shared" si="5"/>
        <v>21.962880000000013</v>
      </c>
      <c r="T19" s="12">
        <f t="shared" si="6"/>
        <v>-23.41014608233732</v>
      </c>
      <c r="U19" s="14">
        <f t="shared" si="7"/>
        <v>-1.4472660823373076</v>
      </c>
      <c r="V19" s="12">
        <f t="shared" si="8"/>
        <v>161.71944014858235</v>
      </c>
      <c r="W19" s="9">
        <f t="shared" si="9"/>
        <v>6.1835484904055682E-3</v>
      </c>
      <c r="X19" s="9">
        <f t="shared" si="10"/>
        <v>0.92296385992391761</v>
      </c>
    </row>
    <row r="20" spans="1:24" hidden="1" x14ac:dyDescent="0.25">
      <c r="A20" t="s">
        <v>36</v>
      </c>
      <c r="B20" s="3" t="s">
        <v>14</v>
      </c>
      <c r="C20" t="s">
        <v>13</v>
      </c>
      <c r="D20" s="8">
        <v>45482</v>
      </c>
      <c r="E20" s="2">
        <v>1E-4</v>
      </c>
      <c r="F20" s="1">
        <v>227.38</v>
      </c>
      <c r="G20" s="1">
        <f t="shared" si="0"/>
        <v>2.2738000000000001E-2</v>
      </c>
      <c r="H20" s="21">
        <f>IFERROR(INDEX(Sheet1!$B:$C,MATCH(Positions!$C20,Sheet1!$G:$G,0),1),2.5%)</f>
        <v>0.2092</v>
      </c>
      <c r="I20" s="11">
        <f>IFERROR(INDEX(Sheet1!$B:$C,MATCH(Positions!$C20,Sheet1!$G:$G,0),2),25%)</f>
        <v>0.28439999999999999</v>
      </c>
      <c r="J20" s="9">
        <f t="shared" si="1"/>
        <v>0.73558368495077353</v>
      </c>
      <c r="K20" s="9">
        <f t="shared" si="2"/>
        <v>0.66179698784050023</v>
      </c>
      <c r="L20" s="9">
        <f t="shared" si="11"/>
        <v>6.4666871999999997E-3</v>
      </c>
      <c r="M20" s="12">
        <f t="shared" si="12"/>
        <v>274.94789600000001</v>
      </c>
      <c r="N20" s="12">
        <f t="shared" si="3"/>
        <v>2.7494789600000003E-2</v>
      </c>
      <c r="O20" s="12" cm="1" vm="16">
        <f t="array" aca="1" ref="O20" ca="1">_xlfn.STOCKHISTORY(C20,TODAY(),TODAY(),0,0,1)</f>
        <v>244.87</v>
      </c>
      <c r="P20" s="12">
        <f ca="1">IFERROR(O20*E20,G20)</f>
        <v>2.4487000000000002E-2</v>
      </c>
      <c r="Q20" s="12">
        <f ca="1">P20-G20</f>
        <v>1.7490000000000006E-3</v>
      </c>
      <c r="R20" s="12">
        <f t="shared" si="4"/>
        <v>211.47693452380955</v>
      </c>
      <c r="S20" s="12">
        <f t="shared" si="5"/>
        <v>47.567896000000019</v>
      </c>
      <c r="T20" s="12">
        <f t="shared" si="6"/>
        <v>-7.9515327380952243</v>
      </c>
      <c r="U20" s="14">
        <f t="shared" si="7"/>
        <v>39.616363261904795</v>
      </c>
      <c r="V20" s="12">
        <f t="shared" si="8"/>
        <v>120.65581080434025</v>
      </c>
      <c r="W20" s="9">
        <f t="shared" si="9"/>
        <v>8.2880384569429116E-3</v>
      </c>
      <c r="X20" s="9">
        <f t="shared" si="10"/>
        <v>0.68860585196132951</v>
      </c>
    </row>
    <row r="21" spans="1:24" hidden="1" x14ac:dyDescent="0.25">
      <c r="A21" t="s">
        <v>36</v>
      </c>
      <c r="B21" s="3" t="s">
        <v>11</v>
      </c>
      <c r="C21" t="s">
        <v>12</v>
      </c>
      <c r="D21" s="8">
        <v>45574</v>
      </c>
      <c r="E21" s="2">
        <v>0.16059999999999999</v>
      </c>
      <c r="F21" s="1">
        <v>421.18</v>
      </c>
      <c r="G21" s="1">
        <f t="shared" si="0"/>
        <v>67.641508000000002</v>
      </c>
      <c r="H21" s="21">
        <f>IFERROR(INDEX(Sheet1!$B:$C,MATCH(Positions!$C21,Sheet1!$G:$G,0),1),2.5%)</f>
        <v>0.2412</v>
      </c>
      <c r="I21" s="11">
        <f>IFERROR(INDEX(Sheet1!$B:$C,MATCH(Positions!$C21,Sheet1!$G:$G,0),2),25%)</f>
        <v>0.27010000000000001</v>
      </c>
      <c r="J21" s="9">
        <f t="shared" si="1"/>
        <v>0.89300259163272855</v>
      </c>
      <c r="K21" s="9">
        <f t="shared" si="2"/>
        <v>0.80342514028957801</v>
      </c>
      <c r="L21" s="9">
        <f t="shared" si="11"/>
        <v>18.269971310800003</v>
      </c>
      <c r="M21" s="12">
        <f t="shared" si="12"/>
        <v>522.76861600000007</v>
      </c>
      <c r="N21" s="12">
        <f t="shared" si="3"/>
        <v>83.956639729600013</v>
      </c>
      <c r="O21" s="12" cm="1" vm="17">
        <f t="array" aca="1" ref="O21" ca="1">_xlfn.STOCKHISTORY(C21,TODAY(),TODAY(),0,0,1)</f>
        <v>414.77</v>
      </c>
      <c r="P21" s="12">
        <f ca="1">IFERROR(O21*E21,G21)</f>
        <v>66.612061999999995</v>
      </c>
      <c r="Q21" s="12">
        <f ca="1">P21-G21</f>
        <v>-1.0294460000000072</v>
      </c>
      <c r="R21" s="12">
        <f t="shared" si="4"/>
        <v>409.34979103897371</v>
      </c>
      <c r="S21" s="12">
        <f t="shared" si="5"/>
        <v>101.58861600000006</v>
      </c>
      <c r="T21" s="12">
        <f t="shared" si="6"/>
        <v>-5.9151044805131505</v>
      </c>
      <c r="U21" s="14">
        <f t="shared" si="7"/>
        <v>95.673511519486908</v>
      </c>
      <c r="V21" s="12">
        <f t="shared" si="8"/>
        <v>64.598662546758135</v>
      </c>
      <c r="W21" s="9">
        <f t="shared" si="9"/>
        <v>1.5480196656953615E-2</v>
      </c>
      <c r="X21" s="9">
        <f t="shared" si="10"/>
        <v>0.36867695606229905</v>
      </c>
    </row>
    <row r="22" spans="1:24" hidden="1" x14ac:dyDescent="0.25">
      <c r="A22" t="s">
        <v>37</v>
      </c>
      <c r="B22" s="4" t="s">
        <v>8</v>
      </c>
      <c r="C22" t="s">
        <v>28</v>
      </c>
      <c r="D22" s="8">
        <v>45511</v>
      </c>
      <c r="E22" s="2">
        <v>0.12939999999999999</v>
      </c>
      <c r="F22" s="1">
        <v>501.56</v>
      </c>
      <c r="G22" s="1">
        <f t="shared" si="0"/>
        <v>64.901863999999989</v>
      </c>
      <c r="H22" s="21">
        <f>IFERROR(INDEX(Sheet1!$B:$C,MATCH(Positions!$C22,Sheet1!$G:$G,0),1),2.5%)</f>
        <v>0.1928</v>
      </c>
      <c r="I22" s="11">
        <f>IFERROR(INDEX(Sheet1!$B:$C,MATCH(Positions!$C22,Sheet1!$G:$G,0),2),25%)</f>
        <v>0.26650000000000001</v>
      </c>
      <c r="J22" s="9">
        <f t="shared" si="1"/>
        <v>0.72345215759849901</v>
      </c>
      <c r="K22" s="9">
        <f t="shared" si="2"/>
        <v>0.65088237890626699</v>
      </c>
      <c r="L22" s="9">
        <f t="shared" si="11"/>
        <v>17.296346755999998</v>
      </c>
      <c r="M22" s="12">
        <f t="shared" si="12"/>
        <v>598.2607680000001</v>
      </c>
      <c r="N22" s="12">
        <f t="shared" si="3"/>
        <v>77.414943379200011</v>
      </c>
      <c r="O22" s="12" cm="1" vm="18">
        <f t="array" aca="1" ref="O22" ca="1">_xlfn.STOCKHISTORY(C22,TODAY(),TODAY(),0,0,1)</f>
        <v>568.5</v>
      </c>
      <c r="P22" s="12">
        <f ca="1">IFERROR(O22*E22,G22)</f>
        <v>73.56389999999999</v>
      </c>
      <c r="Q22" s="12">
        <f ca="1">P22-G22</f>
        <v>8.6620360000000005</v>
      </c>
      <c r="R22" s="12">
        <f t="shared" si="4"/>
        <v>467.13234609294966</v>
      </c>
      <c r="S22" s="12">
        <f t="shared" si="5"/>
        <v>96.700768000000096</v>
      </c>
      <c r="T22" s="12">
        <f t="shared" si="6"/>
        <v>-17.213826953525171</v>
      </c>
      <c r="U22" s="14">
        <f t="shared" si="7"/>
        <v>79.486941046474925</v>
      </c>
      <c r="V22" s="12">
        <f t="shared" si="8"/>
        <v>80.785233019770118</v>
      </c>
      <c r="W22" s="9">
        <f t="shared" si="9"/>
        <v>1.2378499914152326E-2</v>
      </c>
      <c r="X22" s="9">
        <f t="shared" si="10"/>
        <v>0.46105681805647636</v>
      </c>
    </row>
    <row r="23" spans="1:24" hidden="1" x14ac:dyDescent="0.25">
      <c r="A23" t="s">
        <v>36</v>
      </c>
      <c r="B23" s="3" t="s">
        <v>18</v>
      </c>
      <c r="C23" t="s">
        <v>17</v>
      </c>
      <c r="D23" s="8">
        <v>45678</v>
      </c>
      <c r="E23" s="2">
        <v>5.3800000000000001E-2</v>
      </c>
      <c r="F23" s="1">
        <v>185.82</v>
      </c>
      <c r="G23" s="1">
        <f t="shared" si="0"/>
        <v>9.9971160000000001</v>
      </c>
      <c r="H23" s="21">
        <f>IFERROR(INDEX(Sheet1!$B:$C,MATCH(Positions!$C23,Sheet1!$G:$G,0),1),2.5%)</f>
        <v>0.1925</v>
      </c>
      <c r="I23" s="11">
        <f>IFERROR(INDEX(Sheet1!$B:$C,MATCH(Positions!$C23,Sheet1!$G:$G,0),2),25%)</f>
        <v>0.28539999999999999</v>
      </c>
      <c r="J23" s="9">
        <f t="shared" si="1"/>
        <v>0.6744919411352488</v>
      </c>
      <c r="K23" s="9">
        <f t="shared" si="2"/>
        <v>0.60683338156945643</v>
      </c>
      <c r="L23" s="9">
        <f t="shared" si="11"/>
        <v>2.8531769063999999</v>
      </c>
      <c r="M23" s="12">
        <f t="shared" si="12"/>
        <v>221.59034999999997</v>
      </c>
      <c r="N23" s="12">
        <f t="shared" si="3"/>
        <v>11.921560829999999</v>
      </c>
      <c r="O23" s="12" cm="1" vm="19">
        <f t="array" aca="1" ref="O23" ca="1">_xlfn.STOCKHISTORY(C23,TODAY(),TODAY(),0,0,1)</f>
        <v>185.27</v>
      </c>
      <c r="P23" s="12">
        <f ca="1">IFERROR(O23*E23,G23)</f>
        <v>9.9675260000000012</v>
      </c>
      <c r="Q23" s="12">
        <f ca="1">P23-G23</f>
        <v>-2.9589999999998895E-2</v>
      </c>
      <c r="R23" s="12">
        <f t="shared" si="4"/>
        <v>170.02470491353276</v>
      </c>
      <c r="S23" s="12">
        <f t="shared" si="5"/>
        <v>35.770349999999979</v>
      </c>
      <c r="T23" s="12">
        <f t="shared" si="6"/>
        <v>-7.8976475432336173</v>
      </c>
      <c r="U23" s="14">
        <f t="shared" si="7"/>
        <v>27.872702456766362</v>
      </c>
      <c r="V23" s="12">
        <f t="shared" si="8"/>
        <v>132.39947160947867</v>
      </c>
      <c r="W23" s="9">
        <f t="shared" si="9"/>
        <v>7.552900233239364E-3</v>
      </c>
      <c r="X23" s="9">
        <f t="shared" si="10"/>
        <v>0.75562917640760074</v>
      </c>
    </row>
    <row r="24" spans="1:24" hidden="1" x14ac:dyDescent="0.25">
      <c r="A24" t="s">
        <v>39</v>
      </c>
      <c r="B24" s="6" t="s">
        <v>58</v>
      </c>
      <c r="C24" t="s">
        <v>59</v>
      </c>
      <c r="D24" s="8">
        <v>45580</v>
      </c>
      <c r="E24" s="2">
        <v>2.9999999999999997E-4</v>
      </c>
      <c r="F24" s="1">
        <v>130.51</v>
      </c>
      <c r="G24" s="1">
        <f t="shared" si="0"/>
        <v>3.9152999999999993E-2</v>
      </c>
      <c r="H24" s="21">
        <f>IFERROR(INDEX(Sheet1!$B:$C,MATCH(Positions!$C24,Sheet1!$G:$G,0),1),2.5%)</f>
        <v>0.1169</v>
      </c>
      <c r="I24" s="11">
        <f>IFERROR(INDEX(Sheet1!$B:$C,MATCH(Positions!$C24,Sheet1!$G:$G,0),2),25%)</f>
        <v>0.23899999999999999</v>
      </c>
      <c r="J24" s="9">
        <f t="shared" si="1"/>
        <v>0.48912133891213394</v>
      </c>
      <c r="K24" s="9">
        <f t="shared" si="2"/>
        <v>0.44005737947032519</v>
      </c>
      <c r="L24" s="9">
        <f t="shared" si="11"/>
        <v>9.3575669999999972E-3</v>
      </c>
      <c r="M24" s="12">
        <f t="shared" si="12"/>
        <v>145.76661899999999</v>
      </c>
      <c r="N24" s="12">
        <f t="shared" si="3"/>
        <v>4.3729985699999994E-2</v>
      </c>
      <c r="O24" s="12" cm="1" vm="20">
        <f t="array" aca="1" ref="O24" ca="1">_xlfn.STOCKHISTORY(C24,TODAY(),TODAY(),0,0,1)</f>
        <v>148.29</v>
      </c>
      <c r="P24" s="12">
        <f ca="1">IFERROR(O24*E24,G24)</f>
        <v>4.4486999999999992E-2</v>
      </c>
      <c r="Q24" s="12">
        <f ca="1">P24-G24</f>
        <v>5.3339999999999985E-3</v>
      </c>
      <c r="R24" s="12">
        <f t="shared" si="4"/>
        <v>116.3087068888691</v>
      </c>
      <c r="S24" s="12">
        <f t="shared" si="5"/>
        <v>15.256619000000001</v>
      </c>
      <c r="T24" s="12">
        <f t="shared" si="6"/>
        <v>-7.1006465555654472</v>
      </c>
      <c r="U24" s="14">
        <f t="shared" si="7"/>
        <v>8.1559724444345534</v>
      </c>
      <c r="V24" s="12">
        <f t="shared" si="8"/>
        <v>152.11620162181049</v>
      </c>
      <c r="W24" s="9">
        <f t="shared" si="9"/>
        <v>6.5739217081306582E-3</v>
      </c>
      <c r="X24" s="9">
        <f t="shared" si="10"/>
        <v>0.86815633591631525</v>
      </c>
    </row>
    <row r="25" spans="1:24" hidden="1" x14ac:dyDescent="0.25">
      <c r="A25" t="s">
        <v>40</v>
      </c>
      <c r="B25" s="7" t="s">
        <v>51</v>
      </c>
      <c r="C25" s="13" t="s">
        <v>50</v>
      </c>
      <c r="D25" s="8">
        <v>45511</v>
      </c>
      <c r="E25" s="2">
        <v>9.9999999999999998E-20</v>
      </c>
      <c r="F25" s="1">
        <v>10.92</v>
      </c>
      <c r="G25" s="1">
        <f t="shared" si="0"/>
        <v>1.092E-18</v>
      </c>
      <c r="H25" s="21">
        <f>IFERROR(INDEX(Sheet1!$B:$C,MATCH(Positions!$C25,Sheet1!$G:$G,0),1),2.5%)</f>
        <v>-1.4844999999999999</v>
      </c>
      <c r="I25" s="11">
        <f>IFERROR(INDEX(Sheet1!$B:$C,MATCH(Positions!$C25,Sheet1!$G:$G,0),2),25%)</f>
        <v>1.3212999999999999</v>
      </c>
      <c r="J25" s="9">
        <f t="shared" si="1"/>
        <v>-1.1235147203511693</v>
      </c>
      <c r="K25" s="9">
        <f t="shared" si="2"/>
        <v>-1.0108145040936092</v>
      </c>
      <c r="L25" s="9">
        <f t="shared" si="11"/>
        <v>1.4428596E-18</v>
      </c>
      <c r="M25" s="12">
        <f t="shared" si="12"/>
        <v>0</v>
      </c>
      <c r="N25" s="12">
        <f t="shared" si="3"/>
        <v>0</v>
      </c>
      <c r="O25" s="12" cm="1" vm="21">
        <f t="array" aca="1" ref="O25" ca="1">_xlfn.STOCKHISTORY(C25,TODAY(),TODAY(),0,0,1)</f>
        <v>5.64</v>
      </c>
      <c r="P25" s="12">
        <f ca="1">IFERROR(O25*E25,G25)</f>
        <v>5.6399999999999995E-19</v>
      </c>
      <c r="Q25" s="12">
        <f ca="1">P25-G25</f>
        <v>-5.280000000000001E-19</v>
      </c>
      <c r="R25" s="12">
        <f t="shared" si="4"/>
        <v>2.8693047453886176</v>
      </c>
      <c r="S25" s="12">
        <f t="shared" si="5"/>
        <v>-10.92</v>
      </c>
      <c r="T25" s="12">
        <f t="shared" si="6"/>
        <v>-4.025347627305691</v>
      </c>
      <c r="U25" s="14">
        <f t="shared" si="7"/>
        <v>-14.94534762730569</v>
      </c>
      <c r="V25" s="12">
        <f t="shared" si="8"/>
        <v>175.21752169355074</v>
      </c>
      <c r="W25" s="9">
        <f t="shared" si="9"/>
        <v>5.7071917827314364E-3</v>
      </c>
      <c r="X25" s="9">
        <f t="shared" si="10"/>
        <v>1</v>
      </c>
    </row>
    <row r="26" spans="1:24" hidden="1" x14ac:dyDescent="0.25">
      <c r="A26" t="s">
        <v>37</v>
      </c>
      <c r="B26" s="4" t="s">
        <v>7</v>
      </c>
      <c r="C26" t="s">
        <v>25</v>
      </c>
      <c r="D26" s="8">
        <v>45511</v>
      </c>
      <c r="E26" s="2">
        <v>9.9999999999999998E-20</v>
      </c>
      <c r="F26" s="1">
        <v>283.43</v>
      </c>
      <c r="G26" s="1">
        <f t="shared" si="0"/>
        <v>2.8342999999999998E-17</v>
      </c>
      <c r="H26" s="21">
        <f>IFERROR(INDEX(Sheet1!$B:$C,MATCH(Positions!$C26,Sheet1!$G:$G,0),1),2.5%)</f>
        <v>0.17100000000000001</v>
      </c>
      <c r="I26" s="11">
        <f>IFERROR(INDEX(Sheet1!$B:$C,MATCH(Positions!$C26,Sheet1!$G:$G,0),2),25%)</f>
        <v>0.24360000000000001</v>
      </c>
      <c r="J26" s="9">
        <f t="shared" si="1"/>
        <v>0.70197044334975367</v>
      </c>
      <c r="K26" s="9">
        <f t="shared" si="2"/>
        <v>0.6315555041069415</v>
      </c>
      <c r="L26" s="9">
        <f t="shared" si="11"/>
        <v>6.9043547999999996E-18</v>
      </c>
      <c r="M26" s="12">
        <f t="shared" si="12"/>
        <v>331.89653000000004</v>
      </c>
      <c r="N26" s="12">
        <f t="shared" si="3"/>
        <v>3.3189653000000001E-17</v>
      </c>
      <c r="O26" s="12" cm="1" vm="22">
        <f t="array" aca="1" ref="O26" ca="1">_xlfn.STOCKHISTORY(C26,TODAY(),TODAY(),0,0,1)</f>
        <v>355.23</v>
      </c>
      <c r="P26" s="12">
        <f ca="1">IFERROR(O26*E26,G26)</f>
        <v>3.5522999999999998E-17</v>
      </c>
      <c r="Q26" s="12">
        <f ca="1">P26-G26</f>
        <v>7.1800000000000003E-18</v>
      </c>
      <c r="R26" s="12">
        <f t="shared" si="4"/>
        <v>264.24575797128472</v>
      </c>
      <c r="S26" s="12">
        <f t="shared" si="5"/>
        <v>48.466530000000034</v>
      </c>
      <c r="T26" s="12">
        <f t="shared" si="6"/>
        <v>-9.5921210143576445</v>
      </c>
      <c r="U26" s="14">
        <f t="shared" si="7"/>
        <v>38.87440898564239</v>
      </c>
      <c r="V26" s="12">
        <f t="shared" si="8"/>
        <v>121.39776508060265</v>
      </c>
      <c r="W26" s="9">
        <f t="shared" si="9"/>
        <v>8.2373839364838809E-3</v>
      </c>
      <c r="X26" s="9">
        <f t="shared" si="10"/>
        <v>0.6928403273099768</v>
      </c>
    </row>
    <row r="27" spans="1:24" hidden="1" x14ac:dyDescent="0.25">
      <c r="A27" t="s">
        <v>36</v>
      </c>
      <c r="B27" s="3" t="s">
        <v>10</v>
      </c>
      <c r="C27" t="s">
        <v>9</v>
      </c>
      <c r="D27" s="8">
        <v>45544</v>
      </c>
      <c r="E27" s="2">
        <v>9.9999999999999998E-20</v>
      </c>
      <c r="F27" s="1">
        <v>188.12</v>
      </c>
      <c r="G27" s="1">
        <f t="shared" si="0"/>
        <v>1.8812000000000001E-17</v>
      </c>
      <c r="H27" s="21">
        <f>IFERROR(INDEX(Sheet1!$B:$C,MATCH(Positions!$C27,Sheet1!$G:$G,0),1),2.5%)</f>
        <v>0.1164</v>
      </c>
      <c r="I27" s="11">
        <f>IFERROR(INDEX(Sheet1!$B:$C,MATCH(Positions!$C27,Sheet1!$G:$G,0),2),25%)</f>
        <v>0.3664</v>
      </c>
      <c r="J27" s="9">
        <f t="shared" si="1"/>
        <v>0.31768558951965065</v>
      </c>
      <c r="K27" s="9">
        <f t="shared" si="2"/>
        <v>0.28581841947528813</v>
      </c>
      <c r="L27" s="9">
        <f t="shared" si="11"/>
        <v>6.8927168000000004E-18</v>
      </c>
      <c r="M27" s="12">
        <f t="shared" si="12"/>
        <v>210.01716800000003</v>
      </c>
      <c r="N27" s="12">
        <f t="shared" si="3"/>
        <v>2.1001716800000003E-17</v>
      </c>
      <c r="O27" s="12" cm="1" vm="23">
        <f t="array" aca="1" ref="O27" ca="1">_xlfn.STOCKHISTORY(C27,TODAY(),TODAY(),0,0,1)</f>
        <v>175.22</v>
      </c>
      <c r="P27" s="12">
        <f ca="1">IFERROR(O27*E27,G27)</f>
        <v>1.7522E-17</v>
      </c>
      <c r="Q27" s="12">
        <f ca="1">P27-G27</f>
        <v>-1.2900000000000016E-18</v>
      </c>
      <c r="R27" s="12">
        <f t="shared" si="4"/>
        <v>150.49600000000001</v>
      </c>
      <c r="S27" s="12">
        <f t="shared" si="5"/>
        <v>21.897168000000022</v>
      </c>
      <c r="T27" s="12">
        <f t="shared" si="6"/>
        <v>-18.811999999999998</v>
      </c>
      <c r="U27" s="14">
        <f t="shared" si="7"/>
        <v>3.0851680000000243</v>
      </c>
      <c r="V27" s="12">
        <f t="shared" si="8"/>
        <v>157.18700606624503</v>
      </c>
      <c r="W27" s="9">
        <f t="shared" si="9"/>
        <v>6.3618490168236884E-3</v>
      </c>
      <c r="X27" s="9">
        <f t="shared" si="10"/>
        <v>0.89709638937343017</v>
      </c>
    </row>
    <row r="28" spans="1:24" hidden="1" x14ac:dyDescent="0.25">
      <c r="A28" t="s">
        <v>39</v>
      </c>
      <c r="B28" s="6" t="s">
        <v>33</v>
      </c>
      <c r="C28" t="s">
        <v>34</v>
      </c>
      <c r="D28" s="8">
        <v>45562</v>
      </c>
      <c r="E28" s="2">
        <v>9.9999999999999998E-20</v>
      </c>
      <c r="F28" s="1">
        <v>668.82</v>
      </c>
      <c r="G28" s="1">
        <f t="shared" si="0"/>
        <v>6.6881999999999999E-17</v>
      </c>
      <c r="H28" s="21">
        <f>IFERROR(INDEX(Sheet1!$B:$C,MATCH(Positions!$C28,Sheet1!$G:$G,0),1),2.5%)</f>
        <v>0.16070000000000001</v>
      </c>
      <c r="I28" s="11">
        <f>IFERROR(INDEX(Sheet1!$B:$C,MATCH(Positions!$C28,Sheet1!$G:$G,0),2),25%)</f>
        <v>0.27700000000000002</v>
      </c>
      <c r="J28" s="9">
        <f t="shared" si="1"/>
        <v>0.58014440433212999</v>
      </c>
      <c r="K28" s="9">
        <f t="shared" si="2"/>
        <v>0.52194988436321643</v>
      </c>
      <c r="L28" s="9">
        <f t="shared" si="11"/>
        <v>1.8526314000000002E-17</v>
      </c>
      <c r="M28" s="12">
        <f t="shared" si="12"/>
        <v>776.29937400000006</v>
      </c>
      <c r="N28" s="12">
        <f t="shared" si="3"/>
        <v>7.7629937400000001E-17</v>
      </c>
      <c r="O28" s="12" t="e" cm="1" vm="24">
        <f t="array" aca="1" ref="O28" ca="1">_xlfn.STOCKHISTORY(C28,TODAY(),TODAY(),0,0,1)</f>
        <v>#VALUE!</v>
      </c>
      <c r="P28" s="12">
        <f ca="1">IFERROR(O28*E28,G28)</f>
        <v>6.6881999999999999E-17</v>
      </c>
      <c r="Q28" s="12">
        <f ca="1">P28-G28</f>
        <v>0</v>
      </c>
      <c r="R28" s="12">
        <f t="shared" si="4"/>
        <v>599.14001612469769</v>
      </c>
      <c r="S28" s="12">
        <f t="shared" si="5"/>
        <v>107.47937400000001</v>
      </c>
      <c r="T28" s="12">
        <f t="shared" si="6"/>
        <v>-34.839991937651178</v>
      </c>
      <c r="U28" s="14">
        <f t="shared" si="7"/>
        <v>72.63938206234883</v>
      </c>
      <c r="V28" s="12">
        <f t="shared" si="8"/>
        <v>87.632792003896213</v>
      </c>
      <c r="W28" s="9">
        <f t="shared" si="9"/>
        <v>1.1411253449000453E-2</v>
      </c>
      <c r="X28" s="9">
        <f t="shared" si="10"/>
        <v>0.50013715042244966</v>
      </c>
    </row>
    <row r="29" spans="1:24" hidden="1" x14ac:dyDescent="0.25">
      <c r="A29" t="s">
        <v>36</v>
      </c>
      <c r="B29" s="3" t="s">
        <v>60</v>
      </c>
      <c r="C29" t="s">
        <v>60</v>
      </c>
      <c r="D29" s="8">
        <v>45481</v>
      </c>
      <c r="E29" s="2">
        <v>9.9999999999999998E-20</v>
      </c>
      <c r="F29" s="1">
        <v>700.32</v>
      </c>
      <c r="G29" s="1">
        <f t="shared" si="0"/>
        <v>7.0031999999999998E-17</v>
      </c>
      <c r="H29" s="21">
        <f>IFERROR(INDEX(Sheet1!$B:$C,MATCH(Positions!$C29,Sheet1!$G:$G,0),1),2.5%)</f>
        <v>0.2051</v>
      </c>
      <c r="I29" s="11">
        <f>IFERROR(INDEX(Sheet1!$B:$C,MATCH(Positions!$C29,Sheet1!$G:$G,0),2),25%)</f>
        <v>0.36940000000000001</v>
      </c>
      <c r="J29" s="9">
        <f t="shared" si="1"/>
        <v>0.55522468868435304</v>
      </c>
      <c r="K29" s="9">
        <f t="shared" si="2"/>
        <v>0.49952987547647199</v>
      </c>
      <c r="L29" s="9">
        <f t="shared" si="11"/>
        <v>2.5869820800000001E-17</v>
      </c>
      <c r="M29" s="12">
        <f t="shared" si="12"/>
        <v>843.95563200000015</v>
      </c>
      <c r="N29" s="12">
        <f t="shared" si="3"/>
        <v>8.4395563200000012E-17</v>
      </c>
      <c r="O29" s="12" cm="1" vm="25">
        <f t="array" aca="1" ref="O29" ca="1">_xlfn.STOCKHISTORY(C29,TODAY(),TODAY(),0,0,1)</f>
        <v>717.5</v>
      </c>
      <c r="P29" s="12">
        <f ca="1">IFERROR(O29*E29,G29)</f>
        <v>7.1749999999999995E-17</v>
      </c>
      <c r="Q29" s="12">
        <f ca="1">P29-G29</f>
        <v>1.7179999999999966E-18</v>
      </c>
      <c r="R29" s="12">
        <f t="shared" si="4"/>
        <v>601.49446019067261</v>
      </c>
      <c r="S29" s="12">
        <f t="shared" si="5"/>
        <v>143.6356320000001</v>
      </c>
      <c r="T29" s="12">
        <f t="shared" si="6"/>
        <v>-49.412769904663719</v>
      </c>
      <c r="U29" s="14">
        <f t="shared" si="7"/>
        <v>94.222862095336382</v>
      </c>
      <c r="V29" s="12">
        <f t="shared" si="8"/>
        <v>66.049311970908661</v>
      </c>
      <c r="W29" s="9">
        <f t="shared" si="9"/>
        <v>1.5140203132478486E-2</v>
      </c>
      <c r="X29" s="9">
        <f t="shared" si="10"/>
        <v>0.376956090535435</v>
      </c>
    </row>
    <row r="30" spans="1:24" hidden="1" x14ac:dyDescent="0.25">
      <c r="A30" t="s">
        <v>36</v>
      </c>
      <c r="B30" s="3" t="s">
        <v>23</v>
      </c>
      <c r="C30" t="s">
        <v>24</v>
      </c>
      <c r="D30" s="8">
        <v>45482</v>
      </c>
      <c r="E30" s="2">
        <v>9.9999999999999998E-20</v>
      </c>
      <c r="F30" s="1">
        <v>147.01</v>
      </c>
      <c r="G30" s="1">
        <f t="shared" si="0"/>
        <v>1.4700999999999999E-17</v>
      </c>
      <c r="H30" s="21">
        <f>IFERROR(INDEX(Sheet1!$B:$C,MATCH(Positions!$C30,Sheet1!$G:$G,0),1),2.5%)</f>
        <v>0.55089999999999995</v>
      </c>
      <c r="I30" s="11">
        <f>IFERROR(INDEX(Sheet1!$B:$C,MATCH(Positions!$C30,Sheet1!$G:$G,0),2),25%)</f>
        <v>0.48780000000000001</v>
      </c>
      <c r="J30" s="9">
        <f t="shared" si="1"/>
        <v>1.1293562935629355</v>
      </c>
      <c r="K30" s="9">
        <f t="shared" si="2"/>
        <v>1.0160701067325602</v>
      </c>
      <c r="L30" s="9">
        <f t="shared" si="11"/>
        <v>7.1711477999999992E-18</v>
      </c>
      <c r="M30" s="12">
        <f t="shared" si="12"/>
        <v>227.99780899999999</v>
      </c>
      <c r="N30" s="12">
        <f t="shared" si="3"/>
        <v>2.2799780899999998E-17</v>
      </c>
      <c r="O30" s="12" cm="1" vm="26">
        <f t="array" aca="1" ref="O30" ca="1">_xlfn.STOCKHISTORY(C30,TODAY(),TODAY(),0,0,1)</f>
        <v>139.22999999999999</v>
      </c>
      <c r="P30" s="12">
        <f ca="1">IFERROR(O30*E30,G30)</f>
        <v>1.3922999999999999E-17</v>
      </c>
      <c r="Q30" s="12">
        <f ca="1">P30-G30</f>
        <v>-7.7800000000000002E-19</v>
      </c>
      <c r="R30" s="12">
        <f t="shared" si="4"/>
        <v>156.91108976411567</v>
      </c>
      <c r="S30" s="12">
        <f t="shared" si="5"/>
        <v>80.987808999999999</v>
      </c>
      <c r="T30" s="12">
        <f t="shared" si="6"/>
        <v>4.9505448820578408</v>
      </c>
      <c r="U30" s="14">
        <f t="shared" si="7"/>
        <v>85.938353882057839</v>
      </c>
      <c r="V30" s="12">
        <f t="shared" si="8"/>
        <v>74.333820184187203</v>
      </c>
      <c r="W30" s="9">
        <f t="shared" si="9"/>
        <v>1.3452826688069595E-2</v>
      </c>
      <c r="X30" s="9">
        <f t="shared" si="10"/>
        <v>0.42423736773422943</v>
      </c>
    </row>
    <row r="31" spans="1:24" hidden="1" x14ac:dyDescent="0.25">
      <c r="A31" t="s">
        <v>36</v>
      </c>
      <c r="B31" s="3" t="s">
        <v>29</v>
      </c>
      <c r="C31" t="s">
        <v>30</v>
      </c>
      <c r="D31" s="8">
        <v>45481</v>
      </c>
      <c r="E31" s="2">
        <v>9.9999999999999998E-20</v>
      </c>
      <c r="F31" s="1">
        <v>169.34</v>
      </c>
      <c r="G31" s="1">
        <f t="shared" si="0"/>
        <v>1.6933999999999999E-17</v>
      </c>
      <c r="H31" s="21">
        <f>IFERROR(INDEX(Sheet1!$B:$C,MATCH(Positions!$C31,Sheet1!$G:$G,0),1),2.5%)</f>
        <v>0.21429999999999999</v>
      </c>
      <c r="I31" s="11">
        <f>IFERROR(INDEX(Sheet1!$B:$C,MATCH(Positions!$C31,Sheet1!$G:$G,0),2),25%)</f>
        <v>0.40479999999999999</v>
      </c>
      <c r="J31" s="9">
        <f t="shared" si="1"/>
        <v>0.52939723320158105</v>
      </c>
      <c r="K31" s="9">
        <f t="shared" si="2"/>
        <v>0.47629318250492114</v>
      </c>
      <c r="L31" s="9">
        <f t="shared" si="11"/>
        <v>6.8548831999999995E-18</v>
      </c>
      <c r="M31" s="12">
        <f t="shared" si="12"/>
        <v>205.62956199999999</v>
      </c>
      <c r="N31" s="12">
        <f t="shared" si="3"/>
        <v>2.0562956199999998E-17</v>
      </c>
      <c r="O31" s="12" cm="1" vm="27">
        <f t="array" aca="1" ref="O31" ca="1">_xlfn.STOCKHISTORY(C31,TODAY(),TODAY(),0,0,1)</f>
        <v>174.06</v>
      </c>
      <c r="P31" s="12">
        <f ca="1">IFERROR(O31*E31,G31)</f>
        <v>1.7406000000000001E-17</v>
      </c>
      <c r="Q31" s="12">
        <f ca="1">P31-G31</f>
        <v>4.720000000000018E-19</v>
      </c>
      <c r="R31" s="12">
        <f t="shared" si="4"/>
        <v>142.2427551448971</v>
      </c>
      <c r="S31" s="12">
        <f t="shared" si="5"/>
        <v>36.289561999999989</v>
      </c>
      <c r="T31" s="12">
        <f t="shared" si="6"/>
        <v>-13.54862242755145</v>
      </c>
      <c r="U31" s="14">
        <f t="shared" si="7"/>
        <v>22.740939572448539</v>
      </c>
      <c r="V31" s="12">
        <f t="shared" si="8"/>
        <v>137.53123449379649</v>
      </c>
      <c r="W31" s="9">
        <f t="shared" si="9"/>
        <v>7.2710755755275806E-3</v>
      </c>
      <c r="X31" s="9">
        <f t="shared" si="10"/>
        <v>0.78491713137190566</v>
      </c>
    </row>
    <row r="32" spans="1:24" hidden="1" x14ac:dyDescent="0.25">
      <c r="A32" t="s">
        <v>40</v>
      </c>
      <c r="B32" s="7" t="s">
        <v>31</v>
      </c>
      <c r="C32" s="13" t="s">
        <v>32</v>
      </c>
      <c r="D32" s="8">
        <v>45511</v>
      </c>
      <c r="E32" s="2">
        <v>9.9999999999999998E-20</v>
      </c>
      <c r="F32" s="1">
        <v>113.58</v>
      </c>
      <c r="G32" s="1">
        <f t="shared" si="0"/>
        <v>1.1357999999999999E-17</v>
      </c>
      <c r="H32" s="21">
        <f>IFERROR(INDEX(Sheet1!$B:$C,MATCH(Positions!$C32,Sheet1!$G:$G,0),1),2.5%)</f>
        <v>7.6100000000000001E-2</v>
      </c>
      <c r="I32" s="11">
        <f>IFERROR(INDEX(Sheet1!$B:$C,MATCH(Positions!$C32,Sheet1!$G:$G,0),2),25%)</f>
        <v>0.20619999999999999</v>
      </c>
      <c r="J32" s="9">
        <f t="shared" si="1"/>
        <v>0.36905916585838994</v>
      </c>
      <c r="K32" s="9">
        <f t="shared" si="2"/>
        <v>0.33203869158184923</v>
      </c>
      <c r="L32" s="9">
        <f t="shared" si="11"/>
        <v>2.3420195999999997E-18</v>
      </c>
      <c r="M32" s="12">
        <f t="shared" si="12"/>
        <v>122.223438</v>
      </c>
      <c r="N32" s="12">
        <f t="shared" si="3"/>
        <v>1.2222343799999999E-17</v>
      </c>
      <c r="O32" s="12" cm="1" vm="28">
        <f t="array" aca="1" ref="O32" ca="1">_xlfn.STOCKHISTORY(C32,TODAY(),TODAY(),0,0,1)</f>
        <v>111.79</v>
      </c>
      <c r="P32" s="12">
        <f ca="1">IFERROR(O32*E32,G32)</f>
        <v>1.1179E-17</v>
      </c>
      <c r="Q32" s="12">
        <f ca="1">P32-G32</f>
        <v>-1.7899999999999882E-19</v>
      </c>
      <c r="R32" s="12">
        <f t="shared" si="4"/>
        <v>100.50438014335016</v>
      </c>
      <c r="S32" s="12">
        <f t="shared" si="5"/>
        <v>8.6434380000000033</v>
      </c>
      <c r="T32" s="12">
        <f t="shared" si="6"/>
        <v>-6.5378099283249185</v>
      </c>
      <c r="U32" s="14">
        <f t="shared" si="7"/>
        <v>2.1056280716750848</v>
      </c>
      <c r="V32" s="12">
        <f t="shared" si="8"/>
        <v>158.16654599456996</v>
      </c>
      <c r="W32" s="9">
        <f t="shared" si="9"/>
        <v>6.3224495022754764E-3</v>
      </c>
      <c r="X32" s="9">
        <f t="shared" si="10"/>
        <v>0.9026868116032235</v>
      </c>
    </row>
    <row r="33" spans="1:24" hidden="1" x14ac:dyDescent="0.25">
      <c r="A33" t="s">
        <v>36</v>
      </c>
      <c r="B33" s="3" t="s">
        <v>84</v>
      </c>
      <c r="C33" t="s">
        <v>85</v>
      </c>
      <c r="D33" s="8">
        <v>45481</v>
      </c>
      <c r="E33" s="2">
        <v>9.9999999999999998E-20</v>
      </c>
      <c r="F33" s="1">
        <v>64.349999999999994</v>
      </c>
      <c r="G33" s="1">
        <f t="shared" si="0"/>
        <v>6.4349999999999993E-18</v>
      </c>
      <c r="H33" s="21">
        <f>IFERROR(INDEX(Sheet1!$B:$C,MATCH(Positions!$C33,Sheet1!$G:$G,0),1),2.5%)</f>
        <v>0.56589999999999996</v>
      </c>
      <c r="I33" s="11">
        <f>IFERROR(INDEX(Sheet1!$B:$C,MATCH(Positions!$C33,Sheet1!$G:$G,0),2),25%)</f>
        <v>0.70699999999999996</v>
      </c>
      <c r="J33" s="9">
        <f t="shared" si="1"/>
        <v>0.80042432814710041</v>
      </c>
      <c r="K33" s="9">
        <f t="shared" si="2"/>
        <v>0.7201334398783692</v>
      </c>
      <c r="L33" s="9">
        <f t="shared" si="11"/>
        <v>4.5495449999999992E-18</v>
      </c>
      <c r="M33" s="12">
        <f t="shared" si="12"/>
        <v>100.765665</v>
      </c>
      <c r="N33" s="12">
        <f t="shared" si="3"/>
        <v>1.0076566499999999E-17</v>
      </c>
      <c r="O33" s="12" cm="1" vm="29">
        <f t="array" aca="1" ref="O33" ca="1">_xlfn.STOCKHISTORY(C33,TODAY(),TODAY(),0,0,1)</f>
        <v>112.06</v>
      </c>
      <c r="P33" s="12">
        <f ca="1">IFERROR(O33*E33,G33)</f>
        <v>1.1206E-17</v>
      </c>
      <c r="Q33" s="12">
        <f ca="1">P33-G33</f>
        <v>4.771000000000001E-18</v>
      </c>
      <c r="R33" s="12">
        <f t="shared" si="4"/>
        <v>56.392954167031817</v>
      </c>
      <c r="S33" s="12">
        <f t="shared" si="5"/>
        <v>36.415665000000004</v>
      </c>
      <c r="T33" s="12">
        <f t="shared" si="6"/>
        <v>-3.9785229164840885</v>
      </c>
      <c r="U33" s="14">
        <f t="shared" si="7"/>
        <v>32.437142083515916</v>
      </c>
      <c r="V33" s="12">
        <f t="shared" si="8"/>
        <v>127.83503198272913</v>
      </c>
      <c r="W33" s="9">
        <f t="shared" si="9"/>
        <v>7.822581842316139E-3</v>
      </c>
      <c r="X33" s="9">
        <f t="shared" si="10"/>
        <v>0.7295790440770421</v>
      </c>
    </row>
    <row r="34" spans="1:24" hidden="1" x14ac:dyDescent="0.25">
      <c r="A34" t="s">
        <v>40</v>
      </c>
      <c r="B34" s="7" t="s">
        <v>49</v>
      </c>
      <c r="C34" s="13" t="s">
        <v>48</v>
      </c>
      <c r="D34" s="8">
        <v>45511</v>
      </c>
      <c r="E34" s="2">
        <v>9.9999999999999998E-20</v>
      </c>
      <c r="F34" s="1">
        <v>20.82</v>
      </c>
      <c r="G34" s="1">
        <f t="shared" si="0"/>
        <v>2.0820000000000002E-18</v>
      </c>
      <c r="H34" s="21">
        <f>IFERROR(INDEX(Sheet1!$B:$C,MATCH(Positions!$C34,Sheet1!$G:$G,0),1),2.5%)</f>
        <v>1.1900000000000001E-2</v>
      </c>
      <c r="I34" s="11">
        <f>IFERROR(INDEX(Sheet1!$B:$C,MATCH(Positions!$C34,Sheet1!$G:$G,0),2),25%)</f>
        <v>0.70799999999999996</v>
      </c>
      <c r="J34" s="9">
        <f t="shared" si="1"/>
        <v>1.6807909604519777E-2</v>
      </c>
      <c r="K34" s="9">
        <f t="shared" si="2"/>
        <v>1.5121901390337388E-2</v>
      </c>
      <c r="L34" s="9">
        <f t="shared" si="11"/>
        <v>1.474056E-18</v>
      </c>
      <c r="M34" s="12">
        <f t="shared" si="12"/>
        <v>21.067758000000001</v>
      </c>
      <c r="N34" s="12">
        <f t="shared" si="3"/>
        <v>2.1067757999999999E-18</v>
      </c>
      <c r="O34" s="12" cm="1" vm="30">
        <f t="array" aca="1" ref="O34" ca="1">_xlfn.STOCKHISTORY(C34,TODAY(),TODAY(),0,0,1)</f>
        <v>23.2</v>
      </c>
      <c r="P34" s="12">
        <f ca="1">IFERROR(O34*E34,G34)</f>
        <v>2.32E-18</v>
      </c>
      <c r="Q34" s="12">
        <f ca="1">P34-G34</f>
        <v>2.3799999999999981E-19</v>
      </c>
      <c r="R34" s="12">
        <f t="shared" si="4"/>
        <v>12.275219621484583</v>
      </c>
      <c r="S34" s="12">
        <f t="shared" si="5"/>
        <v>0.24775800000000103</v>
      </c>
      <c r="T34" s="12">
        <f t="shared" si="6"/>
        <v>-4.2723901892577087</v>
      </c>
      <c r="U34" s="14">
        <f t="shared" si="7"/>
        <v>-4.0246321892577077</v>
      </c>
      <c r="V34" s="12">
        <f t="shared" si="8"/>
        <v>164.29680625550276</v>
      </c>
      <c r="W34" s="9">
        <f t="shared" si="9"/>
        <v>6.0865455804714232E-3</v>
      </c>
      <c r="X34" s="9">
        <f t="shared" si="10"/>
        <v>0.93767338259042421</v>
      </c>
    </row>
    <row r="35" spans="1:24" hidden="1" x14ac:dyDescent="0.25">
      <c r="A35" t="s">
        <v>40</v>
      </c>
      <c r="B35" s="7" t="s">
        <v>52</v>
      </c>
      <c r="C35" t="s">
        <v>53</v>
      </c>
      <c r="D35" s="8">
        <v>45511</v>
      </c>
      <c r="E35" s="2">
        <v>9.9999999999999998E-20</v>
      </c>
      <c r="F35" s="1">
        <v>13.04</v>
      </c>
      <c r="G35" s="1">
        <f t="shared" si="0"/>
        <v>1.304E-18</v>
      </c>
      <c r="H35" s="21">
        <f>IFERROR(INDEX(Sheet1!$B:$C,MATCH(Positions!$C35,Sheet1!$G:$G,0),1),2.5%)</f>
        <v>4.82E-2</v>
      </c>
      <c r="I35" s="11">
        <f>IFERROR(INDEX(Sheet1!$B:$C,MATCH(Positions!$C35,Sheet1!$G:$G,0),2),25%)</f>
        <v>0.4264</v>
      </c>
      <c r="J35" s="9">
        <f t="shared" si="1"/>
        <v>0.11303939962476547</v>
      </c>
      <c r="K35" s="9">
        <f t="shared" si="2"/>
        <v>0.10170037170410422</v>
      </c>
      <c r="L35" s="9">
        <f t="shared" si="11"/>
        <v>5.5602559999999997E-19</v>
      </c>
      <c r="M35" s="12">
        <f t="shared" si="12"/>
        <v>13.668528</v>
      </c>
      <c r="N35" s="12">
        <f t="shared" si="3"/>
        <v>1.3668528E-18</v>
      </c>
      <c r="O35" s="12" cm="1" vm="31">
        <f t="array" aca="1" ref="O35" ca="1">_xlfn.STOCKHISTORY(C35,TODAY(),TODAY(),0,0,1)</f>
        <v>18.309999999999999</v>
      </c>
      <c r="P35" s="12">
        <f ca="1">IFERROR(O35*E35,G35)</f>
        <v>1.8309999999999997E-18</v>
      </c>
      <c r="Q35" s="12">
        <f ca="1">P35-G35</f>
        <v>5.2699999999999978E-19</v>
      </c>
      <c r="R35" s="12">
        <f t="shared" si="4"/>
        <v>9.4616166013640974</v>
      </c>
      <c r="S35" s="12">
        <f t="shared" si="5"/>
        <v>0.62852800000000109</v>
      </c>
      <c r="T35" s="12">
        <f t="shared" si="6"/>
        <v>-1.7891916993179509</v>
      </c>
      <c r="U35" s="14">
        <f t="shared" si="7"/>
        <v>-1.1606636993179498</v>
      </c>
      <c r="V35" s="12">
        <f t="shared" si="8"/>
        <v>161.43283776556299</v>
      </c>
      <c r="W35" s="9">
        <f t="shared" si="9"/>
        <v>6.1945265525978448E-3</v>
      </c>
      <c r="X35" s="9">
        <f t="shared" si="10"/>
        <v>0.92132816515863825</v>
      </c>
    </row>
    <row r="36" spans="1:24" hidden="1" x14ac:dyDescent="0.25">
      <c r="A36" t="s">
        <v>40</v>
      </c>
      <c r="B36" s="7" t="s">
        <v>45</v>
      </c>
      <c r="C36" t="s">
        <v>44</v>
      </c>
      <c r="D36" s="8">
        <v>45511</v>
      </c>
      <c r="E36" s="2">
        <v>9.9999999999999998E-20</v>
      </c>
      <c r="F36" s="1">
        <v>11.05</v>
      </c>
      <c r="G36" s="1">
        <f t="shared" si="0"/>
        <v>1.1050000000000001E-18</v>
      </c>
      <c r="H36" s="21">
        <f>IFERROR(INDEX(Sheet1!$B:$C,MATCH(Positions!$C36,Sheet1!$G:$G,0),1),2.5%)</f>
        <v>-0.1055</v>
      </c>
      <c r="I36" s="11">
        <f>IFERROR(INDEX(Sheet1!$B:$C,MATCH(Positions!$C36,Sheet1!$G:$G,0),2),25%)</f>
        <v>0.57940000000000003</v>
      </c>
      <c r="J36" s="9">
        <f t="shared" si="1"/>
        <v>-0.18208491542975491</v>
      </c>
      <c r="K36" s="9">
        <f t="shared" si="2"/>
        <v>-0.16381990387765097</v>
      </c>
      <c r="L36" s="9">
        <f t="shared" si="11"/>
        <v>6.4023700000000011E-19</v>
      </c>
      <c r="M36" s="12">
        <f t="shared" si="12"/>
        <v>9.8842250000000007</v>
      </c>
      <c r="N36" s="12">
        <f t="shared" si="3"/>
        <v>9.8842250000000007E-19</v>
      </c>
      <c r="O36" s="12" cm="1" vm="32">
        <f t="array" aca="1" ref="O36" ca="1">_xlfn.STOCKHISTORY(C36,TODAY(),TODAY(),0,0,1)</f>
        <v>11.05</v>
      </c>
      <c r="P36" s="12">
        <f ca="1">IFERROR(O36*E36,G36)</f>
        <v>1.1050000000000001E-18</v>
      </c>
      <c r="Q36" s="12">
        <f ca="1">P36-G36</f>
        <v>0</v>
      </c>
      <c r="R36" s="12">
        <f t="shared" si="4"/>
        <v>6.5582527152946763</v>
      </c>
      <c r="S36" s="12">
        <f t="shared" si="5"/>
        <v>-1.165775</v>
      </c>
      <c r="T36" s="12">
        <f t="shared" si="6"/>
        <v>-2.2458736423526622</v>
      </c>
      <c r="U36" s="14">
        <f t="shared" si="7"/>
        <v>-3.4116486423526622</v>
      </c>
      <c r="V36" s="12">
        <f t="shared" si="8"/>
        <v>163.68382270859772</v>
      </c>
      <c r="W36" s="9">
        <f t="shared" si="9"/>
        <v>6.1093392337266909E-3</v>
      </c>
      <c r="X36" s="9">
        <f t="shared" si="10"/>
        <v>0.93417496792857824</v>
      </c>
    </row>
    <row r="37" spans="1:24" hidden="1" x14ac:dyDescent="0.25">
      <c r="A37" t="s">
        <v>75</v>
      </c>
      <c r="B37" s="7" t="s">
        <v>80</v>
      </c>
      <c r="C37" s="13" t="s">
        <v>81</v>
      </c>
      <c r="D37" s="8">
        <f ca="1">TODAY()-20</f>
        <v>45687</v>
      </c>
      <c r="E37" s="2">
        <v>9.9999999999999998E-20</v>
      </c>
      <c r="F37" s="1">
        <v>2742.9</v>
      </c>
      <c r="G37" s="1">
        <f t="shared" si="0"/>
        <v>2.7429000000000002E-16</v>
      </c>
      <c r="H37" s="21">
        <f>IFERROR(INDEX(Sheet1!$B:$C,MATCH(Positions!$C37,Sheet1!$G:$G,0),1),2.5%)</f>
        <v>8.6599999999999996E-2</v>
      </c>
      <c r="I37" s="11">
        <f>IFERROR(INDEX(Sheet1!$B:$C,MATCH(Positions!$C37,Sheet1!$G:$G,0),2),25%)</f>
        <v>0.14630000000000001</v>
      </c>
      <c r="J37" s="9">
        <f t="shared" si="1"/>
        <v>0.59193438140806554</v>
      </c>
      <c r="K37" s="9">
        <f t="shared" si="2"/>
        <v>0.53255720406754736</v>
      </c>
      <c r="L37" s="9">
        <f t="shared" si="11"/>
        <v>4.0128627000000008E-17</v>
      </c>
      <c r="M37" s="12">
        <f t="shared" si="12"/>
        <v>2980.43514</v>
      </c>
      <c r="N37" s="12">
        <f t="shared" si="3"/>
        <v>2.98043514E-16</v>
      </c>
      <c r="O37" s="12" cm="1" vm="33">
        <f t="array" aca="1" ref="O37" ca="1">_xlfn.STOCKHISTORY(C37,TODAY(),TODAY(),0,0,1)</f>
        <v>0.78559999999999997</v>
      </c>
      <c r="P37" s="12">
        <f ca="1">IFERROR(O37*E37,G37)</f>
        <v>7.8559999999999989E-20</v>
      </c>
      <c r="Q37" s="12">
        <f ca="1">P37-G37</f>
        <v>-2.7421144000000001E-16</v>
      </c>
      <c r="R37" s="12">
        <f t="shared" si="4"/>
        <v>2588.3740681324903</v>
      </c>
      <c r="S37" s="12">
        <f t="shared" si="5"/>
        <v>237.53513999999996</v>
      </c>
      <c r="T37" s="12">
        <f t="shared" si="6"/>
        <v>-77.262965933754913</v>
      </c>
      <c r="U37" s="14">
        <f t="shared" si="7"/>
        <v>160.27217406624504</v>
      </c>
      <c r="V37" s="12">
        <f t="shared" si="8"/>
        <v>0</v>
      </c>
      <c r="W37" s="9">
        <f t="shared" si="9"/>
        <v>0</v>
      </c>
      <c r="X37" s="9">
        <f t="shared" si="10"/>
        <v>0</v>
      </c>
    </row>
    <row r="38" spans="1:24" hidden="1" x14ac:dyDescent="0.25">
      <c r="A38" t="s">
        <v>38</v>
      </c>
      <c r="B38" s="5" t="s">
        <v>54</v>
      </c>
      <c r="C38" t="s">
        <v>55</v>
      </c>
      <c r="D38" s="8">
        <v>45505</v>
      </c>
      <c r="E38" s="2">
        <v>9.9999999999999998E-20</v>
      </c>
      <c r="F38" s="1">
        <v>86.6</v>
      </c>
      <c r="G38" s="1">
        <f t="shared" si="0"/>
        <v>8.6599999999999986E-18</v>
      </c>
      <c r="H38" s="21">
        <f>IFERROR(INDEX(Sheet1!$B:$C,MATCH(Positions!$C38,Sheet1!$G:$G,0),1),2.5%)</f>
        <v>0.1467</v>
      </c>
      <c r="I38" s="11">
        <f>IFERROR(INDEX(Sheet1!$B:$C,MATCH(Positions!$C38,Sheet1!$G:$G,0),2),25%)</f>
        <v>0.21079999999999999</v>
      </c>
      <c r="J38" s="9">
        <f t="shared" si="1"/>
        <v>0.6959203036053131</v>
      </c>
      <c r="K38" s="9">
        <f t="shared" si="2"/>
        <v>0.62611225632861045</v>
      </c>
      <c r="L38" s="9">
        <f t="shared" si="11"/>
        <v>1.8255279999999995E-18</v>
      </c>
      <c r="M38" s="12">
        <f t="shared" si="12"/>
        <v>99.304220000000001</v>
      </c>
      <c r="N38" s="12">
        <f t="shared" si="3"/>
        <v>9.9304219999999992E-18</v>
      </c>
      <c r="O38" s="12" cm="1" vm="34">
        <f t="array" aca="1" ref="O38" ca="1">_xlfn.STOCKHISTORY(C38,TODAY(),TODAY(),0,0,1)</f>
        <v>104</v>
      </c>
      <c r="P38" s="12">
        <f ca="1">IFERROR(O38*E38,G38)</f>
        <v>1.04E-17</v>
      </c>
      <c r="Q38" s="12">
        <f ca="1">P38-G38</f>
        <v>1.7400000000000015E-18</v>
      </c>
      <c r="R38" s="12">
        <f t="shared" si="4"/>
        <v>81.383328634526833</v>
      </c>
      <c r="S38" s="12">
        <f t="shared" si="5"/>
        <v>12.704220000000007</v>
      </c>
      <c r="T38" s="12">
        <f t="shared" si="6"/>
        <v>-2.6083356827365805</v>
      </c>
      <c r="U38" s="14">
        <f t="shared" si="7"/>
        <v>10.095884317263426</v>
      </c>
      <c r="V38" s="12">
        <f t="shared" si="8"/>
        <v>150.17628974898162</v>
      </c>
      <c r="W38" s="9">
        <f t="shared" si="9"/>
        <v>6.6588407642211127E-3</v>
      </c>
      <c r="X38" s="9">
        <f t="shared" si="10"/>
        <v>0.8570848868164832</v>
      </c>
    </row>
    <row r="39" spans="1:24" hidden="1" x14ac:dyDescent="0.25">
      <c r="A39" t="s">
        <v>72</v>
      </c>
      <c r="B39" s="5" t="s">
        <v>73</v>
      </c>
      <c r="C39" t="s">
        <v>74</v>
      </c>
      <c r="D39" s="8">
        <v>45562</v>
      </c>
      <c r="E39" s="2">
        <v>9.9999999999999998E-20</v>
      </c>
      <c r="F39" s="1">
        <v>56</v>
      </c>
      <c r="G39" s="1">
        <f t="shared" si="0"/>
        <v>5.5999999999999995E-18</v>
      </c>
      <c r="H39" s="21">
        <f>IFERROR(INDEX(Sheet1!$B:$C,MATCH(Positions!$C39,Sheet1!$G:$G,0),1),2.5%)</f>
        <v>4.1000000000000003E-3</v>
      </c>
      <c r="I39" s="11">
        <f>IFERROR(INDEX(Sheet1!$B:$C,MATCH(Positions!$C39,Sheet1!$G:$G,0),2),25%)</f>
        <v>0.4047</v>
      </c>
      <c r="J39" s="9">
        <f t="shared" si="1"/>
        <v>1.0130961205831481E-2</v>
      </c>
      <c r="K39" s="9">
        <f t="shared" si="2"/>
        <v>9.1147203875204513E-3</v>
      </c>
      <c r="L39" s="9">
        <f t="shared" si="11"/>
        <v>2.2663199999999999E-18</v>
      </c>
      <c r="M39" s="12">
        <f t="shared" si="12"/>
        <v>56.229599999999998</v>
      </c>
      <c r="N39" s="12">
        <f t="shared" si="3"/>
        <v>5.6229599999999995E-18</v>
      </c>
      <c r="O39" s="12" cm="1" vm="35">
        <f t="array" aca="1" ref="O39" ca="1">_xlfn.STOCKHISTORY(C39,TODAY(),TODAY(),0,0,1)</f>
        <v>66.66</v>
      </c>
      <c r="P39" s="12">
        <f ca="1">IFERROR(O39*E39,G39)</f>
        <v>6.6659999999999998E-18</v>
      </c>
      <c r="Q39" s="12">
        <f ca="1">P39-G39</f>
        <v>1.0660000000000003E-18</v>
      </c>
      <c r="R39" s="12">
        <f t="shared" si="4"/>
        <v>39.98286448664858</v>
      </c>
      <c r="S39" s="12">
        <f t="shared" si="5"/>
        <v>0.22959999999999781</v>
      </c>
      <c r="T39" s="12">
        <f t="shared" si="6"/>
        <v>-8.0085677566757099</v>
      </c>
      <c r="U39" s="14">
        <f t="shared" si="7"/>
        <v>-7.7789677566757121</v>
      </c>
      <c r="V39" s="12">
        <f t="shared" si="8"/>
        <v>168.05114182292075</v>
      </c>
      <c r="W39" s="9">
        <f t="shared" si="9"/>
        <v>5.9505695061192881E-3</v>
      </c>
      <c r="X39" s="9">
        <f t="shared" si="10"/>
        <v>0.95910009569040855</v>
      </c>
    </row>
    <row r="40" spans="1:24" hidden="1" x14ac:dyDescent="0.25">
      <c r="A40" t="s">
        <v>75</v>
      </c>
      <c r="B40" s="5" t="s">
        <v>76</v>
      </c>
      <c r="C40" t="s">
        <v>77</v>
      </c>
      <c r="D40" s="8">
        <v>45580</v>
      </c>
      <c r="E40" s="2">
        <v>9.9999999999999998E-20</v>
      </c>
      <c r="F40" s="1">
        <v>17</v>
      </c>
      <c r="G40" s="1">
        <f t="shared" si="0"/>
        <v>1.7E-18</v>
      </c>
      <c r="H40" s="21">
        <f>IFERROR(INDEX(Sheet1!$B:$C,MATCH(Positions!$C40,Sheet1!$G:$G,0),1),2.5%)</f>
        <v>3.1099999999999999E-2</v>
      </c>
      <c r="I40" s="11">
        <f>IFERROR(INDEX(Sheet1!$B:$C,MATCH(Positions!$C40,Sheet1!$G:$G,0),2),25%)</f>
        <v>0.1285</v>
      </c>
      <c r="J40" s="9">
        <f t="shared" si="1"/>
        <v>0.24202334630350195</v>
      </c>
      <c r="K40" s="9">
        <f t="shared" si="2"/>
        <v>0.21774588649482446</v>
      </c>
      <c r="L40" s="9">
        <f t="shared" si="11"/>
        <v>2.1845000000000003E-19</v>
      </c>
      <c r="M40" s="12">
        <f t="shared" si="12"/>
        <v>17.528699999999997</v>
      </c>
      <c r="N40" s="12">
        <f t="shared" si="3"/>
        <v>1.7528699999999997E-18</v>
      </c>
      <c r="O40" s="12" cm="1" vm="36">
        <f t="array" aca="1" ref="O40" ca="1">_xlfn.STOCKHISTORY(C40,TODAY(),TODAY(),0,0,1)</f>
        <v>20.431999999999999</v>
      </c>
      <c r="P40" s="12">
        <f ca="1">IFERROR(O40*E40,G40)</f>
        <v>2.0431999999999997E-18</v>
      </c>
      <c r="Q40" s="12">
        <f ca="1">P40-G40</f>
        <v>3.4319999999999965E-19</v>
      </c>
      <c r="R40" s="12">
        <f t="shared" si="4"/>
        <v>15.491160925824675</v>
      </c>
      <c r="S40" s="12">
        <f t="shared" si="5"/>
        <v>0.52869999999999706</v>
      </c>
      <c r="T40" s="12">
        <f t="shared" si="6"/>
        <v>-0.75441953708766274</v>
      </c>
      <c r="U40" s="14">
        <f t="shared" si="7"/>
        <v>-0.22571953708766568</v>
      </c>
      <c r="V40" s="12">
        <f t="shared" si="8"/>
        <v>160.4978936033327</v>
      </c>
      <c r="W40" s="9">
        <f t="shared" si="9"/>
        <v>6.2306113653521197E-3</v>
      </c>
      <c r="X40" s="9">
        <f t="shared" si="10"/>
        <v>0.91599225951864482</v>
      </c>
    </row>
    <row r="41" spans="1:24" hidden="1" x14ac:dyDescent="0.25">
      <c r="A41" t="s">
        <v>39</v>
      </c>
      <c r="B41" s="6" t="s">
        <v>57</v>
      </c>
      <c r="C41" t="s">
        <v>56</v>
      </c>
      <c r="D41" s="8">
        <v>45574</v>
      </c>
      <c r="E41" s="2">
        <v>9.9999999999999998E-20</v>
      </c>
      <c r="F41" s="1">
        <v>47.42</v>
      </c>
      <c r="G41" s="1">
        <f t="shared" si="0"/>
        <v>4.7419999999999999E-18</v>
      </c>
      <c r="H41" s="21">
        <f>IFERROR(INDEX(Sheet1!$B:$C,MATCH(Positions!$C41,Sheet1!$G:$G,0),1),2.5%)</f>
        <v>8.5199999999999998E-2</v>
      </c>
      <c r="I41" s="11">
        <f>IFERROR(INDEX(Sheet1!$B:$C,MATCH(Positions!$C41,Sheet1!$G:$G,0),2),25%)</f>
        <v>0.36359999999999998</v>
      </c>
      <c r="J41" s="9">
        <f t="shared" si="1"/>
        <v>0.23432343234323433</v>
      </c>
      <c r="K41" s="9">
        <f t="shared" si="2"/>
        <v>0.21081835401987956</v>
      </c>
      <c r="L41" s="9">
        <f t="shared" si="11"/>
        <v>1.7241911999999999E-18</v>
      </c>
      <c r="M41" s="12">
        <f t="shared" si="12"/>
        <v>51.460183999999998</v>
      </c>
      <c r="N41" s="12">
        <f t="shared" si="3"/>
        <v>5.1460184E-18</v>
      </c>
      <c r="O41" s="12" cm="1" vm="37">
        <f t="array" aca="1" ref="O41" ca="1">_xlfn.STOCKHISTORY(C41,TODAY(),TODAY(),0,0,1)</f>
        <v>47.29</v>
      </c>
      <c r="P41" s="12">
        <f ca="1">IFERROR(O41*E41,G41)</f>
        <v>4.729E-18</v>
      </c>
      <c r="Q41" s="12">
        <f ca="1">P41-G41</f>
        <v>-1.2999999999999854E-20</v>
      </c>
      <c r="R41" s="12">
        <f t="shared" si="4"/>
        <v>37.093241551939926</v>
      </c>
      <c r="S41" s="12">
        <f t="shared" si="5"/>
        <v>4.0401839999999964</v>
      </c>
      <c r="T41" s="12">
        <f t="shared" si="6"/>
        <v>-5.163379224030038</v>
      </c>
      <c r="U41" s="14">
        <f t="shared" si="7"/>
        <v>-1.1231952240300416</v>
      </c>
      <c r="V41" s="12">
        <f t="shared" si="8"/>
        <v>161.39536929027508</v>
      </c>
      <c r="W41" s="9">
        <f t="shared" si="9"/>
        <v>6.1959646326745959E-3</v>
      </c>
      <c r="X41" s="9">
        <f t="shared" si="10"/>
        <v>0.92111432538436366</v>
      </c>
    </row>
    <row r="42" spans="1:24" hidden="1" x14ac:dyDescent="0.25">
      <c r="A42" t="s">
        <v>39</v>
      </c>
      <c r="B42" s="6" t="s">
        <v>42</v>
      </c>
      <c r="C42" t="s">
        <v>41</v>
      </c>
      <c r="D42" s="8">
        <v>45507</v>
      </c>
      <c r="E42" s="2">
        <v>9.9999999999999998E-20</v>
      </c>
      <c r="F42" s="1">
        <v>41.8</v>
      </c>
      <c r="G42" s="1">
        <f t="shared" si="0"/>
        <v>4.1799999999999993E-18</v>
      </c>
      <c r="H42" s="21">
        <f>IFERROR(INDEX(Sheet1!$B:$C,MATCH(Positions!$C42,Sheet1!$G:$G,0),1),2.5%)</f>
        <v>8.3500000000000005E-2</v>
      </c>
      <c r="I42" s="11">
        <f>IFERROR(INDEX(Sheet1!$B:$C,MATCH(Positions!$C42,Sheet1!$G:$G,0),2),25%)</f>
        <v>0.39029999999999998</v>
      </c>
      <c r="J42" s="9">
        <f t="shared" ref="J42:J46" si="13">IFERROR(H42/I42,"")</f>
        <v>0.21393799641301564</v>
      </c>
      <c r="K42" s="9">
        <f t="shared" si="2"/>
        <v>0.19247778941731217</v>
      </c>
      <c r="L42" s="9">
        <f t="shared" si="11"/>
        <v>1.6314539999999997E-18</v>
      </c>
      <c r="M42" s="12">
        <f t="shared" ref="M42:M46" si="14">IF((1+H42)*F42&lt;0,0,(1+H42)*F42)</f>
        <v>45.290299999999995</v>
      </c>
      <c r="N42" s="12">
        <f t="shared" si="3"/>
        <v>4.5290299999999995E-18</v>
      </c>
      <c r="O42" s="12" cm="1" vm="38">
        <f t="array" aca="1" ref="O42" ca="1">_xlfn.STOCKHISTORY(C42,TODAY(),TODAY(),0,0,1)</f>
        <v>38.39</v>
      </c>
      <c r="P42" s="12">
        <f ca="1">IFERROR(O42*E42,G42)</f>
        <v>3.8390000000000001E-18</v>
      </c>
      <c r="Q42" s="12">
        <f ca="1">P42-G42</f>
        <v>-3.4099999999999919E-19</v>
      </c>
      <c r="R42" s="12">
        <f t="shared" ref="R42:R46" si="15">F42/(1+I42-H42)</f>
        <v>31.986531986531986</v>
      </c>
      <c r="S42" s="12">
        <f t="shared" ref="S42:S46" si="16">M42-F42</f>
        <v>3.4902999999999977</v>
      </c>
      <c r="T42" s="12">
        <f t="shared" ref="T42:T46" si="17">0.5*(R42-F42)</f>
        <v>-4.9067340067340055</v>
      </c>
      <c r="U42" s="14">
        <f t="shared" ref="U42:U46" si="18">S42+T42</f>
        <v>-1.4164340067340078</v>
      </c>
      <c r="V42" s="12">
        <f t="shared" si="8"/>
        <v>161.68860807297904</v>
      </c>
      <c r="W42" s="9">
        <f t="shared" si="9"/>
        <v>6.1847276188353641E-3</v>
      </c>
      <c r="X42" s="9">
        <f t="shared" ref="X42:X46" si="19">V42/MAX($V$2:$V$28)</f>
        <v>0.92278789535538974</v>
      </c>
    </row>
    <row r="43" spans="1:24" hidden="1" x14ac:dyDescent="0.25">
      <c r="A43" t="s">
        <v>75</v>
      </c>
      <c r="B43" s="7" t="s">
        <v>78</v>
      </c>
      <c r="C43" t="s">
        <v>79</v>
      </c>
      <c r="D43" s="8">
        <v>45574</v>
      </c>
      <c r="E43" s="2">
        <v>9.9999999999999998E-20</v>
      </c>
      <c r="F43" s="1">
        <v>153.7552</v>
      </c>
      <c r="G43" s="1">
        <f t="shared" si="0"/>
        <v>1.5375519999999999E-17</v>
      </c>
      <c r="H43" s="21">
        <f>IFERROR(INDEX(Sheet1!$B:$C,MATCH(Positions!$C43,Sheet1!$G:$G,0),1),2.5%)</f>
        <v>2.2700000000000001E-2</v>
      </c>
      <c r="I43" s="11">
        <f>IFERROR(INDEX(Sheet1!$B:$C,MATCH(Positions!$C43,Sheet1!$G:$G,0),2),25%)</f>
        <v>8.8400000000000006E-2</v>
      </c>
      <c r="J43" s="9">
        <f t="shared" si="13"/>
        <v>0.25678733031674206</v>
      </c>
      <c r="K43" s="9">
        <f t="shared" si="2"/>
        <v>0.23102888929707052</v>
      </c>
      <c r="L43" s="9">
        <f t="shared" si="11"/>
        <v>1.359195968E-18</v>
      </c>
      <c r="M43" s="12">
        <f t="shared" si="14"/>
        <v>157.24544304</v>
      </c>
      <c r="N43" s="12">
        <f t="shared" si="3"/>
        <v>1.5724544303999999E-17</v>
      </c>
      <c r="O43" s="12" cm="1" vm="39">
        <f t="array" aca="1" ref="O43" ca="1">_xlfn.STOCKHISTORY(C43,TODAY(),TODAY(),0,0,1)</f>
        <v>151.47</v>
      </c>
      <c r="P43" s="12">
        <f ca="1">IFERROR(O43*E43,G43)</f>
        <v>1.5146999999999998E-17</v>
      </c>
      <c r="Q43" s="12">
        <f ca="1">P43-G43</f>
        <v>-2.28520000000001E-19</v>
      </c>
      <c r="R43" s="12">
        <f t="shared" si="15"/>
        <v>144.27625035188137</v>
      </c>
      <c r="S43" s="12">
        <f t="shared" si="16"/>
        <v>3.4902430399999957</v>
      </c>
      <c r="T43" s="12">
        <f t="shared" si="17"/>
        <v>-4.7394748240593145</v>
      </c>
      <c r="U43" s="14">
        <f t="shared" si="18"/>
        <v>-1.2492317840593188</v>
      </c>
      <c r="V43" s="12">
        <f t="shared" si="8"/>
        <v>161.52140585030435</v>
      </c>
      <c r="W43" s="9">
        <f t="shared" si="9"/>
        <v>6.1911298674974706E-3</v>
      </c>
      <c r="X43" s="9">
        <f t="shared" si="19"/>
        <v>0.92183364020408631</v>
      </c>
    </row>
    <row r="44" spans="1:24" hidden="1" x14ac:dyDescent="0.25">
      <c r="A44" t="s">
        <v>88</v>
      </c>
      <c r="B44" t="s">
        <v>89</v>
      </c>
      <c r="C44" s="20" t="s">
        <v>90</v>
      </c>
      <c r="D44" s="8">
        <v>45627</v>
      </c>
      <c r="E44" s="2">
        <v>9.9999999999999998E-20</v>
      </c>
      <c r="F44" s="1">
        <v>133.53</v>
      </c>
      <c r="G44" s="1">
        <f t="shared" si="0"/>
        <v>1.3353E-17</v>
      </c>
      <c r="H44" s="21">
        <f>IFERROR(INDEX(Sheet1!$B:$C,MATCH(Positions!$C44,Sheet1!$G:$G,0),1),2.5%)</f>
        <v>4.0899999999999999E-2</v>
      </c>
      <c r="I44" s="11">
        <f>IFERROR(INDEX(Sheet1!$B:$C,MATCH(Positions!$C44,Sheet1!$G:$G,0),2),25%)</f>
        <v>0.25</v>
      </c>
      <c r="J44" s="9">
        <f t="shared" si="13"/>
        <v>0.1636</v>
      </c>
      <c r="K44" s="9">
        <f t="shared" si="2"/>
        <v>0.14718921779505134</v>
      </c>
      <c r="L44" s="9">
        <f t="shared" si="11"/>
        <v>3.3382499999999999E-18</v>
      </c>
      <c r="M44" s="12">
        <f t="shared" si="14"/>
        <v>138.991377</v>
      </c>
      <c r="N44" s="12">
        <f t="shared" si="3"/>
        <v>1.38991377E-17</v>
      </c>
      <c r="O44" s="12" cm="1" vm="40">
        <f t="array" aca="1" ref="O44" ca="1">_xlfn.STOCKHISTORY(C44,TODAY(),TODAY(),0,0,1)</f>
        <v>150.19999999999999</v>
      </c>
      <c r="P44" s="12">
        <f ca="1">IFERROR(O44*E44,G44)</f>
        <v>1.5019999999999999E-17</v>
      </c>
      <c r="Q44" s="12">
        <f ca="1">P44-G44</f>
        <v>1.6669999999999989E-18</v>
      </c>
      <c r="R44" s="12">
        <f t="shared" si="15"/>
        <v>110.4375155074022</v>
      </c>
      <c r="S44" s="12">
        <f t="shared" si="16"/>
        <v>5.4613769999999988</v>
      </c>
      <c r="T44" s="12">
        <f t="shared" si="17"/>
        <v>-11.546242246298903</v>
      </c>
      <c r="U44" s="14">
        <f t="shared" si="18"/>
        <v>-6.0848652462989037</v>
      </c>
      <c r="V44" s="12">
        <f t="shared" si="8"/>
        <v>166.35703931254395</v>
      </c>
      <c r="W44" s="9">
        <f t="shared" si="9"/>
        <v>6.0111673310153475E-3</v>
      </c>
      <c r="X44" s="9">
        <f t="shared" si="19"/>
        <v>0.94943152776408135</v>
      </c>
    </row>
    <row r="45" spans="1:24" hidden="1" x14ac:dyDescent="0.25">
      <c r="A45" t="s">
        <v>40</v>
      </c>
      <c r="B45" s="7" t="s">
        <v>93</v>
      </c>
      <c r="C45" s="20" t="s">
        <v>94</v>
      </c>
      <c r="D45" s="8">
        <v>45627</v>
      </c>
      <c r="E45" s="2">
        <v>9.9999999999999998E-20</v>
      </c>
      <c r="F45" s="1">
        <v>26.63</v>
      </c>
      <c r="G45" s="1">
        <f t="shared" si="0"/>
        <v>2.663E-18</v>
      </c>
      <c r="H45" s="21">
        <f>IFERROR(INDEX(Sheet1!$B:$C,MATCH(Positions!$C45,Sheet1!$G:$G,0),1),2.5%)</f>
        <v>-0.1193</v>
      </c>
      <c r="I45" s="11">
        <f>IFERROR(INDEX(Sheet1!$B:$C,MATCH(Positions!$C45,Sheet1!$G:$G,0),2),25%)</f>
        <v>0.60340000000000005</v>
      </c>
      <c r="J45" s="9">
        <f t="shared" si="13"/>
        <v>-0.19771295989393436</v>
      </c>
      <c r="K45" s="9">
        <f t="shared" si="2"/>
        <v>-0.17788029287733836</v>
      </c>
      <c r="L45" s="9">
        <f t="shared" si="11"/>
        <v>1.6068542000000001E-18</v>
      </c>
      <c r="M45" s="12">
        <f t="shared" si="14"/>
        <v>23.453040999999999</v>
      </c>
      <c r="N45" s="12">
        <f t="shared" si="3"/>
        <v>2.3453040999999998E-18</v>
      </c>
      <c r="O45" s="12" cm="1" vm="41">
        <f t="array" aca="1" ref="O45" ca="1">_xlfn.STOCKHISTORY(C45,TODAY(),TODAY(),0,0,1)</f>
        <v>15.66</v>
      </c>
      <c r="P45" s="12">
        <f ca="1">IFERROR(O45*E45,G45)</f>
        <v>1.566E-18</v>
      </c>
      <c r="Q45" s="12">
        <f ca="1">P45-G45</f>
        <v>-1.097E-18</v>
      </c>
      <c r="R45" s="12">
        <f t="shared" si="15"/>
        <v>15.458292215707898</v>
      </c>
      <c r="S45" s="12">
        <f t="shared" si="16"/>
        <v>-3.1769590000000001</v>
      </c>
      <c r="T45" s="12">
        <f t="shared" si="17"/>
        <v>-5.5858538921460505</v>
      </c>
      <c r="U45" s="14">
        <f t="shared" si="18"/>
        <v>-8.7628128921460515</v>
      </c>
      <c r="V45" s="12">
        <f t="shared" si="8"/>
        <v>169.0349869583911</v>
      </c>
      <c r="W45" s="9">
        <f t="shared" si="9"/>
        <v>5.9159350261975968E-3</v>
      </c>
      <c r="X45" s="9">
        <f t="shared" si="19"/>
        <v>0.96471508856304522</v>
      </c>
    </row>
    <row r="46" spans="1:24" hidden="1" x14ac:dyDescent="0.25">
      <c r="A46" t="s">
        <v>96</v>
      </c>
      <c r="B46" s="7" t="s">
        <v>101</v>
      </c>
      <c r="C46" s="20" t="s">
        <v>102</v>
      </c>
      <c r="D46" s="8">
        <v>45630</v>
      </c>
      <c r="E46" s="2">
        <v>9.9999999999999998E-20</v>
      </c>
      <c r="F46" s="1">
        <v>323.75</v>
      </c>
      <c r="G46" s="1">
        <f t="shared" si="0"/>
        <v>3.2375000000000002E-17</v>
      </c>
      <c r="H46" s="21">
        <f>IFERROR(INDEX(Sheet1!$B:$C,MATCH(Positions!$C46,Sheet1!$G:$G,0),1),2.5%)</f>
        <v>0.16109999999999999</v>
      </c>
      <c r="I46" s="11">
        <f>IFERROR(INDEX(Sheet1!$B:$C,MATCH(Positions!$C46,Sheet1!$G:$G,0),2),25%)</f>
        <v>0.32779999999999998</v>
      </c>
      <c r="J46" s="9">
        <f t="shared" si="13"/>
        <v>0.49145820622330688</v>
      </c>
      <c r="K46" s="9">
        <f t="shared" si="2"/>
        <v>0.44215983467584091</v>
      </c>
      <c r="L46" s="9">
        <f t="shared" si="11"/>
        <v>1.0612525E-17</v>
      </c>
      <c r="M46" s="12">
        <f t="shared" si="14"/>
        <v>375.90612500000003</v>
      </c>
      <c r="N46" s="12">
        <f t="shared" si="3"/>
        <v>3.7590612500000005E-17</v>
      </c>
      <c r="O46" s="12" cm="1" vm="42">
        <f t="array" aca="1" ref="O46" ca="1">_xlfn.STOCKHISTORY(C46,TODAY(),TODAY(),0,0,1)</f>
        <v>320.56</v>
      </c>
      <c r="P46" s="12">
        <f ca="1">IFERROR(O46*E46,G46)</f>
        <v>3.2055999999999996E-17</v>
      </c>
      <c r="Q46" s="12">
        <f ca="1">P46-G46</f>
        <v>-3.1900000000000578E-19</v>
      </c>
      <c r="R46" s="12">
        <f t="shared" si="15"/>
        <v>277.49207165509563</v>
      </c>
      <c r="S46" s="12">
        <f t="shared" si="16"/>
        <v>52.156125000000031</v>
      </c>
      <c r="T46" s="12">
        <f t="shared" si="17"/>
        <v>-23.128964172452186</v>
      </c>
      <c r="U46" s="14">
        <f t="shared" si="18"/>
        <v>29.027160827547846</v>
      </c>
      <c r="V46" s="12">
        <f t="shared" si="8"/>
        <v>131.2450132386972</v>
      </c>
      <c r="W46" s="9">
        <f t="shared" si="9"/>
        <v>7.619337110974918E-3</v>
      </c>
      <c r="X46" s="9">
        <f t="shared" si="19"/>
        <v>0.74904046108037126</v>
      </c>
    </row>
    <row r="47" spans="1:24" x14ac:dyDescent="0.25">
      <c r="L47" s="9"/>
    </row>
  </sheetData>
  <autoFilter ref="A1:X46" xr:uid="{00000000-0001-0000-0000-000000000000}">
    <filterColumn colId="0">
      <filters>
        <filter val="ETF"/>
      </filters>
    </filterColumn>
  </autoFilter>
  <conditionalFormatting sqref="W2:W4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E3ADDBA-BC7C-4D57-B9DE-7F1FC69F757B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X2:X46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5E8D-08B7-4DF5-A194-73864790DB1A}">
  <dimension ref="A3:H14"/>
  <sheetViews>
    <sheetView tabSelected="1" workbookViewId="0">
      <selection activeCell="R28" sqref="R28"/>
    </sheetView>
  </sheetViews>
  <sheetFormatPr defaultRowHeight="15" x14ac:dyDescent="0.25"/>
  <cols>
    <col min="1" max="1" width="16.140625" bestFit="1" customWidth="1"/>
    <col min="2" max="2" width="15.140625" hidden="1" customWidth="1"/>
    <col min="3" max="3" width="5.5703125" bestFit="1" customWidth="1"/>
    <col min="5" max="5" width="9" bestFit="1" customWidth="1"/>
    <col min="6" max="6" width="8" bestFit="1" customWidth="1"/>
    <col min="7" max="7" width="9" bestFit="1" customWidth="1"/>
    <col min="8" max="8" width="8" bestFit="1" customWidth="1"/>
  </cols>
  <sheetData>
    <row r="3" spans="1:8" ht="30" x14ac:dyDescent="0.25">
      <c r="A3" s="25" t="s">
        <v>160</v>
      </c>
      <c r="B3" s="10" t="s">
        <v>161</v>
      </c>
      <c r="C3" s="10" t="s">
        <v>162</v>
      </c>
      <c r="D3" s="15" t="s">
        <v>173</v>
      </c>
      <c r="E3" s="15" t="s">
        <v>163</v>
      </c>
      <c r="F3" s="15" t="s">
        <v>164</v>
      </c>
      <c r="G3" s="15" t="s">
        <v>167</v>
      </c>
      <c r="H3" s="15" t="s">
        <v>168</v>
      </c>
    </row>
    <row r="4" spans="1:8" x14ac:dyDescent="0.25">
      <c r="A4" s="23" t="s">
        <v>38</v>
      </c>
      <c r="B4" s="12">
        <v>283.12183800000003</v>
      </c>
      <c r="C4" s="24">
        <v>0.27415794541660166</v>
      </c>
      <c r="D4" s="19">
        <v>0.22147011693742963</v>
      </c>
      <c r="E4" s="19">
        <v>7.17737579592852E-2</v>
      </c>
      <c r="F4" s="12">
        <v>20.320718273599937</v>
      </c>
      <c r="G4" s="19">
        <v>-2.5466209356835242E-2</v>
      </c>
      <c r="H4" s="12">
        <v>-7.2100399999999922</v>
      </c>
    </row>
    <row r="5" spans="1:8" x14ac:dyDescent="0.25">
      <c r="A5" s="23" t="s">
        <v>145</v>
      </c>
      <c r="B5" s="12">
        <v>222.11800000000002</v>
      </c>
      <c r="C5" s="24">
        <v>0.21508554391358795</v>
      </c>
      <c r="D5" s="19">
        <v>0.1859207718419939</v>
      </c>
      <c r="E5" s="19">
        <v>4.172777532662808E-2</v>
      </c>
      <c r="F5" s="12">
        <v>9.2684899999999857</v>
      </c>
      <c r="G5" s="19">
        <v>1.5672750519993752E-2</v>
      </c>
      <c r="H5" s="12">
        <v>3.4811999999999728</v>
      </c>
    </row>
    <row r="6" spans="1:8" x14ac:dyDescent="0.25">
      <c r="A6" s="23" t="s">
        <v>40</v>
      </c>
      <c r="B6" s="12">
        <v>220.93703800000003</v>
      </c>
      <c r="C6" s="24">
        <v>0.21394197223496991</v>
      </c>
      <c r="D6" s="19">
        <v>0.43949571810951849</v>
      </c>
      <c r="E6" s="19">
        <v>5.3152980643290659E-2</v>
      </c>
      <c r="F6" s="12">
        <v>11.743462104199978</v>
      </c>
      <c r="G6" s="19">
        <v>-2.8620103977314997E-2</v>
      </c>
      <c r="H6" s="12">
        <v>-6.3232409999999959</v>
      </c>
    </row>
    <row r="7" spans="1:8" x14ac:dyDescent="0.25">
      <c r="A7" s="23" t="s">
        <v>36</v>
      </c>
      <c r="B7" s="12">
        <v>155.61477000000002</v>
      </c>
      <c r="C7" s="24">
        <v>0.15068786611817991</v>
      </c>
      <c r="D7" s="19">
        <v>0.29723398558375913</v>
      </c>
      <c r="E7" s="19">
        <v>0.23836726683206222</v>
      </c>
      <c r="F7" s="12">
        <v>37.093467403599988</v>
      </c>
      <c r="G7" s="19">
        <v>2.2745687957511699E-2</v>
      </c>
      <c r="H7" s="12">
        <v>3.5395649999999534</v>
      </c>
    </row>
    <row r="8" spans="1:8" x14ac:dyDescent="0.25">
      <c r="A8" s="23" t="s">
        <v>37</v>
      </c>
      <c r="B8" s="12">
        <v>94.882213999999991</v>
      </c>
      <c r="C8" s="24">
        <v>9.1878157582525696E-2</v>
      </c>
      <c r="D8" s="19">
        <v>0.29370539525985345</v>
      </c>
      <c r="E8" s="19">
        <v>0.1541563317040644</v>
      </c>
      <c r="F8" s="12">
        <v>14.62669405420003</v>
      </c>
      <c r="G8" s="19">
        <v>0.12702033913331739</v>
      </c>
      <c r="H8" s="12">
        <v>12.051970999999995</v>
      </c>
    </row>
    <row r="9" spans="1:8" x14ac:dyDescent="0.25">
      <c r="A9" s="23" t="s">
        <v>39</v>
      </c>
      <c r="B9" s="12">
        <v>46.022978999999999</v>
      </c>
      <c r="C9" s="24">
        <v>4.4565850001974779E-2</v>
      </c>
      <c r="D9" s="19">
        <v>0.25428698387386012</v>
      </c>
      <c r="E9" s="19">
        <v>6.9540324469218096E-2</v>
      </c>
      <c r="F9" s="12">
        <v>3.2004528927000067</v>
      </c>
      <c r="G9" s="19">
        <v>-3.7756486819334412E-2</v>
      </c>
      <c r="H9" s="12">
        <v>-1.7376660000000044</v>
      </c>
    </row>
    <row r="10" spans="1:8" x14ac:dyDescent="0.25">
      <c r="A10" s="23" t="s">
        <v>96</v>
      </c>
      <c r="B10" s="12">
        <v>9.99925</v>
      </c>
      <c r="C10" s="24">
        <v>9.6826647321601317E-3</v>
      </c>
      <c r="D10" s="19">
        <v>0.58609999999999995</v>
      </c>
      <c r="E10" s="19">
        <v>-0.12680000000000013</v>
      </c>
      <c r="F10" s="12">
        <v>-1.2679049000000013</v>
      </c>
      <c r="G10" s="19">
        <v>-2.1851638872915528E-2</v>
      </c>
      <c r="H10" s="12">
        <v>-0.21850000000000058</v>
      </c>
    </row>
    <row r="11" spans="1:8" x14ac:dyDescent="0.25">
      <c r="A11" s="23" t="s">
        <v>75</v>
      </c>
      <c r="B11" s="12">
        <v>2.9136552000000001E-16</v>
      </c>
      <c r="C11" s="24">
        <v>2.8214062501402581E-19</v>
      </c>
      <c r="D11" s="19">
        <v>0.14314072910205713</v>
      </c>
      <c r="E11" s="19">
        <v>8.2904141519559271E-2</v>
      </c>
      <c r="F11" s="12">
        <v>2.4155408304000005E-17</v>
      </c>
      <c r="G11" s="19">
        <v>-0.9407316280938115</v>
      </c>
      <c r="H11" s="12">
        <v>-2.7409676E-16</v>
      </c>
    </row>
    <row r="12" spans="1:8" x14ac:dyDescent="0.25">
      <c r="A12" s="23" t="s">
        <v>88</v>
      </c>
      <c r="B12" s="12">
        <v>1.3353E-17</v>
      </c>
      <c r="C12" s="24">
        <v>1.2930231984252241E-20</v>
      </c>
      <c r="D12" s="19">
        <v>0.25</v>
      </c>
      <c r="E12" s="19">
        <v>4.0900000000000158E-2</v>
      </c>
      <c r="F12" s="12">
        <v>5.4613770000000075E-19</v>
      </c>
      <c r="G12" s="19">
        <v>0.12484085973189538</v>
      </c>
      <c r="H12" s="12">
        <v>1.6669999999999989E-18</v>
      </c>
    </row>
    <row r="13" spans="1:8" x14ac:dyDescent="0.25">
      <c r="A13" s="23" t="s">
        <v>72</v>
      </c>
      <c r="B13" s="12">
        <v>5.5999999999999995E-18</v>
      </c>
      <c r="C13" s="24">
        <v>5.4226989524311053E-21</v>
      </c>
      <c r="D13" s="19">
        <v>0.4047</v>
      </c>
      <c r="E13" s="19">
        <v>4.0999999999999925E-3</v>
      </c>
      <c r="F13" s="12">
        <v>2.2960000000000069E-20</v>
      </c>
      <c r="G13" s="19">
        <v>0.19035714285714295</v>
      </c>
      <c r="H13" s="12">
        <v>1.0660000000000003E-18</v>
      </c>
    </row>
    <row r="14" spans="1:8" x14ac:dyDescent="0.25">
      <c r="A14" s="23" t="s">
        <v>165</v>
      </c>
      <c r="B14" s="12">
        <v>1032.696089</v>
      </c>
      <c r="C14" s="24">
        <v>1</v>
      </c>
      <c r="D14" s="19">
        <v>0.28351543428262177</v>
      </c>
      <c r="E14" s="19">
        <v>9.1978057087713339E-2</v>
      </c>
      <c r="F14" s="12">
        <v>94.985379828300211</v>
      </c>
      <c r="G14" s="19">
        <v>3.4698388404566937E-3</v>
      </c>
      <c r="H14" s="12">
        <v>3.5832889999999225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BB01-2590-4471-B7D1-AC4B730D30F2}">
  <dimension ref="A1:G41"/>
  <sheetViews>
    <sheetView workbookViewId="0">
      <selection activeCell="C24" sqref="C24"/>
    </sheetView>
  </sheetViews>
  <sheetFormatPr defaultRowHeight="15" x14ac:dyDescent="0.25"/>
  <cols>
    <col min="1" max="1" width="32.28515625" bestFit="1" customWidth="1"/>
    <col min="2" max="2" width="13.85546875" bestFit="1" customWidth="1"/>
    <col min="3" max="3" width="16" bestFit="1" customWidth="1"/>
    <col min="4" max="4" width="15" bestFit="1" customWidth="1"/>
    <col min="5" max="5" width="17.28515625" bestFit="1" customWidth="1"/>
    <col min="6" max="6" width="14.28515625" bestFit="1" customWidth="1"/>
    <col min="7" max="7" width="7.28515625" bestFit="1" customWidth="1"/>
  </cols>
  <sheetData>
    <row r="1" spans="1:7" x14ac:dyDescent="0.25">
      <c r="A1" s="22" t="s">
        <v>103</v>
      </c>
      <c r="B1" s="22" t="s">
        <v>104</v>
      </c>
      <c r="C1" s="22" t="s">
        <v>105</v>
      </c>
      <c r="D1" s="22" t="s">
        <v>106</v>
      </c>
      <c r="E1" s="22" t="s">
        <v>107</v>
      </c>
      <c r="F1" s="22" t="s">
        <v>35</v>
      </c>
      <c r="G1" s="22" t="s">
        <v>83</v>
      </c>
    </row>
    <row r="2" spans="1:7" x14ac:dyDescent="0.25">
      <c r="A2" s="22" t="s">
        <v>157</v>
      </c>
      <c r="B2" s="22">
        <v>8.6599999999999996E-2</v>
      </c>
      <c r="C2" s="22">
        <v>0.14630000000000001</v>
      </c>
      <c r="D2" s="22">
        <v>7.1999999999999998E-3</v>
      </c>
      <c r="E2" s="22">
        <v>4.2200000000000001E-2</v>
      </c>
      <c r="F2" s="22" t="s">
        <v>75</v>
      </c>
      <c r="G2" s="22" t="s">
        <v>81</v>
      </c>
    </row>
    <row r="3" spans="1:7" x14ac:dyDescent="0.25">
      <c r="A3" s="22" t="s">
        <v>158</v>
      </c>
      <c r="B3" s="22">
        <v>3.1099999999999999E-2</v>
      </c>
      <c r="C3" s="22">
        <v>0.1285</v>
      </c>
      <c r="D3" s="22">
        <v>2.5999999999999999E-3</v>
      </c>
      <c r="E3" s="22">
        <v>3.7100000000000001E-2</v>
      </c>
      <c r="F3" s="22" t="s">
        <v>75</v>
      </c>
      <c r="G3" s="22" t="s">
        <v>77</v>
      </c>
    </row>
    <row r="4" spans="1:7" x14ac:dyDescent="0.25">
      <c r="A4" s="22" t="s">
        <v>159</v>
      </c>
      <c r="B4" s="22">
        <v>2.2700000000000001E-2</v>
      </c>
      <c r="C4" s="22">
        <v>8.8400000000000006E-2</v>
      </c>
      <c r="D4" s="22">
        <v>1.9E-3</v>
      </c>
      <c r="E4" s="22">
        <v>2.5499999999999998E-2</v>
      </c>
      <c r="F4" s="22" t="s">
        <v>75</v>
      </c>
      <c r="G4" s="22" t="s">
        <v>79</v>
      </c>
    </row>
    <row r="5" spans="1:7" x14ac:dyDescent="0.25">
      <c r="A5" s="22" t="s">
        <v>120</v>
      </c>
      <c r="B5" s="22">
        <v>-8.7400000000000005E-2</v>
      </c>
      <c r="C5" s="22">
        <v>0.60389999999999999</v>
      </c>
      <c r="D5" s="22">
        <v>-7.3000000000000001E-3</v>
      </c>
      <c r="E5" s="22">
        <v>0.17430000000000001</v>
      </c>
      <c r="F5" s="22" t="s">
        <v>40</v>
      </c>
      <c r="G5" s="22" t="s">
        <v>95</v>
      </c>
    </row>
    <row r="6" spans="1:7" x14ac:dyDescent="0.25">
      <c r="A6" s="22" t="s">
        <v>135</v>
      </c>
      <c r="B6" s="22">
        <v>4.19E-2</v>
      </c>
      <c r="C6" s="22">
        <v>0.53510000000000002</v>
      </c>
      <c r="D6" s="22">
        <v>3.5000000000000001E-3</v>
      </c>
      <c r="E6" s="22">
        <v>0.1545</v>
      </c>
      <c r="F6" s="22" t="s">
        <v>40</v>
      </c>
      <c r="G6" s="22" t="s">
        <v>136</v>
      </c>
    </row>
    <row r="7" spans="1:7" x14ac:dyDescent="0.25">
      <c r="A7" s="22" t="s">
        <v>118</v>
      </c>
      <c r="B7" s="22">
        <v>8.6900000000000005E-2</v>
      </c>
      <c r="C7" s="22">
        <v>0.24529999999999999</v>
      </c>
      <c r="D7" s="22">
        <v>7.1999999999999998E-3</v>
      </c>
      <c r="E7" s="22">
        <v>7.0800000000000002E-2</v>
      </c>
      <c r="F7" s="22" t="s">
        <v>40</v>
      </c>
      <c r="G7" s="22" t="s">
        <v>92</v>
      </c>
    </row>
    <row r="8" spans="1:7" x14ac:dyDescent="0.25">
      <c r="A8" s="22" t="s">
        <v>112</v>
      </c>
      <c r="B8" s="22">
        <v>0.1212</v>
      </c>
      <c r="C8" s="22">
        <v>0.24540000000000001</v>
      </c>
      <c r="D8" s="22">
        <v>1.01E-2</v>
      </c>
      <c r="E8" s="22">
        <v>7.0800000000000002E-2</v>
      </c>
      <c r="F8" s="22" t="s">
        <v>40</v>
      </c>
      <c r="G8" s="22" t="s">
        <v>27</v>
      </c>
    </row>
    <row r="9" spans="1:7" x14ac:dyDescent="0.25">
      <c r="A9" s="22" t="s">
        <v>113</v>
      </c>
      <c r="B9" s="22">
        <v>0.123</v>
      </c>
      <c r="C9" s="22">
        <v>0.47839999999999999</v>
      </c>
      <c r="D9" s="22">
        <v>1.0200000000000001E-2</v>
      </c>
      <c r="E9" s="22">
        <v>0.1381</v>
      </c>
      <c r="F9" s="22" t="s">
        <v>40</v>
      </c>
      <c r="G9" s="22" t="s">
        <v>46</v>
      </c>
    </row>
    <row r="10" spans="1:7" x14ac:dyDescent="0.25">
      <c r="A10" s="22" t="s">
        <v>111</v>
      </c>
      <c r="B10" s="22">
        <v>-1.4844999999999999</v>
      </c>
      <c r="C10" s="22">
        <v>1.3212999999999999</v>
      </c>
      <c r="D10" s="22">
        <v>-0.1237</v>
      </c>
      <c r="E10" s="22">
        <v>0.38140000000000002</v>
      </c>
      <c r="F10" s="22" t="s">
        <v>40</v>
      </c>
      <c r="G10" s="22" t="s">
        <v>50</v>
      </c>
    </row>
    <row r="11" spans="1:7" x14ac:dyDescent="0.25">
      <c r="A11" s="22" t="s">
        <v>114</v>
      </c>
      <c r="B11" s="22">
        <v>7.6100000000000001E-2</v>
      </c>
      <c r="C11" s="22">
        <v>0.20619999999999999</v>
      </c>
      <c r="D11" s="22">
        <v>6.3E-3</v>
      </c>
      <c r="E11" s="22">
        <v>5.9499999999999997E-2</v>
      </c>
      <c r="F11" s="22" t="s">
        <v>40</v>
      </c>
      <c r="G11" s="22" t="s">
        <v>32</v>
      </c>
    </row>
    <row r="12" spans="1:7" x14ac:dyDescent="0.25">
      <c r="A12" s="22" t="s">
        <v>115</v>
      </c>
      <c r="B12" s="22">
        <v>1.1900000000000001E-2</v>
      </c>
      <c r="C12" s="22">
        <v>0.70799999999999996</v>
      </c>
      <c r="D12" s="22">
        <v>1E-3</v>
      </c>
      <c r="E12" s="22">
        <v>0.2044</v>
      </c>
      <c r="F12" s="22" t="s">
        <v>40</v>
      </c>
      <c r="G12" s="22" t="s">
        <v>48</v>
      </c>
    </row>
    <row r="13" spans="1:7" x14ac:dyDescent="0.25">
      <c r="A13" s="22" t="s">
        <v>116</v>
      </c>
      <c r="B13" s="22">
        <v>4.82E-2</v>
      </c>
      <c r="C13" s="22">
        <v>0.4264</v>
      </c>
      <c r="D13" s="22">
        <v>4.0000000000000001E-3</v>
      </c>
      <c r="E13" s="22">
        <v>0.1231</v>
      </c>
      <c r="F13" s="22" t="s">
        <v>40</v>
      </c>
      <c r="G13" s="22" t="s">
        <v>53</v>
      </c>
    </row>
    <row r="14" spans="1:7" x14ac:dyDescent="0.25">
      <c r="A14" s="22" t="s">
        <v>117</v>
      </c>
      <c r="B14" s="22">
        <v>-0.1055</v>
      </c>
      <c r="C14" s="22">
        <v>0.57940000000000003</v>
      </c>
      <c r="D14" s="22">
        <v>-8.8000000000000005E-3</v>
      </c>
      <c r="E14" s="22">
        <v>0.1673</v>
      </c>
      <c r="F14" s="22" t="s">
        <v>40</v>
      </c>
      <c r="G14" s="22" t="s">
        <v>44</v>
      </c>
    </row>
    <row r="15" spans="1:7" x14ac:dyDescent="0.25">
      <c r="A15" s="22" t="s">
        <v>119</v>
      </c>
      <c r="B15" s="22">
        <v>-0.1193</v>
      </c>
      <c r="C15" s="22">
        <v>0.60340000000000005</v>
      </c>
      <c r="D15" s="22">
        <v>-9.9000000000000008E-3</v>
      </c>
      <c r="E15" s="22">
        <v>0.17419999999999999</v>
      </c>
      <c r="F15" s="22" t="s">
        <v>40</v>
      </c>
      <c r="G15" s="22" t="s">
        <v>94</v>
      </c>
    </row>
    <row r="16" spans="1:7" x14ac:dyDescent="0.25">
      <c r="A16" s="22" t="s">
        <v>109</v>
      </c>
      <c r="B16" s="22">
        <v>-0.1268</v>
      </c>
      <c r="C16" s="22">
        <v>0.58609999999999995</v>
      </c>
      <c r="D16" s="22">
        <v>-1.06E-2</v>
      </c>
      <c r="E16" s="22">
        <v>0.16919999999999999</v>
      </c>
      <c r="F16" s="22" t="s">
        <v>96</v>
      </c>
      <c r="G16" s="22" t="s">
        <v>98</v>
      </c>
    </row>
    <row r="17" spans="1:7" x14ac:dyDescent="0.25">
      <c r="A17" s="22" t="s">
        <v>110</v>
      </c>
      <c r="B17" s="22">
        <v>0.16109999999999999</v>
      </c>
      <c r="C17" s="22">
        <v>0.32779999999999998</v>
      </c>
      <c r="D17" s="22">
        <v>1.34E-2</v>
      </c>
      <c r="E17" s="22">
        <v>9.4600000000000004E-2</v>
      </c>
      <c r="F17" s="22" t="s">
        <v>96</v>
      </c>
      <c r="G17" s="22" t="s">
        <v>102</v>
      </c>
    </row>
    <row r="18" spans="1:7" x14ac:dyDescent="0.25">
      <c r="A18" s="22" t="s">
        <v>138</v>
      </c>
      <c r="B18" s="22">
        <v>6.9500000000000006E-2</v>
      </c>
      <c r="C18" s="22">
        <v>0.25430000000000003</v>
      </c>
      <c r="D18" s="22">
        <v>5.7999999999999996E-3</v>
      </c>
      <c r="E18" s="22">
        <v>7.3400000000000007E-2</v>
      </c>
      <c r="F18" s="22" t="s">
        <v>39</v>
      </c>
      <c r="G18" s="22" t="s">
        <v>43</v>
      </c>
    </row>
    <row r="19" spans="1:7" x14ac:dyDescent="0.25">
      <c r="A19" s="22" t="s">
        <v>137</v>
      </c>
      <c r="B19" s="22">
        <v>0.1169</v>
      </c>
      <c r="C19" s="22">
        <v>0.23899999999999999</v>
      </c>
      <c r="D19" s="22">
        <v>9.7000000000000003E-3</v>
      </c>
      <c r="E19" s="22">
        <v>6.9000000000000006E-2</v>
      </c>
      <c r="F19" s="22" t="s">
        <v>39</v>
      </c>
      <c r="G19" s="22" t="s">
        <v>59</v>
      </c>
    </row>
    <row r="20" spans="1:7" x14ac:dyDescent="0.25">
      <c r="A20" s="22" t="s">
        <v>33</v>
      </c>
      <c r="B20" s="22">
        <v>0.16070000000000001</v>
      </c>
      <c r="C20" s="22">
        <v>0.27700000000000002</v>
      </c>
      <c r="D20" s="22">
        <v>1.34E-2</v>
      </c>
      <c r="E20" s="22">
        <v>0.08</v>
      </c>
      <c r="F20" s="22" t="s">
        <v>39</v>
      </c>
      <c r="G20" s="22" t="s">
        <v>34</v>
      </c>
    </row>
    <row r="21" spans="1:7" x14ac:dyDescent="0.25">
      <c r="A21" s="22" t="s">
        <v>139</v>
      </c>
      <c r="B21" s="22">
        <v>8.5199999999999998E-2</v>
      </c>
      <c r="C21" s="22">
        <v>0.36359999999999998</v>
      </c>
      <c r="D21" s="22">
        <v>7.1000000000000004E-3</v>
      </c>
      <c r="E21" s="22">
        <v>0.105</v>
      </c>
      <c r="F21" s="22" t="s">
        <v>39</v>
      </c>
      <c r="G21" s="22" t="s">
        <v>56</v>
      </c>
    </row>
    <row r="22" spans="1:7" x14ac:dyDescent="0.25">
      <c r="A22" s="22" t="s">
        <v>140</v>
      </c>
      <c r="B22" s="22">
        <v>8.3500000000000005E-2</v>
      </c>
      <c r="C22" s="22">
        <v>0.39029999999999998</v>
      </c>
      <c r="D22" s="22">
        <v>7.0000000000000001E-3</v>
      </c>
      <c r="E22" s="22">
        <v>0.11269999999999999</v>
      </c>
      <c r="F22" s="22" t="s">
        <v>39</v>
      </c>
      <c r="G22" s="22" t="s">
        <v>41</v>
      </c>
    </row>
    <row r="23" spans="1:7" x14ac:dyDescent="0.25">
      <c r="A23" s="22" t="s">
        <v>121</v>
      </c>
      <c r="B23" s="22">
        <v>5.8799999999999998E-2</v>
      </c>
      <c r="C23" s="22">
        <v>0.22600000000000001</v>
      </c>
      <c r="D23" s="22">
        <v>4.8999999999999998E-3</v>
      </c>
      <c r="E23" s="22">
        <v>6.5199999999999994E-2</v>
      </c>
      <c r="F23" s="22" t="s">
        <v>38</v>
      </c>
      <c r="G23" s="22" t="s">
        <v>5</v>
      </c>
    </row>
    <row r="24" spans="1:7" x14ac:dyDescent="0.25">
      <c r="A24" s="22" t="s">
        <v>125</v>
      </c>
      <c r="B24" s="22">
        <v>0.14929999999999999</v>
      </c>
      <c r="C24" s="22">
        <v>0.31569999999999998</v>
      </c>
      <c r="D24" s="22">
        <v>1.24E-2</v>
      </c>
      <c r="E24" s="22">
        <v>9.11E-2</v>
      </c>
      <c r="F24" s="22" t="s">
        <v>38</v>
      </c>
      <c r="G24" s="22" t="s">
        <v>100</v>
      </c>
    </row>
    <row r="25" spans="1:7" x14ac:dyDescent="0.25">
      <c r="A25" s="22" t="s">
        <v>122</v>
      </c>
      <c r="B25" s="22">
        <v>5.0200000000000002E-2</v>
      </c>
      <c r="C25" s="22">
        <v>0.2001</v>
      </c>
      <c r="D25" s="22">
        <v>4.1999999999999997E-3</v>
      </c>
      <c r="E25" s="22">
        <v>5.7799999999999997E-2</v>
      </c>
      <c r="F25" s="22" t="s">
        <v>38</v>
      </c>
      <c r="G25" s="22" t="s">
        <v>20</v>
      </c>
    </row>
    <row r="26" spans="1:7" x14ac:dyDescent="0.25">
      <c r="A26" s="22" t="s">
        <v>123</v>
      </c>
      <c r="B26" s="22">
        <v>6.59E-2</v>
      </c>
      <c r="C26" s="22">
        <v>0.1875</v>
      </c>
      <c r="D26" s="22">
        <v>5.4999999999999997E-3</v>
      </c>
      <c r="E26" s="22">
        <v>5.4100000000000002E-2</v>
      </c>
      <c r="F26" s="22" t="s">
        <v>38</v>
      </c>
      <c r="G26" s="22" t="s">
        <v>16</v>
      </c>
    </row>
    <row r="27" spans="1:7" x14ac:dyDescent="0.25">
      <c r="A27" s="22" t="s">
        <v>124</v>
      </c>
      <c r="B27" s="22">
        <v>0.1467</v>
      </c>
      <c r="C27" s="22">
        <v>0.21079999999999999</v>
      </c>
      <c r="D27" s="22">
        <v>1.2200000000000001E-2</v>
      </c>
      <c r="E27" s="22">
        <v>6.0900000000000003E-2</v>
      </c>
      <c r="F27" s="22" t="s">
        <v>38</v>
      </c>
      <c r="G27" s="22" t="s">
        <v>55</v>
      </c>
    </row>
    <row r="28" spans="1:7" x14ac:dyDescent="0.25">
      <c r="A28" s="22" t="s">
        <v>141</v>
      </c>
      <c r="B28" s="22">
        <v>4.1000000000000003E-3</v>
      </c>
      <c r="C28" s="22">
        <v>0.4047</v>
      </c>
      <c r="D28" s="22">
        <v>2.9999999999999997E-4</v>
      </c>
      <c r="E28" s="22">
        <v>0.1168</v>
      </c>
      <c r="F28" s="22" t="s">
        <v>72</v>
      </c>
      <c r="G28" s="22" t="s">
        <v>74</v>
      </c>
    </row>
    <row r="29" spans="1:7" x14ac:dyDescent="0.25">
      <c r="A29" s="22" t="s">
        <v>126</v>
      </c>
      <c r="B29" s="22">
        <v>0.24179999999999999</v>
      </c>
      <c r="C29" s="22">
        <v>0.32229999999999998</v>
      </c>
      <c r="D29" s="22">
        <v>2.01E-2</v>
      </c>
      <c r="E29" s="22">
        <v>9.2999999999999999E-2</v>
      </c>
      <c r="F29" s="22" t="s">
        <v>36</v>
      </c>
      <c r="G29" s="22" t="s">
        <v>22</v>
      </c>
    </row>
    <row r="30" spans="1:7" x14ac:dyDescent="0.25">
      <c r="A30" s="22" t="s">
        <v>128</v>
      </c>
      <c r="B30" s="22">
        <v>0.2092</v>
      </c>
      <c r="C30" s="22">
        <v>0.28439999999999999</v>
      </c>
      <c r="D30" s="22">
        <v>1.7399999999999999E-2</v>
      </c>
      <c r="E30" s="22">
        <v>8.2100000000000006E-2</v>
      </c>
      <c r="F30" s="22" t="s">
        <v>36</v>
      </c>
      <c r="G30" s="22" t="s">
        <v>13</v>
      </c>
    </row>
    <row r="31" spans="1:7" x14ac:dyDescent="0.25">
      <c r="A31" s="22" t="s">
        <v>129</v>
      </c>
      <c r="B31" s="22">
        <v>0.2412</v>
      </c>
      <c r="C31" s="22">
        <v>0.27010000000000001</v>
      </c>
      <c r="D31" s="22">
        <v>2.01E-2</v>
      </c>
      <c r="E31" s="22">
        <v>7.8E-2</v>
      </c>
      <c r="F31" s="22" t="s">
        <v>36</v>
      </c>
      <c r="G31" s="22" t="s">
        <v>12</v>
      </c>
    </row>
    <row r="32" spans="1:7" x14ac:dyDescent="0.25">
      <c r="A32" s="22" t="s">
        <v>127</v>
      </c>
      <c r="B32" s="22">
        <v>0.1164</v>
      </c>
      <c r="C32" s="22">
        <v>0.3664</v>
      </c>
      <c r="D32" s="22">
        <v>9.7000000000000003E-3</v>
      </c>
      <c r="E32" s="22">
        <v>0.10580000000000001</v>
      </c>
      <c r="F32" s="22" t="s">
        <v>36</v>
      </c>
      <c r="G32" s="22" t="s">
        <v>9</v>
      </c>
    </row>
    <row r="33" spans="1:7" x14ac:dyDescent="0.25">
      <c r="A33" s="22" t="s">
        <v>130</v>
      </c>
      <c r="B33" s="22">
        <v>0.1925</v>
      </c>
      <c r="C33" s="22">
        <v>0.28539999999999999</v>
      </c>
      <c r="D33" s="22">
        <v>1.6E-2</v>
      </c>
      <c r="E33" s="22">
        <v>8.2400000000000001E-2</v>
      </c>
      <c r="F33" s="22" t="s">
        <v>36</v>
      </c>
      <c r="G33" s="22" t="s">
        <v>17</v>
      </c>
    </row>
    <row r="34" spans="1:7" x14ac:dyDescent="0.25">
      <c r="A34" s="22" t="s">
        <v>131</v>
      </c>
      <c r="B34" s="22">
        <v>0.2051</v>
      </c>
      <c r="C34" s="22">
        <v>0.36940000000000001</v>
      </c>
      <c r="D34" s="22">
        <v>1.7100000000000001E-2</v>
      </c>
      <c r="E34" s="22">
        <v>0.1067</v>
      </c>
      <c r="F34" s="22" t="s">
        <v>36</v>
      </c>
      <c r="G34" s="22" t="s">
        <v>60</v>
      </c>
    </row>
    <row r="35" spans="1:7" x14ac:dyDescent="0.25">
      <c r="A35" s="22" t="s">
        <v>132</v>
      </c>
      <c r="B35" s="22">
        <v>0.55089999999999995</v>
      </c>
      <c r="C35" s="22">
        <v>0.48780000000000001</v>
      </c>
      <c r="D35" s="22">
        <v>4.5900000000000003E-2</v>
      </c>
      <c r="E35" s="22">
        <v>0.14080000000000001</v>
      </c>
      <c r="F35" s="22" t="s">
        <v>36</v>
      </c>
      <c r="G35" s="22" t="s">
        <v>24</v>
      </c>
    </row>
    <row r="36" spans="1:7" x14ac:dyDescent="0.25">
      <c r="A36" s="22" t="s">
        <v>133</v>
      </c>
      <c r="B36" s="22">
        <v>0.21429999999999999</v>
      </c>
      <c r="C36" s="22">
        <v>0.40479999999999999</v>
      </c>
      <c r="D36" s="22">
        <v>1.7899999999999999E-2</v>
      </c>
      <c r="E36" s="22">
        <v>0.1169</v>
      </c>
      <c r="F36" s="22" t="s">
        <v>36</v>
      </c>
      <c r="G36" s="22" t="s">
        <v>30</v>
      </c>
    </row>
    <row r="37" spans="1:7" x14ac:dyDescent="0.25">
      <c r="A37" s="22" t="s">
        <v>134</v>
      </c>
      <c r="B37" s="22">
        <v>0.56589999999999996</v>
      </c>
      <c r="C37" s="22">
        <v>0.70699999999999996</v>
      </c>
      <c r="D37" s="22">
        <v>4.7199999999999999E-2</v>
      </c>
      <c r="E37" s="22">
        <v>0.2041</v>
      </c>
      <c r="F37" s="22" t="s">
        <v>36</v>
      </c>
      <c r="G37" s="22" t="s">
        <v>85</v>
      </c>
    </row>
    <row r="38" spans="1:7" x14ac:dyDescent="0.25">
      <c r="A38" s="22" t="s">
        <v>142</v>
      </c>
      <c r="B38" s="22">
        <v>7.0499999999999993E-2</v>
      </c>
      <c r="C38" s="22">
        <v>0.35260000000000002</v>
      </c>
      <c r="D38" s="22">
        <v>5.8999999999999999E-3</v>
      </c>
      <c r="E38" s="22">
        <v>0.1018</v>
      </c>
      <c r="F38" s="22" t="s">
        <v>37</v>
      </c>
      <c r="G38" s="22" t="s">
        <v>87</v>
      </c>
    </row>
    <row r="39" spans="1:7" x14ac:dyDescent="0.25">
      <c r="A39" s="22" t="s">
        <v>144</v>
      </c>
      <c r="B39" s="22">
        <v>0.1928</v>
      </c>
      <c r="C39" s="22">
        <v>0.26650000000000001</v>
      </c>
      <c r="D39" s="22">
        <v>1.61E-2</v>
      </c>
      <c r="E39" s="22">
        <v>7.6899999999999996E-2</v>
      </c>
      <c r="F39" s="22" t="s">
        <v>37</v>
      </c>
      <c r="G39" s="22" t="s">
        <v>28</v>
      </c>
    </row>
    <row r="40" spans="1:7" x14ac:dyDescent="0.25">
      <c r="A40" s="22" t="s">
        <v>143</v>
      </c>
      <c r="B40" s="22">
        <v>0.17100000000000001</v>
      </c>
      <c r="C40" s="22">
        <v>0.24360000000000001</v>
      </c>
      <c r="D40" s="22">
        <v>1.43E-2</v>
      </c>
      <c r="E40" s="22">
        <v>7.0300000000000001E-2</v>
      </c>
      <c r="F40" s="22" t="s">
        <v>37</v>
      </c>
      <c r="G40" s="22" t="s">
        <v>25</v>
      </c>
    </row>
    <row r="41" spans="1:7" x14ac:dyDescent="0.25">
      <c r="A41" s="22" t="s">
        <v>108</v>
      </c>
      <c r="B41" s="22">
        <v>4.0899999999999999E-2</v>
      </c>
      <c r="C41" s="22">
        <v>0.25</v>
      </c>
      <c r="D41" s="22">
        <v>3.3999999999999998E-3</v>
      </c>
      <c r="E41" s="22">
        <v>7.22E-2</v>
      </c>
      <c r="F41" s="22" t="s">
        <v>88</v>
      </c>
      <c r="G41" s="22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walton</cp:lastModifiedBy>
  <dcterms:created xsi:type="dcterms:W3CDTF">2015-06-05T18:17:20Z</dcterms:created>
  <dcterms:modified xsi:type="dcterms:W3CDTF">2025-02-20T03:57:26Z</dcterms:modified>
</cp:coreProperties>
</file>