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0DFB1D01-8585-4E75-952F-3C66818A376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1" sheetId="2" r:id="rId2"/>
  </sheets>
  <definedNames>
    <definedName name="_xlnm._FilterDatabase" localSheetId="0" hidden="1">Positions!$A$1:$S$34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M5" i="1"/>
  <c r="O5" i="1" s="1"/>
  <c r="L6" i="1"/>
  <c r="N6" i="1" s="1"/>
  <c r="L8" i="1"/>
  <c r="N8" i="1" s="1"/>
  <c r="J14" i="1"/>
  <c r="L18" i="1"/>
  <c r="N18" i="1" s="1"/>
  <c r="M20" i="1"/>
  <c r="O20" i="1" s="1"/>
  <c r="J22" i="1"/>
  <c r="L24" i="1"/>
  <c r="N24" i="1" s="1"/>
  <c r="M26" i="1"/>
  <c r="O26" i="1" s="1"/>
  <c r="L29" i="1"/>
  <c r="N29" i="1" s="1"/>
  <c r="L32" i="1"/>
  <c r="N32" i="1" s="1"/>
  <c r="M32" i="1"/>
  <c r="O32" i="1" s="1"/>
  <c r="M34" i="1"/>
  <c r="O34" i="1" s="1"/>
  <c r="L2" i="1"/>
  <c r="N2" i="1" s="1"/>
  <c r="J7" i="1"/>
  <c r="M7" i="1"/>
  <c r="O7" i="1" s="1"/>
  <c r="L11" i="1"/>
  <c r="N11" i="1" s="1"/>
  <c r="L13" i="1"/>
  <c r="N13" i="1" s="1"/>
  <c r="J19" i="1"/>
  <c r="M19" i="1"/>
  <c r="O19" i="1" s="1"/>
  <c r="L23" i="1"/>
  <c r="N23" i="1" s="1"/>
  <c r="M23" i="1"/>
  <c r="O23" i="1" s="1"/>
  <c r="L25" i="1"/>
  <c r="N25" i="1" s="1"/>
  <c r="M25" i="1"/>
  <c r="O25" i="1" s="1"/>
  <c r="L9" i="1"/>
  <c r="N9" i="1" s="1"/>
  <c r="J9" i="1"/>
  <c r="G9" i="1"/>
  <c r="M30" i="1"/>
  <c r="O30" i="1" s="1"/>
  <c r="G30" i="1"/>
  <c r="L16" i="1"/>
  <c r="N16" i="1" s="1"/>
  <c r="M15" i="1"/>
  <c r="O15" i="1" s="1"/>
  <c r="M17" i="1"/>
  <c r="O17" i="1" s="1"/>
  <c r="L31" i="1"/>
  <c r="N31" i="1" s="1"/>
  <c r="J28" i="1"/>
  <c r="G19" i="1"/>
  <c r="D19" i="1"/>
  <c r="M21" i="1"/>
  <c r="O21" i="1" s="1"/>
  <c r="L21" i="1"/>
  <c r="N21" i="1" s="1"/>
  <c r="J21" i="1"/>
  <c r="G21" i="1"/>
  <c r="N20" i="1"/>
  <c r="G20" i="1"/>
  <c r="G7" i="1"/>
  <c r="L3" i="1"/>
  <c r="N3" i="1" s="1"/>
  <c r="M3" i="1"/>
  <c r="O3" i="1" s="1"/>
  <c r="L4" i="1"/>
  <c r="N4" i="1" s="1"/>
  <c r="L10" i="1"/>
  <c r="N10" i="1" s="1"/>
  <c r="M10" i="1"/>
  <c r="O10" i="1" s="1"/>
  <c r="L27" i="1"/>
  <c r="N27" i="1" s="1"/>
  <c r="M27" i="1"/>
  <c r="O27" i="1" s="1"/>
  <c r="M31" i="1"/>
  <c r="O31" i="1" s="1"/>
  <c r="L33" i="1"/>
  <c r="N33" i="1" s="1"/>
  <c r="M33" i="1"/>
  <c r="O33" i="1" s="1"/>
  <c r="J3" i="1"/>
  <c r="J10" i="1"/>
  <c r="J23" i="1"/>
  <c r="J24" i="1"/>
  <c r="J25" i="1"/>
  <c r="J27" i="1"/>
  <c r="J31" i="1"/>
  <c r="J33" i="1"/>
  <c r="G27" i="1"/>
  <c r="G4" i="1"/>
  <c r="G5" i="1"/>
  <c r="G34" i="1"/>
  <c r="G16" i="1"/>
  <c r="G18" i="1"/>
  <c r="G12" i="1"/>
  <c r="G15" i="1"/>
  <c r="G13" i="1"/>
  <c r="G17" i="1"/>
  <c r="G3" i="1"/>
  <c r="G6" i="1"/>
  <c r="G2" i="1"/>
  <c r="G14" i="1"/>
  <c r="G29" i="1"/>
  <c r="G10" i="1"/>
  <c r="G11" i="1"/>
  <c r="G8" i="1"/>
  <c r="G28" i="1"/>
  <c r="G22" i="1"/>
  <c r="G32" i="1"/>
  <c r="G26" i="1"/>
  <c r="G33" i="1"/>
  <c r="G24" i="1"/>
  <c r="G23" i="1"/>
  <c r="G25" i="1"/>
  <c r="G31" i="1"/>
  <c r="M24" i="1" l="1"/>
  <c r="O24" i="1" s="1"/>
  <c r="J6" i="1"/>
  <c r="M4" i="1"/>
  <c r="O4" i="1" s="1"/>
  <c r="M6" i="1"/>
  <c r="O6" i="1" s="1"/>
  <c r="J32" i="1"/>
  <c r="L19" i="1"/>
  <c r="N19" i="1" s="1"/>
  <c r="L7" i="1"/>
  <c r="N7" i="1" s="1"/>
  <c r="M11" i="1"/>
  <c r="O11" i="1" s="1"/>
  <c r="P11" i="1" s="1"/>
  <c r="J20" i="1"/>
  <c r="M16" i="1"/>
  <c r="O16" i="1" s="1"/>
  <c r="P16" i="1" s="1"/>
  <c r="M9" i="1"/>
  <c r="O9" i="1" s="1"/>
  <c r="P9" i="1" s="1"/>
  <c r="L14" i="1"/>
  <c r="N14" i="1" s="1"/>
  <c r="J11" i="1"/>
  <c r="J15" i="1"/>
  <c r="M14" i="1"/>
  <c r="O14" i="1" s="1"/>
  <c r="L17" i="1"/>
  <c r="N17" i="1" s="1"/>
  <c r="P17" i="1" s="1"/>
  <c r="J30" i="1"/>
  <c r="L30" i="1"/>
  <c r="N30" i="1" s="1"/>
  <c r="P30" i="1" s="1"/>
  <c r="M8" i="1"/>
  <c r="O8" i="1" s="1"/>
  <c r="P8" i="1" s="1"/>
  <c r="J8" i="1"/>
  <c r="L34" i="1"/>
  <c r="N34" i="1" s="1"/>
  <c r="P34" i="1" s="1"/>
  <c r="M22" i="1"/>
  <c r="O22" i="1" s="1"/>
  <c r="J16" i="1"/>
  <c r="J18" i="1"/>
  <c r="J17" i="1"/>
  <c r="M18" i="1"/>
  <c r="O18" i="1" s="1"/>
  <c r="P18" i="1" s="1"/>
  <c r="L28" i="1"/>
  <c r="N28" i="1" s="1"/>
  <c r="J34" i="1"/>
  <c r="L15" i="1"/>
  <c r="N15" i="1" s="1"/>
  <c r="P15" i="1" s="1"/>
  <c r="M28" i="1"/>
  <c r="O28" i="1" s="1"/>
  <c r="J13" i="1"/>
  <c r="L22" i="1"/>
  <c r="N22" i="1" s="1"/>
  <c r="M13" i="1"/>
  <c r="O13" i="1" s="1"/>
  <c r="P13" i="1" s="1"/>
  <c r="L26" i="1"/>
  <c r="N26" i="1" s="1"/>
  <c r="P26" i="1" s="1"/>
  <c r="J12" i="1"/>
  <c r="M12" i="1"/>
  <c r="O12" i="1" s="1"/>
  <c r="L12" i="1"/>
  <c r="N12" i="1" s="1"/>
  <c r="J26" i="1"/>
  <c r="M2" i="1"/>
  <c r="O2" i="1" s="1"/>
  <c r="P2" i="1" s="1"/>
  <c r="J2" i="1"/>
  <c r="J29" i="1"/>
  <c r="M29" i="1"/>
  <c r="O29" i="1" s="1"/>
  <c r="P29" i="1" s="1"/>
  <c r="L5" i="1"/>
  <c r="N5" i="1" s="1"/>
  <c r="P5" i="1" s="1"/>
  <c r="J5" i="1"/>
  <c r="P20" i="1"/>
  <c r="P19" i="1"/>
  <c r="P21" i="1"/>
  <c r="P7" i="1"/>
  <c r="P25" i="1"/>
  <c r="P31" i="1"/>
  <c r="P3" i="1"/>
  <c r="P24" i="1"/>
  <c r="P4" i="1"/>
  <c r="P33" i="1"/>
  <c r="P10" i="1"/>
  <c r="P27" i="1"/>
  <c r="P23" i="1"/>
  <c r="P32" i="1"/>
  <c r="P6" i="1"/>
  <c r="P14" i="1" l="1"/>
  <c r="K9" i="1"/>
  <c r="K12" i="1"/>
  <c r="K30" i="1"/>
  <c r="K3" i="1"/>
  <c r="P28" i="1"/>
  <c r="P22" i="1"/>
  <c r="K24" i="1"/>
  <c r="P12" i="1"/>
  <c r="K28" i="1"/>
  <c r="K25" i="1"/>
  <c r="K29" i="1"/>
  <c r="K18" i="1"/>
  <c r="K4" i="1"/>
  <c r="K10" i="1"/>
  <c r="K34" i="1"/>
  <c r="K14" i="1"/>
  <c r="K2" i="1"/>
  <c r="K15" i="1"/>
  <c r="K27" i="1"/>
  <c r="K26" i="1"/>
  <c r="K31" i="1"/>
  <c r="K32" i="1"/>
  <c r="K11" i="1"/>
  <c r="K17" i="1"/>
  <c r="K22" i="1"/>
  <c r="K20" i="1"/>
  <c r="K8" i="1"/>
  <c r="K23" i="1"/>
  <c r="K19" i="1"/>
  <c r="K7" i="1"/>
  <c r="K13" i="1"/>
  <c r="K16" i="1"/>
  <c r="K33" i="1"/>
  <c r="K6" i="1"/>
  <c r="K21" i="1"/>
  <c r="K5" i="1"/>
  <c r="Q5" i="1" l="1"/>
  <c r="Q9" i="1"/>
  <c r="Q6" i="1"/>
  <c r="Q30" i="1"/>
  <c r="Q23" i="1"/>
  <c r="Q12" i="1"/>
  <c r="Q15" i="1"/>
  <c r="Q13" i="1"/>
  <c r="Q8" i="1"/>
  <c r="Q21" i="1"/>
  <c r="Q16" i="1"/>
  <c r="Q7" i="1"/>
  <c r="Q24" i="1"/>
  <c r="Q10" i="1"/>
  <c r="Q22" i="1"/>
  <c r="Q14" i="1"/>
  <c r="Q19" i="1"/>
  <c r="Q18" i="1"/>
  <c r="Q25" i="1"/>
  <c r="Q28" i="1"/>
  <c r="Q34" i="1"/>
  <c r="Q27" i="1"/>
  <c r="Q29" i="1"/>
  <c r="Q4" i="1"/>
  <c r="Q26" i="1"/>
  <c r="Q20" i="1"/>
  <c r="Q11" i="1"/>
  <c r="Q32" i="1"/>
  <c r="Q17" i="1"/>
  <c r="Q3" i="1"/>
  <c r="Q2" i="1"/>
  <c r="Q31" i="1"/>
  <c r="Q33" i="1"/>
  <c r="R9" i="1" l="1"/>
  <c r="S9" i="1"/>
  <c r="R5" i="1"/>
  <c r="R12" i="1"/>
  <c r="R33" i="1"/>
  <c r="R22" i="1"/>
  <c r="R13" i="1"/>
  <c r="S29" i="1"/>
  <c r="R34" i="1"/>
  <c r="R7" i="1"/>
  <c r="R24" i="1"/>
  <c r="R25" i="1"/>
  <c r="R31" i="1"/>
  <c r="R20" i="1"/>
  <c r="R6" i="1"/>
  <c r="R27" i="1"/>
  <c r="R11" i="1"/>
  <c r="R8" i="1"/>
  <c r="R3" i="1"/>
  <c r="R32" i="1"/>
  <c r="S11" i="1"/>
  <c r="R26" i="1"/>
  <c r="S20" i="1"/>
  <c r="R28" i="1"/>
  <c r="S7" i="1"/>
  <c r="R19" i="1"/>
  <c r="R10" i="1"/>
  <c r="S6" i="1"/>
  <c r="R21" i="1"/>
  <c r="S15" i="1"/>
  <c r="R15" i="1"/>
  <c r="R18" i="1"/>
  <c r="R30" i="1"/>
  <c r="S2" i="1"/>
  <c r="R14" i="1"/>
  <c r="R16" i="1"/>
  <c r="S5" i="1"/>
  <c r="R23" i="1"/>
  <c r="R4" i="1"/>
  <c r="S26" i="1"/>
  <c r="S12" i="1"/>
  <c r="S22" i="1"/>
  <c r="S16" i="1"/>
  <c r="S3" i="1"/>
  <c r="S32" i="1"/>
  <c r="S21" i="1"/>
  <c r="S24" i="1"/>
  <c r="S28" i="1"/>
  <c r="S18" i="1"/>
  <c r="S23" i="1"/>
  <c r="R2" i="1"/>
  <c r="S19" i="1"/>
  <c r="R17" i="1"/>
  <c r="S4" i="1"/>
  <c r="R29" i="1"/>
  <c r="S30" i="1"/>
  <c r="S17" i="1"/>
  <c r="S13" i="1"/>
  <c r="S31" i="1"/>
  <c r="S14" i="1"/>
  <c r="S34" i="1"/>
  <c r="S25" i="1"/>
  <c r="S27" i="1"/>
  <c r="S8" i="1"/>
  <c r="S33" i="1"/>
  <c r="S10" i="1"/>
</calcChain>
</file>

<file path=xl/sharedStrings.xml><?xml version="1.0" encoding="utf-8"?>
<sst xmlns="http://schemas.openxmlformats.org/spreadsheetml/2006/main" count="118" uniqueCount="90">
  <si>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</si>
  <si>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</si>
  <si>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</si>
  <si>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</si>
  <si>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</si>
  <si>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</si>
  <si>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</si>
  <si>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</si>
  <si>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</si>
  <si>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</si>
  <si>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</si>
  <si>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</si>
  <si>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</si>
  <si>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</si>
  <si>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</si>
  <si>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</si>
  <si>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</si>
  <si>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</si>
  <si>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</si>
  <si>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</si>
  <si>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</si>
  <si>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</si>
  <si>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</si>
  <si>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</si>
  <si>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</si>
  <si>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</si>
  <si>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</si>
  <si>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</si>
  <si>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</si>
  <si>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</si>
  <si>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</si>
  <si>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</si>
  <si>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</si>
  <si>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</si>
  <si>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</si>
  <si>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</si>
  <si>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</si>
  <si>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</si>
  <si>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</si>
  <si>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</si>
  <si>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</si>
  <si>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</si>
  <si>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</si>
  <si>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</si>
  <si>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</si>
  <si>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</si>
  <si>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</si>
  <si>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</si>
  <si>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</si>
  <si>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</si>
  <si>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</si>
  <si>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</si>
  <si>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SEDG</t>
  </si>
  <si>
    <t>SolarEdge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</si>
  <si>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</si>
  <si>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</si>
  <si>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</si>
  <si>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</si>
  <si>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</si>
  <si>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</si>
  <si>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</si>
  <si>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</si>
  <si>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</si>
  <si>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</si>
  <si>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</si>
  <si>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</si>
  <si>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</si>
  <si>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</si>
  <si>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Expected Return QoQ%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</si>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</sst>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selection activeCell="G15" sqref="G15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0.5703125" bestFit="1" customWidth="1"/>
    <col min="15" max="15" width="13.28515625" bestFit="1" customWidth="1"/>
    <col min="16" max="16" width="12.42578125" bestFit="1" customWidth="1"/>
    <col min="17" max="17" width="14.7109375" bestFit="1" customWidth="1"/>
    <col min="18" max="18" width="12.85546875" bestFit="1" customWidth="1"/>
    <col min="19" max="19" width="15.85546875" bestFit="1" customWidth="1"/>
  </cols>
  <sheetData>
    <row r="1" spans="1:19" ht="45" customHeight="1" x14ac:dyDescent="0.25">
      <c r="A1" s="15" t="s">
        <v>35</v>
      </c>
      <c r="B1" s="15" t="s">
        <v>0</v>
      </c>
      <c r="C1" s="15" t="s">
        <v>85</v>
      </c>
      <c r="D1" s="16" t="s">
        <v>1</v>
      </c>
      <c r="E1" s="17" t="s">
        <v>2</v>
      </c>
      <c r="F1" s="18" t="s">
        <v>3</v>
      </c>
      <c r="G1" s="18" t="s">
        <v>4</v>
      </c>
      <c r="H1" s="15" t="s">
        <v>68</v>
      </c>
      <c r="I1" s="15" t="s">
        <v>63</v>
      </c>
      <c r="J1" s="15" t="s">
        <v>64</v>
      </c>
      <c r="K1" s="15" t="s">
        <v>65</v>
      </c>
      <c r="L1" s="15" t="s">
        <v>66</v>
      </c>
      <c r="M1" s="15" t="s">
        <v>67</v>
      </c>
      <c r="N1" s="15" t="s">
        <v>69</v>
      </c>
      <c r="O1" s="15" t="s">
        <v>70</v>
      </c>
      <c r="P1" s="15" t="s">
        <v>71</v>
      </c>
      <c r="Q1" s="15" t="s">
        <v>72</v>
      </c>
      <c r="R1" s="15" t="s">
        <v>84</v>
      </c>
      <c r="S1" s="15" t="s">
        <v>73</v>
      </c>
    </row>
    <row r="2" spans="1:19" x14ac:dyDescent="0.25">
      <c r="A2" t="s">
        <v>39</v>
      </c>
      <c r="B2" s="6" t="s">
        <v>33</v>
      </c>
      <c r="C2" t="s">
        <v>34</v>
      </c>
      <c r="D2" s="8">
        <v>45562</v>
      </c>
      <c r="E2" s="2">
        <v>4.0300000000000002E-2</v>
      </c>
      <c r="F2" s="1">
        <v>668.82</v>
      </c>
      <c r="G2" s="1">
        <f t="shared" ref="G2:G34" si="0">E2*F2</f>
        <v>26.953446000000003</v>
      </c>
      <c r="H2" s="11">
        <v>8.1299999999999997E-2</v>
      </c>
      <c r="I2" s="11">
        <v>0.29920000000000002</v>
      </c>
      <c r="J2" s="9">
        <f t="shared" ref="J2:J34" si="1">IFERROR(H2/I2,"")</f>
        <v>0.27172459893048123</v>
      </c>
      <c r="K2" s="9">
        <f t="shared" ref="K2:K34" si="2">IFERROR(J2/SUBTOTAL(9,$J$2:$J$1048576),"")</f>
        <v>2.6909731162532133E-2</v>
      </c>
      <c r="L2" s="12">
        <f t="shared" ref="L2:L19" si="3">F2/(1-(F2*(1+H2)-F2)/(F2*(1+H2)))</f>
        <v>723.195066</v>
      </c>
      <c r="M2" s="12">
        <f t="shared" ref="M2:M34" si="4">F2/(1+I2-H2)</f>
        <v>549.15838738812715</v>
      </c>
      <c r="N2" s="12">
        <f t="shared" ref="N2:N34" si="5">L2-F2</f>
        <v>54.375065999999947</v>
      </c>
      <c r="O2" s="12">
        <f t="shared" ref="O2:O34" si="6">0.5*(M2-F2)</f>
        <v>-59.830806305936449</v>
      </c>
      <c r="P2" s="14">
        <f t="shared" ref="P2:P34" si="7">N2+O2</f>
        <v>-5.4557403059365015</v>
      </c>
      <c r="Q2" s="12">
        <f t="shared" ref="Q2:Q34" si="8">MAX($P$2:$P$280)-P2</f>
        <v>258.62331648914221</v>
      </c>
      <c r="R2" s="9">
        <f t="shared" ref="R2:R34" si="9">IFERROR((SUBTOTAL(109,$Q$2:$Q$1048576)/Q2)/SUBTOTAL(109,$Q$2:$Q$1048576),0)</f>
        <v>3.8666273929790201E-3</v>
      </c>
      <c r="S2" s="9">
        <f t="shared" ref="S2:S34" si="10">Q2/MAX($Q$2:$Q$28)</f>
        <v>0.95148769032138802</v>
      </c>
    </row>
    <row r="3" spans="1:19" x14ac:dyDescent="0.25">
      <c r="A3" t="s">
        <v>39</v>
      </c>
      <c r="B3" s="6" t="s">
        <v>42</v>
      </c>
      <c r="C3" t="s">
        <v>43</v>
      </c>
      <c r="D3" s="8">
        <v>45580</v>
      </c>
      <c r="E3" s="2">
        <v>0.19139999999999999</v>
      </c>
      <c r="F3" s="1">
        <v>135.82</v>
      </c>
      <c r="G3" s="1">
        <f t="shared" si="0"/>
        <v>25.995947999999999</v>
      </c>
      <c r="H3" s="11">
        <v>0.1221</v>
      </c>
      <c r="I3" s="11">
        <v>0.29170000000000001</v>
      </c>
      <c r="J3" s="9">
        <f t="shared" si="1"/>
        <v>0.41858073363044224</v>
      </c>
      <c r="K3" s="9">
        <f t="shared" si="2"/>
        <v>4.1453350400169175E-2</v>
      </c>
      <c r="L3" s="12">
        <f t="shared" si="3"/>
        <v>152.40362200000001</v>
      </c>
      <c r="M3" s="12">
        <f t="shared" si="4"/>
        <v>116.125170998632</v>
      </c>
      <c r="N3" s="12">
        <f t="shared" si="5"/>
        <v>16.58362200000002</v>
      </c>
      <c r="O3" s="12">
        <f t="shared" si="6"/>
        <v>-9.8474145006839962</v>
      </c>
      <c r="P3" s="14">
        <f t="shared" si="7"/>
        <v>6.7362074993160235</v>
      </c>
      <c r="Q3" s="12">
        <f t="shared" si="8"/>
        <v>246.43136868388967</v>
      </c>
      <c r="R3" s="9">
        <f t="shared" si="9"/>
        <v>4.0579249522521297E-3</v>
      </c>
      <c r="S3" s="9">
        <f t="shared" si="10"/>
        <v>0.90663292465208434</v>
      </c>
    </row>
    <row r="4" spans="1:19" x14ac:dyDescent="0.25">
      <c r="A4" t="s">
        <v>39</v>
      </c>
      <c r="B4" s="6" t="s">
        <v>60</v>
      </c>
      <c r="C4" t="s">
        <v>61</v>
      </c>
      <c r="D4" s="8">
        <v>45580</v>
      </c>
      <c r="E4" s="2">
        <v>0.18010000000000001</v>
      </c>
      <c r="F4" s="1">
        <v>133.19999999999999</v>
      </c>
      <c r="G4" s="1">
        <f t="shared" si="0"/>
        <v>23.989319999999999</v>
      </c>
      <c r="H4" s="11">
        <v>8.1299999999999997E-2</v>
      </c>
      <c r="I4" s="11">
        <v>0.25829999999999997</v>
      </c>
      <c r="J4" s="9">
        <f t="shared" si="1"/>
        <v>0.31475029036004648</v>
      </c>
      <c r="K4" s="9">
        <f t="shared" si="2"/>
        <v>3.1170699046959412E-2</v>
      </c>
      <c r="L4" s="12">
        <f t="shared" si="3"/>
        <v>144.02915999999999</v>
      </c>
      <c r="M4" s="12">
        <f t="shared" si="4"/>
        <v>113.16907391673746</v>
      </c>
      <c r="N4" s="12">
        <f t="shared" si="5"/>
        <v>10.829160000000002</v>
      </c>
      <c r="O4" s="12">
        <f t="shared" si="6"/>
        <v>-10.015463041631264</v>
      </c>
      <c r="P4" s="14">
        <f t="shared" si="7"/>
        <v>0.81369695836873746</v>
      </c>
      <c r="Q4" s="12">
        <f t="shared" si="8"/>
        <v>252.35387922483699</v>
      </c>
      <c r="R4" s="9">
        <f t="shared" si="9"/>
        <v>3.9626892325639301E-3</v>
      </c>
      <c r="S4" s="9">
        <f t="shared" si="10"/>
        <v>0.92842212738913377</v>
      </c>
    </row>
    <row r="5" spans="1:19" x14ac:dyDescent="0.25">
      <c r="A5" t="s">
        <v>39</v>
      </c>
      <c r="B5" s="6" t="s">
        <v>59</v>
      </c>
      <c r="C5" t="s">
        <v>58</v>
      </c>
      <c r="D5" s="8">
        <v>45574</v>
      </c>
      <c r="E5" s="2">
        <v>9.9999999999999998E-46</v>
      </c>
      <c r="F5" s="1">
        <v>47.42</v>
      </c>
      <c r="G5" s="1">
        <f t="shared" si="0"/>
        <v>4.7420000000000006E-44</v>
      </c>
      <c r="H5" s="11">
        <v>-6.9999999999999999E-4</v>
      </c>
      <c r="I5" s="11">
        <v>0.38319999999999999</v>
      </c>
      <c r="J5" s="9">
        <f t="shared" si="1"/>
        <v>-1.826722338204593E-3</v>
      </c>
      <c r="K5" s="9">
        <f t="shared" si="2"/>
        <v>-1.8090598798621858E-4</v>
      </c>
      <c r="L5" s="12">
        <f t="shared" si="3"/>
        <v>47.386806</v>
      </c>
      <c r="M5" s="12">
        <f t="shared" si="4"/>
        <v>34.265481609942917</v>
      </c>
      <c r="N5" s="12">
        <f t="shared" si="5"/>
        <v>-3.3194000000001722E-2</v>
      </c>
      <c r="O5" s="12">
        <f t="shared" si="6"/>
        <v>-6.5772591950285424</v>
      </c>
      <c r="P5" s="14">
        <f t="shared" si="7"/>
        <v>-6.6104531950285441</v>
      </c>
      <c r="Q5" s="12">
        <f t="shared" si="8"/>
        <v>259.77802937823424</v>
      </c>
      <c r="R5" s="9">
        <f t="shared" si="9"/>
        <v>3.8494402409374271E-3</v>
      </c>
      <c r="S5" s="9">
        <f t="shared" si="10"/>
        <v>0.95573593489090902</v>
      </c>
    </row>
    <row r="6" spans="1:19" x14ac:dyDescent="0.25">
      <c r="A6" t="s">
        <v>39</v>
      </c>
      <c r="B6" s="6" t="s">
        <v>42</v>
      </c>
      <c r="C6" t="s">
        <v>41</v>
      </c>
      <c r="D6" s="8">
        <v>45507</v>
      </c>
      <c r="E6" s="2">
        <v>9.9999999999999998E-46</v>
      </c>
      <c r="F6" s="1">
        <v>41.8</v>
      </c>
      <c r="G6" s="1">
        <f t="shared" si="0"/>
        <v>4.1799999999999994E-44</v>
      </c>
      <c r="H6" s="11">
        <v>7.3499999999999996E-2</v>
      </c>
      <c r="I6" s="11">
        <v>0.4546</v>
      </c>
      <c r="J6" s="9">
        <f t="shared" si="1"/>
        <v>0.16168059832820061</v>
      </c>
      <c r="K6" s="9">
        <f t="shared" si="2"/>
        <v>1.6011731923918807E-2</v>
      </c>
      <c r="L6" s="12">
        <f t="shared" si="3"/>
        <v>44.872299999999996</v>
      </c>
      <c r="M6" s="12">
        <f t="shared" si="4"/>
        <v>30.26573021504597</v>
      </c>
      <c r="N6" s="12">
        <f t="shared" si="5"/>
        <v>3.0722999999999985</v>
      </c>
      <c r="O6" s="12">
        <f t="shared" si="6"/>
        <v>-5.7671348924770136</v>
      </c>
      <c r="P6" s="14">
        <f t="shared" si="7"/>
        <v>-2.6948348924770151</v>
      </c>
      <c r="Q6" s="12">
        <f t="shared" si="8"/>
        <v>255.86241107568273</v>
      </c>
      <c r="R6" s="9">
        <f t="shared" si="9"/>
        <v>3.9083505693386332E-3</v>
      </c>
      <c r="S6" s="9">
        <f t="shared" si="10"/>
        <v>0.94133018576723593</v>
      </c>
    </row>
    <row r="7" spans="1:19" x14ac:dyDescent="0.25">
      <c r="A7" t="s">
        <v>74</v>
      </c>
      <c r="B7" s="5" t="s">
        <v>75</v>
      </c>
      <c r="C7" t="s">
        <v>76</v>
      </c>
      <c r="D7" s="8">
        <v>45562</v>
      </c>
      <c r="E7" s="2">
        <v>1E-35</v>
      </c>
      <c r="F7" s="1">
        <v>56</v>
      </c>
      <c r="G7" s="1">
        <f t="shared" si="0"/>
        <v>5.5999999999999999E-34</v>
      </c>
      <c r="H7" s="11">
        <v>-0.1119</v>
      </c>
      <c r="I7" s="11">
        <v>0.49480000000000002</v>
      </c>
      <c r="J7" s="9">
        <f t="shared" si="1"/>
        <v>-0.2261519805982215</v>
      </c>
      <c r="K7" s="9">
        <f t="shared" si="2"/>
        <v>-2.2396533194734065E-2</v>
      </c>
      <c r="L7" s="12">
        <f t="shared" si="3"/>
        <v>49.733599999999996</v>
      </c>
      <c r="M7" s="12">
        <f t="shared" si="4"/>
        <v>34.854048671189396</v>
      </c>
      <c r="N7" s="12">
        <f t="shared" si="5"/>
        <v>-6.2664000000000044</v>
      </c>
      <c r="O7" s="12">
        <f t="shared" si="6"/>
        <v>-10.572975664405302</v>
      </c>
      <c r="P7" s="14">
        <f t="shared" si="7"/>
        <v>-16.839375664405306</v>
      </c>
      <c r="Q7" s="12">
        <f t="shared" si="8"/>
        <v>270.00695184761099</v>
      </c>
      <c r="R7" s="9">
        <f t="shared" si="9"/>
        <v>3.7036083447376912E-3</v>
      </c>
      <c r="S7" s="9">
        <f t="shared" si="10"/>
        <v>0.99336863540293907</v>
      </c>
    </row>
    <row r="8" spans="1:19" x14ac:dyDescent="0.25">
      <c r="A8" t="s">
        <v>37</v>
      </c>
      <c r="B8" s="4" t="s">
        <v>7</v>
      </c>
      <c r="C8" t="s">
        <v>25</v>
      </c>
      <c r="D8" s="8">
        <v>45511</v>
      </c>
      <c r="E8" s="2">
        <v>0.14610000000000001</v>
      </c>
      <c r="F8" s="1">
        <v>273.45999999999998</v>
      </c>
      <c r="G8" s="1">
        <f t="shared" si="0"/>
        <v>39.952506</v>
      </c>
      <c r="H8" s="11">
        <v>0.109</v>
      </c>
      <c r="I8" s="11">
        <v>0.28029999999999999</v>
      </c>
      <c r="J8" s="9">
        <f t="shared" si="1"/>
        <v>0.38886906885479844</v>
      </c>
      <c r="K8" s="9">
        <f t="shared" si="2"/>
        <v>3.8510911936184528E-2</v>
      </c>
      <c r="L8" s="12">
        <f t="shared" si="3"/>
        <v>303.26713999999998</v>
      </c>
      <c r="M8" s="12">
        <f t="shared" si="4"/>
        <v>233.46708785110559</v>
      </c>
      <c r="N8" s="12">
        <f t="shared" si="5"/>
        <v>29.807140000000004</v>
      </c>
      <c r="O8" s="12">
        <f t="shared" si="6"/>
        <v>-19.996456074447195</v>
      </c>
      <c r="P8" s="14">
        <f t="shared" si="7"/>
        <v>9.8106839255528087</v>
      </c>
      <c r="Q8" s="12">
        <f t="shared" si="8"/>
        <v>243.3568922576529</v>
      </c>
      <c r="R8" s="9">
        <f t="shared" si="9"/>
        <v>4.1091911994884248E-3</v>
      </c>
      <c r="S8" s="9">
        <f t="shared" si="10"/>
        <v>0.89532177717528516</v>
      </c>
    </row>
    <row r="9" spans="1:19" x14ac:dyDescent="0.25">
      <c r="A9" t="s">
        <v>37</v>
      </c>
      <c r="B9" s="4" t="s">
        <v>88</v>
      </c>
      <c r="C9" t="s">
        <v>89</v>
      </c>
      <c r="D9" s="8">
        <v>45623</v>
      </c>
      <c r="E9" s="2">
        <v>1.9595</v>
      </c>
      <c r="F9" s="1">
        <v>15.3</v>
      </c>
      <c r="G9" s="1">
        <f t="shared" si="0"/>
        <v>29.980350000000001</v>
      </c>
      <c r="H9" s="11">
        <v>9.98E-2</v>
      </c>
      <c r="I9" s="11">
        <v>0.41930000000000001</v>
      </c>
      <c r="J9" s="9">
        <f t="shared" si="1"/>
        <v>0.23801574051991414</v>
      </c>
      <c r="K9" s="9">
        <f t="shared" si="2"/>
        <v>2.3571438195334509E-2</v>
      </c>
      <c r="L9" s="12">
        <f t="shared" si="3"/>
        <v>16.826940000000004</v>
      </c>
      <c r="M9" s="12">
        <f t="shared" si="4"/>
        <v>11.595301250473664</v>
      </c>
      <c r="N9" s="12">
        <f t="shared" si="5"/>
        <v>1.5269400000000033</v>
      </c>
      <c r="O9" s="12">
        <f t="shared" si="6"/>
        <v>-1.8523493747631683</v>
      </c>
      <c r="P9" s="14">
        <f t="shared" si="7"/>
        <v>-0.325409374763165</v>
      </c>
      <c r="Q9" s="12">
        <f t="shared" si="8"/>
        <v>253.49298555796886</v>
      </c>
      <c r="R9" s="9">
        <f t="shared" si="9"/>
        <v>3.9448823319464974E-3</v>
      </c>
      <c r="S9" s="9">
        <f t="shared" si="10"/>
        <v>0.93261295468442762</v>
      </c>
    </row>
    <row r="10" spans="1:19" x14ac:dyDescent="0.25">
      <c r="A10" t="s">
        <v>37</v>
      </c>
      <c r="B10" s="4" t="s">
        <v>8</v>
      </c>
      <c r="C10" t="s">
        <v>28</v>
      </c>
      <c r="D10" s="8">
        <v>45511</v>
      </c>
      <c r="E10" s="2">
        <v>3.2899999999999999E-2</v>
      </c>
      <c r="F10" s="1">
        <v>455.4</v>
      </c>
      <c r="G10" s="1">
        <f t="shared" si="0"/>
        <v>14.982659999999999</v>
      </c>
      <c r="H10" s="11">
        <v>0.1205</v>
      </c>
      <c r="I10" s="11">
        <v>0.31109999999999999</v>
      </c>
      <c r="J10" s="9">
        <f t="shared" si="1"/>
        <v>0.38733526197364193</v>
      </c>
      <c r="K10" s="9">
        <f t="shared" si="2"/>
        <v>3.8359014275871031E-2</v>
      </c>
      <c r="L10" s="12">
        <f t="shared" si="3"/>
        <v>510.27569999999997</v>
      </c>
      <c r="M10" s="12">
        <f t="shared" si="4"/>
        <v>382.49622039307911</v>
      </c>
      <c r="N10" s="12">
        <f t="shared" si="5"/>
        <v>54.875699999999995</v>
      </c>
      <c r="O10" s="12">
        <f t="shared" si="6"/>
        <v>-36.451889803460432</v>
      </c>
      <c r="P10" s="14">
        <f t="shared" si="7"/>
        <v>18.423810196539563</v>
      </c>
      <c r="Q10" s="12">
        <f t="shared" si="8"/>
        <v>234.74376598666615</v>
      </c>
      <c r="R10" s="9">
        <f t="shared" si="9"/>
        <v>4.2599640326840531E-3</v>
      </c>
      <c r="S10" s="9">
        <f t="shared" si="10"/>
        <v>0.86363366902912075</v>
      </c>
    </row>
    <row r="11" spans="1:19" x14ac:dyDescent="0.25">
      <c r="A11" t="s">
        <v>40</v>
      </c>
      <c r="B11" s="7" t="s">
        <v>26</v>
      </c>
      <c r="C11" t="s">
        <v>27</v>
      </c>
      <c r="D11" s="8">
        <v>45511</v>
      </c>
      <c r="E11" s="2">
        <v>0.1933</v>
      </c>
      <c r="F11" s="1">
        <v>77.53</v>
      </c>
      <c r="G11" s="1">
        <f t="shared" si="0"/>
        <v>14.986549</v>
      </c>
      <c r="H11" s="11">
        <v>8.0100000000000005E-2</v>
      </c>
      <c r="I11" s="11">
        <v>0.30659999999999998</v>
      </c>
      <c r="J11" s="9">
        <f t="shared" si="1"/>
        <v>0.26125244618395305</v>
      </c>
      <c r="K11" s="9">
        <f t="shared" si="2"/>
        <v>2.5872641343607998E-2</v>
      </c>
      <c r="L11" s="12">
        <f t="shared" si="3"/>
        <v>83.740153000000007</v>
      </c>
      <c r="M11" s="12">
        <f t="shared" si="4"/>
        <v>63.212392988177747</v>
      </c>
      <c r="N11" s="12">
        <f t="shared" si="5"/>
        <v>6.2101530000000054</v>
      </c>
      <c r="O11" s="12">
        <f t="shared" si="6"/>
        <v>-7.158803505911127</v>
      </c>
      <c r="P11" s="14">
        <f t="shared" si="7"/>
        <v>-0.94865050591112166</v>
      </c>
      <c r="Q11" s="12">
        <f t="shared" si="8"/>
        <v>254.11622668911684</v>
      </c>
      <c r="R11" s="9">
        <f t="shared" si="9"/>
        <v>3.9352071807023546E-3</v>
      </c>
      <c r="S11" s="9">
        <f t="shared" si="10"/>
        <v>0.9349058889505234</v>
      </c>
    </row>
    <row r="12" spans="1:19" x14ac:dyDescent="0.25">
      <c r="A12" t="s">
        <v>40</v>
      </c>
      <c r="B12" s="7" t="s">
        <v>51</v>
      </c>
      <c r="C12" s="13" t="s">
        <v>50</v>
      </c>
      <c r="D12" s="8">
        <v>45511</v>
      </c>
      <c r="E12" s="2">
        <v>1</v>
      </c>
      <c r="F12" s="1">
        <v>10.4</v>
      </c>
      <c r="G12" s="1">
        <f t="shared" si="0"/>
        <v>10.4</v>
      </c>
      <c r="H12" s="11">
        <v>-1.4254</v>
      </c>
      <c r="I12" s="11">
        <v>1.3364</v>
      </c>
      <c r="J12" s="9">
        <f t="shared" si="1"/>
        <v>-1.0665968272972164</v>
      </c>
      <c r="K12" s="9">
        <f t="shared" si="2"/>
        <v>-0.10562839726086398</v>
      </c>
      <c r="L12" s="12">
        <f t="shared" si="3"/>
        <v>-4.4241600000000005</v>
      </c>
      <c r="M12" s="12">
        <f t="shared" si="4"/>
        <v>2.7646339518315699</v>
      </c>
      <c r="N12" s="12">
        <f t="shared" si="5"/>
        <v>-14.824160000000001</v>
      </c>
      <c r="O12" s="12">
        <f t="shared" si="6"/>
        <v>-3.8176830240842152</v>
      </c>
      <c r="P12" s="14">
        <f t="shared" si="7"/>
        <v>-18.641843024084217</v>
      </c>
      <c r="Q12" s="12">
        <f t="shared" si="8"/>
        <v>271.80941920728992</v>
      </c>
      <c r="R12" s="9">
        <f t="shared" si="9"/>
        <v>3.679048367479018E-3</v>
      </c>
      <c r="S12" s="9">
        <f t="shared" si="10"/>
        <v>1</v>
      </c>
    </row>
    <row r="13" spans="1:19" x14ac:dyDescent="0.25">
      <c r="A13" t="s">
        <v>40</v>
      </c>
      <c r="B13" s="7" t="s">
        <v>47</v>
      </c>
      <c r="C13" t="s">
        <v>46</v>
      </c>
      <c r="D13" s="8">
        <v>45511</v>
      </c>
      <c r="E13" s="2">
        <v>1E-22</v>
      </c>
      <c r="F13" s="1">
        <v>187.36</v>
      </c>
      <c r="G13" s="1">
        <f t="shared" si="0"/>
        <v>1.8736000000000003E-20</v>
      </c>
      <c r="H13" s="11">
        <v>0.24759999999999999</v>
      </c>
      <c r="I13" s="11">
        <v>0.52890000000000004</v>
      </c>
      <c r="J13" s="9">
        <f t="shared" si="1"/>
        <v>0.46814142560030247</v>
      </c>
      <c r="K13" s="9">
        <f t="shared" si="2"/>
        <v>4.6361499689513468E-2</v>
      </c>
      <c r="L13" s="12">
        <f t="shared" si="3"/>
        <v>233.75033600000003</v>
      </c>
      <c r="M13" s="12">
        <f t="shared" si="4"/>
        <v>146.22648872239131</v>
      </c>
      <c r="N13" s="12">
        <f t="shared" si="5"/>
        <v>46.390336000000019</v>
      </c>
      <c r="O13" s="12">
        <f t="shared" si="6"/>
        <v>-20.566755638804352</v>
      </c>
      <c r="P13" s="14">
        <f t="shared" si="7"/>
        <v>25.823580361195667</v>
      </c>
      <c r="Q13" s="12">
        <f t="shared" si="8"/>
        <v>227.34399582201004</v>
      </c>
      <c r="R13" s="9">
        <f t="shared" si="9"/>
        <v>4.3986206734173451E-3</v>
      </c>
      <c r="S13" s="9">
        <f t="shared" si="10"/>
        <v>0.83640955668512273</v>
      </c>
    </row>
    <row r="14" spans="1:19" x14ac:dyDescent="0.25">
      <c r="A14" t="s">
        <v>40</v>
      </c>
      <c r="B14" s="7" t="s">
        <v>31</v>
      </c>
      <c r="C14" s="13" t="s">
        <v>32</v>
      </c>
      <c r="D14" s="8">
        <v>45511</v>
      </c>
      <c r="E14" s="2">
        <v>1E-22</v>
      </c>
      <c r="F14" s="1">
        <v>113.58</v>
      </c>
      <c r="G14" s="1">
        <f t="shared" si="0"/>
        <v>1.1358E-20</v>
      </c>
      <c r="H14" s="11">
        <v>9.5000000000000001E-2</v>
      </c>
      <c r="I14" s="11">
        <v>0.24779999999999999</v>
      </c>
      <c r="J14" s="9">
        <f t="shared" si="1"/>
        <v>0.38337368845843423</v>
      </c>
      <c r="K14" s="9">
        <f t="shared" si="2"/>
        <v>3.7966687343769748E-2</v>
      </c>
      <c r="L14" s="12">
        <f t="shared" si="3"/>
        <v>124.37009999999999</v>
      </c>
      <c r="M14" s="12">
        <f t="shared" si="4"/>
        <v>98.525329632199856</v>
      </c>
      <c r="N14" s="12">
        <f t="shared" si="5"/>
        <v>10.790099999999995</v>
      </c>
      <c r="O14" s="12">
        <f t="shared" si="6"/>
        <v>-7.5273351839000711</v>
      </c>
      <c r="P14" s="14">
        <f t="shared" si="7"/>
        <v>3.2627648160999243</v>
      </c>
      <c r="Q14" s="12">
        <f t="shared" si="8"/>
        <v>249.90481136710579</v>
      </c>
      <c r="R14" s="9">
        <f t="shared" si="9"/>
        <v>4.0015235982432422E-3</v>
      </c>
      <c r="S14" s="9">
        <f t="shared" si="10"/>
        <v>0.91941188828530251</v>
      </c>
    </row>
    <row r="15" spans="1:19" x14ac:dyDescent="0.25">
      <c r="A15" t="s">
        <v>40</v>
      </c>
      <c r="B15" s="7" t="s">
        <v>49</v>
      </c>
      <c r="C15" s="13" t="s">
        <v>48</v>
      </c>
      <c r="D15" s="8">
        <v>45511</v>
      </c>
      <c r="E15" s="2">
        <v>1E-22</v>
      </c>
      <c r="F15" s="1">
        <v>20.82</v>
      </c>
      <c r="G15" s="1">
        <f t="shared" si="0"/>
        <v>2.0820000000000001E-21</v>
      </c>
      <c r="H15" s="11">
        <v>1.38E-2</v>
      </c>
      <c r="I15" s="11">
        <v>0.81420000000000003</v>
      </c>
      <c r="J15" s="9">
        <f t="shared" si="1"/>
        <v>1.6949152542372881E-2</v>
      </c>
      <c r="K15" s="9">
        <f t="shared" si="2"/>
        <v>1.6785272299350835E-3</v>
      </c>
      <c r="L15" s="12">
        <f t="shared" si="3"/>
        <v>21.107316000000001</v>
      </c>
      <c r="M15" s="12">
        <f t="shared" si="4"/>
        <v>11.564096867362808</v>
      </c>
      <c r="N15" s="12">
        <f t="shared" si="5"/>
        <v>0.28731600000000057</v>
      </c>
      <c r="O15" s="12">
        <f t="shared" si="6"/>
        <v>-4.6279515663185959</v>
      </c>
      <c r="P15" s="14">
        <f t="shared" si="7"/>
        <v>-4.3406355663185954</v>
      </c>
      <c r="Q15" s="12">
        <f t="shared" si="8"/>
        <v>257.50821174952432</v>
      </c>
      <c r="R15" s="9">
        <f t="shared" si="9"/>
        <v>3.8833713037962846E-3</v>
      </c>
      <c r="S15" s="9">
        <f t="shared" si="10"/>
        <v>0.94738516604952872</v>
      </c>
    </row>
    <row r="16" spans="1:19" x14ac:dyDescent="0.25">
      <c r="A16" t="s">
        <v>40</v>
      </c>
      <c r="B16" s="7" t="s">
        <v>54</v>
      </c>
      <c r="C16" t="s">
        <v>55</v>
      </c>
      <c r="D16" s="8">
        <v>45511</v>
      </c>
      <c r="E16" s="2">
        <v>1E-22</v>
      </c>
      <c r="F16" s="1">
        <v>13.04</v>
      </c>
      <c r="G16" s="1">
        <f t="shared" si="0"/>
        <v>1.304E-21</v>
      </c>
      <c r="H16" s="11">
        <v>-5.2200000000000003E-2</v>
      </c>
      <c r="I16" s="11">
        <v>0.43780000000000002</v>
      </c>
      <c r="J16" s="9">
        <f t="shared" si="1"/>
        <v>-0.11923252626770214</v>
      </c>
      <c r="K16" s="9">
        <f t="shared" si="2"/>
        <v>-1.1807967480023001E-2</v>
      </c>
      <c r="L16" s="12">
        <f t="shared" si="3"/>
        <v>12.359312000000001</v>
      </c>
      <c r="M16" s="12">
        <f t="shared" si="4"/>
        <v>8.7516778523489922</v>
      </c>
      <c r="N16" s="12">
        <f t="shared" si="5"/>
        <v>-0.68068799999999818</v>
      </c>
      <c r="O16" s="12">
        <f t="shared" si="6"/>
        <v>-2.1441610738255035</v>
      </c>
      <c r="P16" s="14">
        <f t="shared" si="7"/>
        <v>-2.8248490738255017</v>
      </c>
      <c r="Q16" s="12">
        <f t="shared" si="8"/>
        <v>255.99242525703121</v>
      </c>
      <c r="R16" s="9">
        <f t="shared" si="9"/>
        <v>3.9063655848251841E-3</v>
      </c>
      <c r="S16" s="9">
        <f t="shared" si="10"/>
        <v>0.94180851422887524</v>
      </c>
    </row>
    <row r="17" spans="1:19" x14ac:dyDescent="0.25">
      <c r="A17" t="s">
        <v>40</v>
      </c>
      <c r="B17" s="7" t="s">
        <v>45</v>
      </c>
      <c r="C17" t="s">
        <v>44</v>
      </c>
      <c r="D17" s="8">
        <v>45511</v>
      </c>
      <c r="E17" s="2">
        <v>1E-22</v>
      </c>
      <c r="F17" s="1">
        <v>11.05</v>
      </c>
      <c r="G17" s="1">
        <f t="shared" si="0"/>
        <v>1.1050000000000002E-21</v>
      </c>
      <c r="H17" s="11">
        <v>-0.1159</v>
      </c>
      <c r="I17" s="11">
        <v>0.64090000000000003</v>
      </c>
      <c r="J17" s="9">
        <f t="shared" si="1"/>
        <v>-0.1808394445311281</v>
      </c>
      <c r="K17" s="9">
        <f t="shared" si="2"/>
        <v>-1.7909091981618185E-2</v>
      </c>
      <c r="L17" s="12">
        <f t="shared" si="3"/>
        <v>9.769305000000001</v>
      </c>
      <c r="M17" s="12">
        <f t="shared" si="4"/>
        <v>6.2898451730418943</v>
      </c>
      <c r="N17" s="12">
        <f t="shared" si="5"/>
        <v>-1.2806949999999997</v>
      </c>
      <c r="O17" s="12">
        <f t="shared" si="6"/>
        <v>-2.3800774134790532</v>
      </c>
      <c r="P17" s="14">
        <f t="shared" si="7"/>
        <v>-3.6607724134790529</v>
      </c>
      <c r="Q17" s="12">
        <f t="shared" si="8"/>
        <v>256.82834859668475</v>
      </c>
      <c r="R17" s="9">
        <f t="shared" si="9"/>
        <v>3.8936511699896839E-3</v>
      </c>
      <c r="S17" s="9">
        <f t="shared" si="10"/>
        <v>0.94488391662696514</v>
      </c>
    </row>
    <row r="18" spans="1:19" x14ac:dyDescent="0.25">
      <c r="A18" t="s">
        <v>40</v>
      </c>
      <c r="B18" s="7" t="s">
        <v>53</v>
      </c>
      <c r="C18" t="s">
        <v>52</v>
      </c>
      <c r="D18" s="8">
        <v>45511</v>
      </c>
      <c r="E18" s="2">
        <v>1E-22</v>
      </c>
      <c r="F18" s="1">
        <v>10.47</v>
      </c>
      <c r="G18" s="1">
        <f t="shared" si="0"/>
        <v>1.0470000000000001E-21</v>
      </c>
      <c r="H18" s="11">
        <v>-0.39269999999999999</v>
      </c>
      <c r="I18" s="11">
        <v>0.75180000000000002</v>
      </c>
      <c r="J18" s="9">
        <f t="shared" si="1"/>
        <v>-0.52234636871508378</v>
      </c>
      <c r="K18" s="9">
        <f t="shared" si="2"/>
        <v>-5.1729583597412782E-2</v>
      </c>
      <c r="L18" s="12">
        <f t="shared" si="3"/>
        <v>6.3584309999999995</v>
      </c>
      <c r="M18" s="12">
        <f t="shared" si="4"/>
        <v>4.8822569363488002</v>
      </c>
      <c r="N18" s="12">
        <f t="shared" si="5"/>
        <v>-4.1115690000000011</v>
      </c>
      <c r="O18" s="12">
        <f t="shared" si="6"/>
        <v>-2.7938715318256002</v>
      </c>
      <c r="P18" s="14">
        <f t="shared" si="7"/>
        <v>-6.9054405318256009</v>
      </c>
      <c r="Q18" s="12">
        <f t="shared" si="8"/>
        <v>260.07301671503132</v>
      </c>
      <c r="R18" s="9">
        <f t="shared" si="9"/>
        <v>3.8450740204845073E-3</v>
      </c>
      <c r="S18" s="9">
        <f t="shared" si="10"/>
        <v>0.95682120757077926</v>
      </c>
    </row>
    <row r="19" spans="1:19" x14ac:dyDescent="0.25">
      <c r="A19" t="s">
        <v>77</v>
      </c>
      <c r="B19" s="7" t="s">
        <v>82</v>
      </c>
      <c r="C19" s="13" t="s">
        <v>83</v>
      </c>
      <c r="D19" s="8">
        <f ca="1">TODAY()-20</f>
        <v>45604</v>
      </c>
      <c r="E19" s="2">
        <v>1E-35</v>
      </c>
      <c r="F19" s="1">
        <v>2742.9</v>
      </c>
      <c r="G19" s="1">
        <f t="shared" si="0"/>
        <v>2.7429E-32</v>
      </c>
      <c r="H19" s="11">
        <v>0.1152</v>
      </c>
      <c r="I19" s="11">
        <v>0.16320000000000001</v>
      </c>
      <c r="J19" s="9">
        <f t="shared" si="1"/>
        <v>0.70588235294117641</v>
      </c>
      <c r="K19" s="9">
        <f t="shared" si="2"/>
        <v>6.99057222820023E-2</v>
      </c>
      <c r="L19" s="12">
        <f t="shared" si="3"/>
        <v>3058.8820799999999</v>
      </c>
      <c r="M19" s="12">
        <f t="shared" si="4"/>
        <v>2617.270992366412</v>
      </c>
      <c r="N19" s="12">
        <f t="shared" si="5"/>
        <v>315.98207999999977</v>
      </c>
      <c r="O19" s="12">
        <f t="shared" si="6"/>
        <v>-62.814503816794058</v>
      </c>
      <c r="P19" s="14">
        <f t="shared" si="7"/>
        <v>253.16757618320571</v>
      </c>
      <c r="Q19" s="12">
        <f t="shared" si="8"/>
        <v>0</v>
      </c>
      <c r="R19" s="9">
        <f t="shared" si="9"/>
        <v>0</v>
      </c>
      <c r="S19" s="9">
        <f t="shared" si="10"/>
        <v>0</v>
      </c>
    </row>
    <row r="20" spans="1:19" x14ac:dyDescent="0.25">
      <c r="A20" t="s">
        <v>77</v>
      </c>
      <c r="B20" s="5" t="s">
        <v>78</v>
      </c>
      <c r="C20" t="s">
        <v>79</v>
      </c>
      <c r="D20" s="8">
        <v>45580</v>
      </c>
      <c r="E20" s="2">
        <v>1E-35</v>
      </c>
      <c r="F20" s="1">
        <v>20.399999999999999</v>
      </c>
      <c r="G20" s="1">
        <f t="shared" si="0"/>
        <v>2.0399999999999999E-34</v>
      </c>
      <c r="H20" s="11">
        <v>1.5100000000000001E-2</v>
      </c>
      <c r="I20" s="11">
        <v>0.1336</v>
      </c>
      <c r="J20" s="9">
        <f t="shared" si="1"/>
        <v>0.11302395209580839</v>
      </c>
      <c r="K20" s="9">
        <f t="shared" si="2"/>
        <v>1.1193113092433878E-2</v>
      </c>
      <c r="L20" s="12">
        <v>21.2</v>
      </c>
      <c r="M20" s="12">
        <f t="shared" si="4"/>
        <v>18.238712561466247</v>
      </c>
      <c r="N20" s="12">
        <f t="shared" si="5"/>
        <v>0.80000000000000071</v>
      </c>
      <c r="O20" s="12">
        <f t="shared" si="6"/>
        <v>-1.0806437192668756</v>
      </c>
      <c r="P20" s="14">
        <f t="shared" si="7"/>
        <v>-0.28064371926687492</v>
      </c>
      <c r="Q20" s="12">
        <f t="shared" si="8"/>
        <v>253.44821990247257</v>
      </c>
      <c r="R20" s="9">
        <f t="shared" si="9"/>
        <v>3.9455791024486271E-3</v>
      </c>
      <c r="S20" s="9">
        <f t="shared" si="10"/>
        <v>0.93244825967265488</v>
      </c>
    </row>
    <row r="21" spans="1:19" x14ac:dyDescent="0.25">
      <c r="A21" t="s">
        <v>77</v>
      </c>
      <c r="B21" s="7" t="s">
        <v>80</v>
      </c>
      <c r="C21" t="s">
        <v>81</v>
      </c>
      <c r="D21" s="8">
        <v>45574</v>
      </c>
      <c r="E21" s="2">
        <v>0</v>
      </c>
      <c r="F21" s="1">
        <v>153.7552</v>
      </c>
      <c r="G21" s="1">
        <f t="shared" si="0"/>
        <v>0</v>
      </c>
      <c r="H21" s="11">
        <v>6.3700000000000007E-2</v>
      </c>
      <c r="I21" s="11">
        <v>9.2799999999999994E-2</v>
      </c>
      <c r="J21" s="9">
        <f t="shared" si="1"/>
        <v>0.68642241379310354</v>
      </c>
      <c r="K21" s="9">
        <f t="shared" si="2"/>
        <v>6.7978544054580009E-2</v>
      </c>
      <c r="L21" s="12">
        <f t="shared" ref="L21:L34" si="11">F21/(1-(F21*(1+H21)-F21)/(F21*(1+H21)))</f>
        <v>163.54940624000002</v>
      </c>
      <c r="M21" s="12">
        <f t="shared" si="4"/>
        <v>149.40744339714314</v>
      </c>
      <c r="N21" s="12">
        <f t="shared" si="5"/>
        <v>9.7942062400000225</v>
      </c>
      <c r="O21" s="12">
        <f t="shared" si="6"/>
        <v>-2.1738783014284309</v>
      </c>
      <c r="P21" s="14">
        <f t="shared" si="7"/>
        <v>7.6203279385715916</v>
      </c>
      <c r="Q21" s="12">
        <f t="shared" si="8"/>
        <v>245.54724824463412</v>
      </c>
      <c r="R21" s="9">
        <f t="shared" si="9"/>
        <v>4.0725359666980215E-3</v>
      </c>
      <c r="S21" s="9">
        <f t="shared" si="10"/>
        <v>0.90338020279338627</v>
      </c>
    </row>
    <row r="22" spans="1:19" x14ac:dyDescent="0.25">
      <c r="A22" t="s">
        <v>36</v>
      </c>
      <c r="B22" s="3" t="s">
        <v>21</v>
      </c>
      <c r="C22" t="s">
        <v>22</v>
      </c>
      <c r="D22" s="8">
        <v>45484</v>
      </c>
      <c r="E22" s="2">
        <v>0.33389999999999997</v>
      </c>
      <c r="F22" s="1">
        <v>188.53</v>
      </c>
      <c r="G22" s="1">
        <f t="shared" si="0"/>
        <v>62.950166999999993</v>
      </c>
      <c r="H22" s="11">
        <v>0.2445</v>
      </c>
      <c r="I22" s="11">
        <v>0.3826</v>
      </c>
      <c r="J22" s="9">
        <f t="shared" si="1"/>
        <v>0.63904861474124408</v>
      </c>
      <c r="K22" s="9">
        <f t="shared" si="2"/>
        <v>6.3286969564632894E-2</v>
      </c>
      <c r="L22" s="12">
        <f t="shared" si="11"/>
        <v>234.625585</v>
      </c>
      <c r="M22" s="12">
        <f t="shared" si="4"/>
        <v>165.65328178543186</v>
      </c>
      <c r="N22" s="12">
        <f t="shared" si="5"/>
        <v>46.095585</v>
      </c>
      <c r="O22" s="12">
        <f t="shared" si="6"/>
        <v>-11.438359107284072</v>
      </c>
      <c r="P22" s="14">
        <f t="shared" si="7"/>
        <v>34.657225892715928</v>
      </c>
      <c r="Q22" s="12">
        <f t="shared" si="8"/>
        <v>218.51035029048978</v>
      </c>
      <c r="R22" s="9">
        <f t="shared" si="9"/>
        <v>4.576442253973737E-3</v>
      </c>
      <c r="S22" s="9">
        <f t="shared" si="10"/>
        <v>0.80391014751349477</v>
      </c>
    </row>
    <row r="23" spans="1:19" x14ac:dyDescent="0.25">
      <c r="A23" t="s">
        <v>36</v>
      </c>
      <c r="B23" s="3" t="s">
        <v>11</v>
      </c>
      <c r="C23" t="s">
        <v>12</v>
      </c>
      <c r="D23" s="8">
        <v>45574</v>
      </c>
      <c r="E23" s="2">
        <v>0.13370000000000001</v>
      </c>
      <c r="F23" s="1">
        <v>423.77</v>
      </c>
      <c r="G23" s="1">
        <f t="shared" si="0"/>
        <v>56.658049000000005</v>
      </c>
      <c r="H23" s="11">
        <v>0.20669999999999999</v>
      </c>
      <c r="I23" s="11">
        <v>0.30690000000000001</v>
      </c>
      <c r="J23" s="9">
        <f t="shared" si="1"/>
        <v>0.67350928641251218</v>
      </c>
      <c r="K23" s="9">
        <f t="shared" si="2"/>
        <v>6.6699716934595379E-2</v>
      </c>
      <c r="L23" s="12">
        <f t="shared" si="11"/>
        <v>511.36325900000003</v>
      </c>
      <c r="M23" s="12">
        <f t="shared" si="4"/>
        <v>385.17542265042715</v>
      </c>
      <c r="N23" s="12">
        <f t="shared" si="5"/>
        <v>87.593259000000046</v>
      </c>
      <c r="O23" s="12">
        <f t="shared" si="6"/>
        <v>-19.297288674786415</v>
      </c>
      <c r="P23" s="14">
        <f t="shared" si="7"/>
        <v>68.295970325213631</v>
      </c>
      <c r="Q23" s="12">
        <f t="shared" si="8"/>
        <v>184.87160585799208</v>
      </c>
      <c r="R23" s="9">
        <f t="shared" si="9"/>
        <v>5.4091594831936684E-3</v>
      </c>
      <c r="S23" s="9">
        <f t="shared" si="10"/>
        <v>0.68015157972507023</v>
      </c>
    </row>
    <row r="24" spans="1:19" x14ac:dyDescent="0.25">
      <c r="A24" t="s">
        <v>36</v>
      </c>
      <c r="B24" s="3" t="s">
        <v>14</v>
      </c>
      <c r="C24" t="s">
        <v>13</v>
      </c>
      <c r="D24" s="8">
        <v>45482</v>
      </c>
      <c r="E24" s="2">
        <v>0.18820000000000001</v>
      </c>
      <c r="F24" s="1">
        <v>227.38</v>
      </c>
      <c r="G24" s="1">
        <f t="shared" si="0"/>
        <v>42.792915999999998</v>
      </c>
      <c r="H24" s="11">
        <v>0.23910000000000001</v>
      </c>
      <c r="I24" s="11">
        <v>0.31859999999999999</v>
      </c>
      <c r="J24" s="9">
        <f t="shared" si="1"/>
        <v>0.75047080979284375</v>
      </c>
      <c r="K24" s="9">
        <f t="shared" si="2"/>
        <v>7.4321455681014545E-2</v>
      </c>
      <c r="L24" s="12">
        <f t="shared" si="11"/>
        <v>281.74655799999999</v>
      </c>
      <c r="M24" s="12">
        <f t="shared" si="4"/>
        <v>210.63455303381195</v>
      </c>
      <c r="N24" s="12">
        <f t="shared" si="5"/>
        <v>54.366557999999998</v>
      </c>
      <c r="O24" s="12">
        <f t="shared" si="6"/>
        <v>-8.3727234830940205</v>
      </c>
      <c r="P24" s="14">
        <f t="shared" si="7"/>
        <v>45.993834516905977</v>
      </c>
      <c r="Q24" s="12">
        <f t="shared" si="8"/>
        <v>207.17374166629975</v>
      </c>
      <c r="R24" s="9">
        <f t="shared" si="9"/>
        <v>4.8268665322013958E-3</v>
      </c>
      <c r="S24" s="9">
        <f t="shared" si="10"/>
        <v>0.76220221606191985</v>
      </c>
    </row>
    <row r="25" spans="1:19" x14ac:dyDescent="0.25">
      <c r="A25" t="s">
        <v>36</v>
      </c>
      <c r="B25" s="3" t="s">
        <v>10</v>
      </c>
      <c r="C25" t="s">
        <v>9</v>
      </c>
      <c r="D25" s="8">
        <v>45544</v>
      </c>
      <c r="E25" s="2">
        <v>0.1928</v>
      </c>
      <c r="F25" s="1">
        <v>188.12</v>
      </c>
      <c r="G25" s="1">
        <f t="shared" si="0"/>
        <v>36.269536000000002</v>
      </c>
      <c r="H25" s="11">
        <v>0.13730000000000001</v>
      </c>
      <c r="I25" s="11">
        <v>0.41699999999999998</v>
      </c>
      <c r="J25" s="9">
        <f t="shared" si="1"/>
        <v>0.32925659472422064</v>
      </c>
      <c r="K25" s="9">
        <f t="shared" si="2"/>
        <v>3.2607303432937967E-2</v>
      </c>
      <c r="L25" s="12">
        <f t="shared" si="11"/>
        <v>213.94887600000001</v>
      </c>
      <c r="M25" s="12">
        <f t="shared" si="4"/>
        <v>147.00320387590841</v>
      </c>
      <c r="N25" s="12">
        <f t="shared" si="5"/>
        <v>25.828876000000008</v>
      </c>
      <c r="O25" s="12">
        <f t="shared" si="6"/>
        <v>-20.558398062045796</v>
      </c>
      <c r="P25" s="14">
        <f t="shared" si="7"/>
        <v>5.2704779379542117</v>
      </c>
      <c r="Q25" s="12">
        <f t="shared" si="8"/>
        <v>247.8970982452515</v>
      </c>
      <c r="R25" s="9">
        <f t="shared" si="9"/>
        <v>4.0339318494590536E-3</v>
      </c>
      <c r="S25" s="9">
        <f t="shared" si="10"/>
        <v>0.91202541460197828</v>
      </c>
    </row>
    <row r="26" spans="1:19" x14ac:dyDescent="0.25">
      <c r="A26" t="s">
        <v>36</v>
      </c>
      <c r="B26" s="3" t="s">
        <v>18</v>
      </c>
      <c r="C26" t="s">
        <v>17</v>
      </c>
      <c r="D26" s="8">
        <v>45483</v>
      </c>
      <c r="E26" s="2">
        <v>0.1195</v>
      </c>
      <c r="F26" s="1">
        <v>167.24</v>
      </c>
      <c r="G26" s="1">
        <f t="shared" si="0"/>
        <v>19.98518</v>
      </c>
      <c r="H26" s="11">
        <v>0.1852</v>
      </c>
      <c r="I26" s="11">
        <v>0.32479999999999998</v>
      </c>
      <c r="J26" s="9">
        <f t="shared" si="1"/>
        <v>0.57019704433497542</v>
      </c>
      <c r="K26" s="9">
        <f t="shared" si="2"/>
        <v>5.6468384655340743E-2</v>
      </c>
      <c r="L26" s="12">
        <f t="shared" si="11"/>
        <v>198.21284800000001</v>
      </c>
      <c r="M26" s="12">
        <f t="shared" si="4"/>
        <v>146.75324675324677</v>
      </c>
      <c r="N26" s="12">
        <f t="shared" si="5"/>
        <v>30.972847999999999</v>
      </c>
      <c r="O26" s="12">
        <f t="shared" si="6"/>
        <v>-10.243376623376619</v>
      </c>
      <c r="P26" s="14">
        <f t="shared" si="7"/>
        <v>20.72947137662338</v>
      </c>
      <c r="Q26" s="12">
        <f t="shared" si="8"/>
        <v>232.43810480658232</v>
      </c>
      <c r="R26" s="9">
        <f t="shared" si="9"/>
        <v>4.3022205882814503E-3</v>
      </c>
      <c r="S26" s="9">
        <f t="shared" si="10"/>
        <v>0.85515103002857351</v>
      </c>
    </row>
    <row r="27" spans="1:19" x14ac:dyDescent="0.25">
      <c r="A27" t="s">
        <v>36</v>
      </c>
      <c r="B27" s="3" t="s">
        <v>62</v>
      </c>
      <c r="C27" t="s">
        <v>62</v>
      </c>
      <c r="D27" s="8">
        <v>45481</v>
      </c>
      <c r="E27" s="2">
        <v>2.8500000000000001E-2</v>
      </c>
      <c r="F27" s="1">
        <v>700.32</v>
      </c>
      <c r="G27" s="1">
        <f t="shared" si="0"/>
        <v>19.959120000000002</v>
      </c>
      <c r="H27" s="11">
        <v>0.1714</v>
      </c>
      <c r="I27" s="11">
        <v>0.4395</v>
      </c>
      <c r="J27" s="9">
        <f t="shared" si="1"/>
        <v>0.38998862343572238</v>
      </c>
      <c r="K27" s="9">
        <f t="shared" si="2"/>
        <v>3.8621784904303812E-2</v>
      </c>
      <c r="L27" s="12">
        <f t="shared" si="11"/>
        <v>820.35484800000006</v>
      </c>
      <c r="M27" s="12">
        <f t="shared" si="4"/>
        <v>552.25928554530401</v>
      </c>
      <c r="N27" s="12">
        <f t="shared" si="5"/>
        <v>120.03484800000001</v>
      </c>
      <c r="O27" s="12">
        <f t="shared" si="6"/>
        <v>-74.03035722734802</v>
      </c>
      <c r="P27" s="14">
        <f t="shared" si="7"/>
        <v>46.004490772651991</v>
      </c>
      <c r="Q27" s="12">
        <f t="shared" si="8"/>
        <v>207.16308541055372</v>
      </c>
      <c r="R27" s="9">
        <f t="shared" si="9"/>
        <v>4.8271148212443828E-3</v>
      </c>
      <c r="S27" s="9">
        <f t="shared" si="10"/>
        <v>0.762163011181614</v>
      </c>
    </row>
    <row r="28" spans="1:19" x14ac:dyDescent="0.25">
      <c r="A28" t="s">
        <v>36</v>
      </c>
      <c r="B28" s="3" t="s">
        <v>23</v>
      </c>
      <c r="C28" t="s">
        <v>24</v>
      </c>
      <c r="D28" s="8">
        <v>45482</v>
      </c>
      <c r="E28" s="2">
        <v>9.9999999999999998E-20</v>
      </c>
      <c r="F28" s="1">
        <v>147.01</v>
      </c>
      <c r="G28" s="1">
        <f t="shared" si="0"/>
        <v>1.4700999999999999E-17</v>
      </c>
      <c r="H28" s="11">
        <v>0.63670000000000004</v>
      </c>
      <c r="I28" s="11">
        <v>0.53810000000000002</v>
      </c>
      <c r="J28" s="9">
        <f t="shared" si="1"/>
        <v>1.1832373164839249</v>
      </c>
      <c r="K28" s="9">
        <f t="shared" si="2"/>
        <v>0.11717966725642148</v>
      </c>
      <c r="L28" s="12">
        <f t="shared" si="11"/>
        <v>240.61126700000003</v>
      </c>
      <c r="M28" s="12">
        <f t="shared" si="4"/>
        <v>163.09074772575991</v>
      </c>
      <c r="N28" s="12">
        <f t="shared" si="5"/>
        <v>93.601267000000036</v>
      </c>
      <c r="O28" s="12">
        <f t="shared" si="6"/>
        <v>8.0403738628799601</v>
      </c>
      <c r="P28" s="14">
        <f t="shared" si="7"/>
        <v>101.64164086288</v>
      </c>
      <c r="Q28" s="12">
        <f t="shared" si="8"/>
        <v>151.52593532032571</v>
      </c>
      <c r="R28" s="9">
        <f t="shared" si="9"/>
        <v>6.5995302908772729E-3</v>
      </c>
      <c r="S28" s="9">
        <f t="shared" si="10"/>
        <v>0.55747124497097555</v>
      </c>
    </row>
    <row r="29" spans="1:19" x14ac:dyDescent="0.25">
      <c r="A29" t="s">
        <v>36</v>
      </c>
      <c r="B29" s="3" t="s">
        <v>29</v>
      </c>
      <c r="C29" t="s">
        <v>30</v>
      </c>
      <c r="D29" s="8">
        <v>45481</v>
      </c>
      <c r="E29" s="2">
        <v>1E-22</v>
      </c>
      <c r="F29" s="1">
        <v>169.34</v>
      </c>
      <c r="G29" s="1">
        <f t="shared" si="0"/>
        <v>1.6934000000000002E-20</v>
      </c>
      <c r="H29" s="11">
        <v>0.21629999999999999</v>
      </c>
      <c r="I29" s="11">
        <v>0.47220000000000001</v>
      </c>
      <c r="J29" s="9">
        <f t="shared" si="1"/>
        <v>0.45806861499364676</v>
      </c>
      <c r="K29" s="9">
        <f t="shared" si="2"/>
        <v>4.5363957963283685E-2</v>
      </c>
      <c r="L29" s="12">
        <f t="shared" si="11"/>
        <v>205.968242</v>
      </c>
      <c r="M29" s="12">
        <f t="shared" si="4"/>
        <v>134.83557608089816</v>
      </c>
      <c r="N29" s="12">
        <f t="shared" si="5"/>
        <v>36.628242</v>
      </c>
      <c r="O29" s="12">
        <f t="shared" si="6"/>
        <v>-17.25221195955092</v>
      </c>
      <c r="P29" s="14">
        <f t="shared" si="7"/>
        <v>19.376030040449081</v>
      </c>
      <c r="Q29" s="12">
        <f t="shared" si="8"/>
        <v>233.79154614275663</v>
      </c>
      <c r="R29" s="9">
        <f t="shared" si="9"/>
        <v>4.2773146270626275E-3</v>
      </c>
      <c r="S29" s="9">
        <f t="shared" si="10"/>
        <v>0.86013040616690428</v>
      </c>
    </row>
    <row r="30" spans="1:19" x14ac:dyDescent="0.25">
      <c r="A30" t="s">
        <v>36</v>
      </c>
      <c r="B30" s="3" t="s">
        <v>86</v>
      </c>
      <c r="C30" t="s">
        <v>87</v>
      </c>
      <c r="D30" s="8">
        <v>45481</v>
      </c>
      <c r="E30" s="2">
        <v>1E-22</v>
      </c>
      <c r="F30" s="1">
        <v>64.349999999999994</v>
      </c>
      <c r="G30" s="1">
        <f t="shared" si="0"/>
        <v>6.4349999999999995E-21</v>
      </c>
      <c r="H30" s="11">
        <v>0.4667</v>
      </c>
      <c r="I30" s="11">
        <v>0.70420000000000005</v>
      </c>
      <c r="J30" s="9">
        <f t="shared" si="1"/>
        <v>0.66273785856290823</v>
      </c>
      <c r="K30" s="9">
        <f t="shared" si="2"/>
        <v>6.563298897249574E-2</v>
      </c>
      <c r="L30" s="12">
        <f t="shared" si="11"/>
        <v>94.38214499999998</v>
      </c>
      <c r="M30" s="12">
        <f t="shared" si="4"/>
        <v>51.999999999999986</v>
      </c>
      <c r="N30" s="12">
        <f t="shared" si="5"/>
        <v>30.032144999999986</v>
      </c>
      <c r="O30" s="12">
        <f t="shared" si="6"/>
        <v>-6.1750000000000043</v>
      </c>
      <c r="P30" s="14">
        <f t="shared" si="7"/>
        <v>23.857144999999981</v>
      </c>
      <c r="Q30" s="12">
        <f t="shared" si="8"/>
        <v>229.31043118320574</v>
      </c>
      <c r="R30" s="9">
        <f t="shared" si="9"/>
        <v>4.3609006133744433E-3</v>
      </c>
      <c r="S30" s="9">
        <f t="shared" si="10"/>
        <v>0.84364416749048277</v>
      </c>
    </row>
    <row r="31" spans="1:19" x14ac:dyDescent="0.25">
      <c r="A31" t="s">
        <v>38</v>
      </c>
      <c r="B31" s="5" t="s">
        <v>6</v>
      </c>
      <c r="C31" t="s">
        <v>5</v>
      </c>
      <c r="D31" s="8">
        <v>45553</v>
      </c>
      <c r="E31" s="2">
        <v>1.0751999999999999</v>
      </c>
      <c r="F31" s="1">
        <v>51.15</v>
      </c>
      <c r="G31" s="1">
        <f t="shared" si="0"/>
        <v>54.996479999999998</v>
      </c>
      <c r="H31" s="11">
        <v>0.11169999999999999</v>
      </c>
      <c r="I31" s="11">
        <v>0.2477</v>
      </c>
      <c r="J31" s="9">
        <f t="shared" si="1"/>
        <v>0.45094872830036331</v>
      </c>
      <c r="K31" s="9">
        <f t="shared" si="2"/>
        <v>4.4658853465648692E-2</v>
      </c>
      <c r="L31" s="12">
        <f t="shared" si="11"/>
        <v>56.863454999999995</v>
      </c>
      <c r="M31" s="12">
        <f t="shared" si="4"/>
        <v>45.026408450704217</v>
      </c>
      <c r="N31" s="12">
        <f t="shared" si="5"/>
        <v>5.7134549999999962</v>
      </c>
      <c r="O31" s="12">
        <f t="shared" si="6"/>
        <v>-3.0617957746478908</v>
      </c>
      <c r="P31" s="14">
        <f t="shared" si="7"/>
        <v>2.6516592253521054</v>
      </c>
      <c r="Q31" s="12">
        <f t="shared" si="8"/>
        <v>250.51591695785362</v>
      </c>
      <c r="R31" s="9">
        <f t="shared" si="9"/>
        <v>3.9917623284920385E-3</v>
      </c>
      <c r="S31" s="9">
        <f t="shared" si="10"/>
        <v>0.92166017531130062</v>
      </c>
    </row>
    <row r="32" spans="1:19" x14ac:dyDescent="0.25">
      <c r="A32" t="s">
        <v>38</v>
      </c>
      <c r="B32" s="5" t="s">
        <v>19</v>
      </c>
      <c r="C32" t="s">
        <v>20</v>
      </c>
      <c r="D32" s="8">
        <v>45544</v>
      </c>
      <c r="E32" s="2">
        <v>0.24390000000000001</v>
      </c>
      <c r="F32" s="1">
        <v>144.28</v>
      </c>
      <c r="G32" s="1">
        <f t="shared" si="0"/>
        <v>35.189892</v>
      </c>
      <c r="H32" s="11">
        <v>3.8300000000000001E-2</v>
      </c>
      <c r="I32" s="11">
        <v>0.2152</v>
      </c>
      <c r="J32" s="9">
        <f t="shared" si="1"/>
        <v>0.17797397769516729</v>
      </c>
      <c r="K32" s="9">
        <f t="shared" si="2"/>
        <v>1.7625315899090652E-2</v>
      </c>
      <c r="L32" s="12">
        <f t="shared" si="11"/>
        <v>149.805924</v>
      </c>
      <c r="M32" s="12">
        <f t="shared" si="4"/>
        <v>122.59325346248619</v>
      </c>
      <c r="N32" s="12">
        <f t="shared" si="5"/>
        <v>5.5259240000000034</v>
      </c>
      <c r="O32" s="12">
        <f t="shared" si="6"/>
        <v>-10.843373268756906</v>
      </c>
      <c r="P32" s="14">
        <f t="shared" si="7"/>
        <v>-5.3174492687569028</v>
      </c>
      <c r="Q32" s="12">
        <f t="shared" si="8"/>
        <v>258.4850254519626</v>
      </c>
      <c r="R32" s="9">
        <f t="shared" si="9"/>
        <v>3.868696061798915E-3</v>
      </c>
      <c r="S32" s="9">
        <f t="shared" si="10"/>
        <v>0.95097891090681541</v>
      </c>
    </row>
    <row r="33" spans="1:19" x14ac:dyDescent="0.25">
      <c r="A33" t="s">
        <v>38</v>
      </c>
      <c r="B33" s="5" t="s">
        <v>15</v>
      </c>
      <c r="C33" t="s">
        <v>16</v>
      </c>
      <c r="D33" s="8">
        <v>45460</v>
      </c>
      <c r="E33" s="2">
        <v>0.1807</v>
      </c>
      <c r="F33" s="1">
        <v>165.59</v>
      </c>
      <c r="G33" s="1">
        <f t="shared" si="0"/>
        <v>29.922113</v>
      </c>
      <c r="H33" s="11">
        <v>6.4500000000000002E-2</v>
      </c>
      <c r="I33" s="11">
        <v>0.22189999999999999</v>
      </c>
      <c r="J33" s="9">
        <f t="shared" si="1"/>
        <v>0.29067147363677337</v>
      </c>
      <c r="K33" s="9">
        <f t="shared" si="2"/>
        <v>2.8786099024416232E-2</v>
      </c>
      <c r="L33" s="12">
        <f t="shared" si="11"/>
        <v>176.270555</v>
      </c>
      <c r="M33" s="12">
        <f t="shared" si="4"/>
        <v>143.07067565232418</v>
      </c>
      <c r="N33" s="12">
        <f t="shared" si="5"/>
        <v>10.680554999999998</v>
      </c>
      <c r="O33" s="12">
        <f t="shared" si="6"/>
        <v>-11.25966217383791</v>
      </c>
      <c r="P33" s="14">
        <f t="shared" si="7"/>
        <v>-0.57910717383791166</v>
      </c>
      <c r="Q33" s="12">
        <f t="shared" si="8"/>
        <v>253.74668335704362</v>
      </c>
      <c r="R33" s="9">
        <f t="shared" si="9"/>
        <v>3.9409382095958794E-3</v>
      </c>
      <c r="S33" s="9">
        <f t="shared" si="10"/>
        <v>0.93354632115794667</v>
      </c>
    </row>
    <row r="34" spans="1:19" x14ac:dyDescent="0.25">
      <c r="A34" t="s">
        <v>38</v>
      </c>
      <c r="B34" s="5" t="s">
        <v>56</v>
      </c>
      <c r="C34" t="s">
        <v>57</v>
      </c>
      <c r="D34" s="8">
        <v>45505</v>
      </c>
      <c r="E34" s="2">
        <v>1E-35</v>
      </c>
      <c r="F34" s="1">
        <v>86.6</v>
      </c>
      <c r="G34" s="1">
        <f t="shared" si="0"/>
        <v>8.6599999999999988E-34</v>
      </c>
      <c r="H34" s="11">
        <v>0.18629999999999999</v>
      </c>
      <c r="I34" s="11">
        <v>0.22650000000000001</v>
      </c>
      <c r="J34" s="9">
        <f t="shared" si="1"/>
        <v>0.82251655629139064</v>
      </c>
      <c r="K34" s="9">
        <f t="shared" si="2"/>
        <v>8.1456369771644402E-2</v>
      </c>
      <c r="L34" s="12">
        <f t="shared" si="11"/>
        <v>102.73357999999999</v>
      </c>
      <c r="M34" s="12">
        <f t="shared" si="4"/>
        <v>83.253220534512593</v>
      </c>
      <c r="N34" s="12">
        <f t="shared" si="5"/>
        <v>16.133579999999995</v>
      </c>
      <c r="O34" s="12">
        <f t="shared" si="6"/>
        <v>-1.6733897327437006</v>
      </c>
      <c r="P34" s="14">
        <f t="shared" si="7"/>
        <v>14.460190267256294</v>
      </c>
      <c r="Q34" s="12">
        <f t="shared" si="8"/>
        <v>238.70738591594943</v>
      </c>
      <c r="R34" s="9">
        <f t="shared" si="9"/>
        <v>4.1892294038698369E-3</v>
      </c>
      <c r="S34" s="9">
        <f t="shared" si="10"/>
        <v>0.87821601845925767</v>
      </c>
    </row>
  </sheetData>
  <autoFilter ref="A1:S34" xr:uid="{00000000-0001-0000-0000-000000000000}"/>
  <conditionalFormatting sqref="R2:R34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7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S2:S34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"/>
  <sheetViews>
    <sheetView workbookViewId="0">
      <selection activeCell="S15" sqref="S15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2024-11-29T03:58:57Z</dcterms:modified>
</cp:coreProperties>
</file>