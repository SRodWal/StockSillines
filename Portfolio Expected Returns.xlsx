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324"/>
  <workbookPr/>
  <mc:AlternateContent xmlns:mc="http://schemas.openxmlformats.org/markup-compatibility/2006">
    <mc:Choice Requires="x15">
      <x15ac:absPath xmlns:x15ac="http://schemas.microsoft.com/office/spreadsheetml/2010/11/ac" url="D:\Professional_WorkTools\Github\StockSillines\"/>
    </mc:Choice>
  </mc:AlternateContent>
  <xr:revisionPtr revIDLastSave="0" documentId="13_ncr:1_{935F7F83-726D-42F1-96DE-37A6FEAC9D5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ositions" sheetId="1" r:id="rId1"/>
    <sheet name="Sheet2" sheetId="3" r:id="rId2"/>
    <sheet name="Sheet1" sheetId="2" r:id="rId3"/>
  </sheets>
  <definedNames>
    <definedName name="_xlnm._FilterDatabase" localSheetId="0" hidden="1">Positions!$A$1:$S$46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" l="1"/>
  <c r="I3" i="1"/>
  <c r="H4" i="1"/>
  <c r="I4" i="1"/>
  <c r="H5" i="1"/>
  <c r="L5" i="1" s="1"/>
  <c r="I5" i="1"/>
  <c r="H6" i="1"/>
  <c r="I6" i="1"/>
  <c r="H7" i="1"/>
  <c r="L7" i="1" s="1"/>
  <c r="I7" i="1"/>
  <c r="H8" i="1"/>
  <c r="L8" i="1" s="1"/>
  <c r="I8" i="1"/>
  <c r="H9" i="1"/>
  <c r="I9" i="1"/>
  <c r="H10" i="1"/>
  <c r="L10" i="1" s="1"/>
  <c r="I10" i="1"/>
  <c r="H11" i="1"/>
  <c r="L11" i="1" s="1"/>
  <c r="I11" i="1"/>
  <c r="H12" i="1"/>
  <c r="L12" i="1" s="1"/>
  <c r="I12" i="1"/>
  <c r="H13" i="1"/>
  <c r="L13" i="1" s="1"/>
  <c r="I13" i="1"/>
  <c r="H14" i="1"/>
  <c r="L14" i="1" s="1"/>
  <c r="I14" i="1"/>
  <c r="H15" i="1"/>
  <c r="I15" i="1"/>
  <c r="H16" i="1"/>
  <c r="I16" i="1"/>
  <c r="H17" i="1"/>
  <c r="L17" i="1" s="1"/>
  <c r="I17" i="1"/>
  <c r="H18" i="1"/>
  <c r="L18" i="1" s="1"/>
  <c r="I18" i="1"/>
  <c r="H19" i="1"/>
  <c r="L19" i="1" s="1"/>
  <c r="I19" i="1"/>
  <c r="H20" i="1"/>
  <c r="L20" i="1" s="1"/>
  <c r="I20" i="1"/>
  <c r="H21" i="1"/>
  <c r="I21" i="1"/>
  <c r="H22" i="1"/>
  <c r="L22" i="1" s="1"/>
  <c r="I22" i="1"/>
  <c r="H23" i="1"/>
  <c r="L23" i="1" s="1"/>
  <c r="I23" i="1"/>
  <c r="H24" i="1"/>
  <c r="L24" i="1" s="1"/>
  <c r="I24" i="1"/>
  <c r="H25" i="1"/>
  <c r="L25" i="1" s="1"/>
  <c r="I25" i="1"/>
  <c r="H26" i="1"/>
  <c r="L26" i="1" s="1"/>
  <c r="I26" i="1"/>
  <c r="H27" i="1"/>
  <c r="I27" i="1"/>
  <c r="H28" i="1"/>
  <c r="L28" i="1" s="1"/>
  <c r="I28" i="1"/>
  <c r="H29" i="1"/>
  <c r="I29" i="1"/>
  <c r="H30" i="1"/>
  <c r="L30" i="1" s="1"/>
  <c r="I30" i="1"/>
  <c r="H31" i="1"/>
  <c r="L31" i="1" s="1"/>
  <c r="I31" i="1"/>
  <c r="H32" i="1"/>
  <c r="L32" i="1" s="1"/>
  <c r="I32" i="1"/>
  <c r="H33" i="1"/>
  <c r="I33" i="1"/>
  <c r="H34" i="1"/>
  <c r="I34" i="1"/>
  <c r="H35" i="1"/>
  <c r="L35" i="1" s="1"/>
  <c r="I35" i="1"/>
  <c r="H36" i="1"/>
  <c r="L36" i="1" s="1"/>
  <c r="I36" i="1"/>
  <c r="H37" i="1"/>
  <c r="L37" i="1" s="1"/>
  <c r="I37" i="1"/>
  <c r="H38" i="1"/>
  <c r="L38" i="1" s="1"/>
  <c r="I38" i="1"/>
  <c r="H39" i="1"/>
  <c r="I39" i="1"/>
  <c r="H40" i="1"/>
  <c r="I40" i="1"/>
  <c r="H41" i="1"/>
  <c r="I41" i="1"/>
  <c r="H42" i="1"/>
  <c r="I42" i="1"/>
  <c r="H43" i="1"/>
  <c r="L43" i="1" s="1"/>
  <c r="N43" i="1" s="1"/>
  <c r="I43" i="1"/>
  <c r="M43" i="1" s="1"/>
  <c r="O43" i="1" s="1"/>
  <c r="H44" i="1"/>
  <c r="I44" i="1"/>
  <c r="H45" i="1"/>
  <c r="L45" i="1" s="1"/>
  <c r="N45" i="1" s="1"/>
  <c r="I45" i="1"/>
  <c r="H46" i="1"/>
  <c r="I46" i="1"/>
  <c r="I2" i="1"/>
  <c r="H2" i="1"/>
  <c r="L2" i="1" s="1"/>
  <c r="D36" i="1"/>
  <c r="L46" i="1"/>
  <c r="N46" i="1" s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  <c r="L3" i="1"/>
  <c r="L4" i="1"/>
  <c r="L6" i="1"/>
  <c r="L9" i="1"/>
  <c r="L15" i="1"/>
  <c r="L16" i="1"/>
  <c r="L21" i="1"/>
  <c r="L27" i="1"/>
  <c r="L29" i="1"/>
  <c r="L33" i="1"/>
  <c r="L34" i="1"/>
  <c r="L39" i="1"/>
  <c r="L40" i="1"/>
  <c r="L41" i="1"/>
  <c r="M46" i="1" l="1"/>
  <c r="O46" i="1" s="1"/>
  <c r="P46" i="1" s="1"/>
  <c r="J44" i="1"/>
  <c r="M44" i="1"/>
  <c r="O44" i="1" s="1"/>
  <c r="J42" i="1"/>
  <c r="M42" i="1"/>
  <c r="O42" i="1" s="1"/>
  <c r="M45" i="1"/>
  <c r="O45" i="1" s="1"/>
  <c r="P45" i="1" s="1"/>
  <c r="L44" i="1"/>
  <c r="N44" i="1" s="1"/>
  <c r="P44" i="1" s="1"/>
  <c r="J43" i="1"/>
  <c r="J46" i="1"/>
  <c r="L42" i="1"/>
  <c r="N42" i="1" s="1"/>
  <c r="P42" i="1" s="1"/>
  <c r="J45" i="1"/>
  <c r="P43" i="1"/>
  <c r="N41" i="1"/>
  <c r="M40" i="1"/>
  <c r="O40" i="1" s="1"/>
  <c r="N15" i="1"/>
  <c r="N38" i="1"/>
  <c r="J37" i="1"/>
  <c r="N36" i="1"/>
  <c r="N30" i="1"/>
  <c r="J28" i="1"/>
  <c r="M27" i="1"/>
  <c r="O27" i="1" s="1"/>
  <c r="N25" i="1"/>
  <c r="J23" i="1"/>
  <c r="J21" i="1"/>
  <c r="M5" i="1"/>
  <c r="O5" i="1" s="1"/>
  <c r="N5" i="1"/>
  <c r="J6" i="1"/>
  <c r="N10" i="1"/>
  <c r="N19" i="1"/>
  <c r="N4" i="1"/>
  <c r="M35" i="1"/>
  <c r="O35" i="1" s="1"/>
  <c r="N35" i="1"/>
  <c r="J35" i="1"/>
  <c r="M34" i="1"/>
  <c r="O34" i="1" s="1"/>
  <c r="N34" i="1"/>
  <c r="J34" i="1"/>
  <c r="M33" i="1"/>
  <c r="O33" i="1" s="1"/>
  <c r="N33" i="1"/>
  <c r="J33" i="1"/>
  <c r="N32" i="1"/>
  <c r="M32" i="1"/>
  <c r="O32" i="1" s="1"/>
  <c r="J32" i="1"/>
  <c r="M31" i="1"/>
  <c r="O31" i="1" s="1"/>
  <c r="N31" i="1"/>
  <c r="J31" i="1"/>
  <c r="M29" i="1"/>
  <c r="O29" i="1" s="1"/>
  <c r="N29" i="1"/>
  <c r="J29" i="1"/>
  <c r="N27" i="1"/>
  <c r="N26" i="1"/>
  <c r="M24" i="1"/>
  <c r="O24" i="1" s="1"/>
  <c r="N24" i="1"/>
  <c r="J24" i="1"/>
  <c r="N23" i="1"/>
  <c r="M22" i="1"/>
  <c r="O22" i="1" s="1"/>
  <c r="N22" i="1"/>
  <c r="J22" i="1"/>
  <c r="M20" i="1"/>
  <c r="O20" i="1" s="1"/>
  <c r="N20" i="1"/>
  <c r="J20" i="1"/>
  <c r="M17" i="1"/>
  <c r="O17" i="1" s="1"/>
  <c r="N17" i="1"/>
  <c r="J17" i="1"/>
  <c r="M18" i="1"/>
  <c r="O18" i="1" s="1"/>
  <c r="N18" i="1"/>
  <c r="J18" i="1"/>
  <c r="M12" i="1"/>
  <c r="O12" i="1" s="1"/>
  <c r="N12" i="1"/>
  <c r="J12" i="1"/>
  <c r="N16" i="1"/>
  <c r="M3" i="1"/>
  <c r="O3" i="1" s="1"/>
  <c r="N3" i="1"/>
  <c r="J3" i="1"/>
  <c r="M8" i="1"/>
  <c r="O8" i="1" s="1"/>
  <c r="N8" i="1"/>
  <c r="J8" i="1"/>
  <c r="M14" i="1"/>
  <c r="O14" i="1" s="1"/>
  <c r="N14" i="1"/>
  <c r="J14" i="1"/>
  <c r="M7" i="1"/>
  <c r="O7" i="1" s="1"/>
  <c r="N7" i="1"/>
  <c r="J7" i="1"/>
  <c r="M13" i="1"/>
  <c r="O13" i="1" s="1"/>
  <c r="N13" i="1"/>
  <c r="J13" i="1"/>
  <c r="M9" i="1"/>
  <c r="O9" i="1" s="1"/>
  <c r="N9" i="1"/>
  <c r="J9" i="1"/>
  <c r="J2" i="1"/>
  <c r="M6" i="1"/>
  <c r="O6" i="1" s="1"/>
  <c r="M11" i="1"/>
  <c r="O11" i="1" s="1"/>
  <c r="N11" i="1"/>
  <c r="J11" i="1"/>
  <c r="P12" i="1" l="1"/>
  <c r="P13" i="1"/>
  <c r="P5" i="1"/>
  <c r="P29" i="1"/>
  <c r="N37" i="1"/>
  <c r="M26" i="1"/>
  <c r="O26" i="1" s="1"/>
  <c r="P26" i="1" s="1"/>
  <c r="J30" i="1"/>
  <c r="M37" i="1"/>
  <c r="O37" i="1" s="1"/>
  <c r="P34" i="1"/>
  <c r="P17" i="1"/>
  <c r="J5" i="1"/>
  <c r="P32" i="1"/>
  <c r="P35" i="1"/>
  <c r="P20" i="1"/>
  <c r="J26" i="1"/>
  <c r="M38" i="1"/>
  <c r="O38" i="1" s="1"/>
  <c r="P38" i="1" s="1"/>
  <c r="M10" i="1"/>
  <c r="O10" i="1" s="1"/>
  <c r="P10" i="1" s="1"/>
  <c r="M30" i="1"/>
  <c r="O30" i="1" s="1"/>
  <c r="P30" i="1" s="1"/>
  <c r="J39" i="1"/>
  <c r="J38" i="1"/>
  <c r="M23" i="1"/>
  <c r="O23" i="1" s="1"/>
  <c r="P23" i="1" s="1"/>
  <c r="M36" i="1"/>
  <c r="O36" i="1" s="1"/>
  <c r="P36" i="1" s="1"/>
  <c r="P24" i="1"/>
  <c r="M19" i="1"/>
  <c r="O19" i="1" s="1"/>
  <c r="P19" i="1" s="1"/>
  <c r="M25" i="1"/>
  <c r="O25" i="1" s="1"/>
  <c r="P25" i="1" s="1"/>
  <c r="N39" i="1"/>
  <c r="M39" i="1"/>
  <c r="O39" i="1" s="1"/>
  <c r="J40" i="1"/>
  <c r="M15" i="1"/>
  <c r="O15" i="1" s="1"/>
  <c r="P15" i="1" s="1"/>
  <c r="N40" i="1"/>
  <c r="P40" i="1" s="1"/>
  <c r="P9" i="1"/>
  <c r="M28" i="1"/>
  <c r="O28" i="1" s="1"/>
  <c r="P7" i="1"/>
  <c r="N6" i="1"/>
  <c r="P6" i="1" s="1"/>
  <c r="P14" i="1"/>
  <c r="J27" i="1"/>
  <c r="J41" i="1"/>
  <c r="J19" i="1"/>
  <c r="J10" i="1"/>
  <c r="J25" i="1"/>
  <c r="N28" i="1"/>
  <c r="M41" i="1"/>
  <c r="O41" i="1" s="1"/>
  <c r="P41" i="1" s="1"/>
  <c r="J36" i="1"/>
  <c r="J15" i="1"/>
  <c r="P3" i="1"/>
  <c r="N2" i="1"/>
  <c r="M2" i="1"/>
  <c r="O2" i="1" s="1"/>
  <c r="M16" i="1"/>
  <c r="O16" i="1" s="1"/>
  <c r="P16" i="1" s="1"/>
  <c r="P11" i="1"/>
  <c r="P31" i="1"/>
  <c r="P33" i="1"/>
  <c r="P18" i="1"/>
  <c r="P8" i="1"/>
  <c r="P22" i="1"/>
  <c r="P27" i="1"/>
  <c r="J4" i="1"/>
  <c r="N21" i="1"/>
  <c r="M21" i="1"/>
  <c r="O21" i="1" s="1"/>
  <c r="J16" i="1"/>
  <c r="M4" i="1"/>
  <c r="O4" i="1" s="1"/>
  <c r="P4" i="1" s="1"/>
  <c r="K43" i="1" l="1"/>
  <c r="K46" i="1"/>
  <c r="K44" i="1"/>
  <c r="K45" i="1"/>
  <c r="K42" i="1"/>
  <c r="P37" i="1"/>
  <c r="P39" i="1"/>
  <c r="P2" i="1"/>
  <c r="P28" i="1"/>
  <c r="K25" i="1"/>
  <c r="K20" i="1"/>
  <c r="K31" i="1"/>
  <c r="K41" i="1"/>
  <c r="K39" i="1"/>
  <c r="K33" i="1"/>
  <c r="K18" i="1"/>
  <c r="K28" i="1"/>
  <c r="K34" i="1"/>
  <c r="K38" i="1"/>
  <c r="K15" i="1"/>
  <c r="K35" i="1"/>
  <c r="K22" i="1"/>
  <c r="K32" i="1"/>
  <c r="K13" i="1"/>
  <c r="K29" i="1"/>
  <c r="K5" i="1"/>
  <c r="K37" i="1"/>
  <c r="K4" i="1"/>
  <c r="K24" i="1"/>
  <c r="K30" i="1"/>
  <c r="K23" i="1"/>
  <c r="K17" i="1"/>
  <c r="K36" i="1"/>
  <c r="P21" i="1"/>
  <c r="K14" i="1"/>
  <c r="K6" i="1"/>
  <c r="K2" i="1"/>
  <c r="K8" i="1"/>
  <c r="K11" i="1"/>
  <c r="K9" i="1"/>
  <c r="K7" i="1"/>
  <c r="K19" i="1"/>
  <c r="K27" i="1"/>
  <c r="K26" i="1"/>
  <c r="K40" i="1"/>
  <c r="Q13" i="1"/>
  <c r="K3" i="1"/>
  <c r="K10" i="1"/>
  <c r="K12" i="1"/>
  <c r="K16" i="1"/>
  <c r="K21" i="1"/>
  <c r="Q7" i="1" l="1"/>
  <c r="Q18" i="1"/>
  <c r="Q10" i="1"/>
  <c r="Q8" i="1"/>
  <c r="Q45" i="1"/>
  <c r="Q46" i="1"/>
  <c r="Q44" i="1"/>
  <c r="Q43" i="1"/>
  <c r="Q42" i="1"/>
  <c r="Q32" i="1"/>
  <c r="Q3" i="1"/>
  <c r="Q26" i="1"/>
  <c r="Q5" i="1"/>
  <c r="Q15" i="1"/>
  <c r="Q6" i="1"/>
  <c r="Q22" i="1"/>
  <c r="Q9" i="1"/>
  <c r="Q36" i="1"/>
  <c r="Q30" i="1"/>
  <c r="Q40" i="1"/>
  <c r="Q2" i="1"/>
  <c r="Q27" i="1"/>
  <c r="Q20" i="1"/>
  <c r="Q4" i="1"/>
  <c r="Q12" i="1"/>
  <c r="Q21" i="1"/>
  <c r="Q17" i="1"/>
  <c r="Q29" i="1"/>
  <c r="Q14" i="1"/>
  <c r="Q16" i="1"/>
  <c r="Q19" i="1"/>
  <c r="Q31" i="1"/>
  <c r="Q35" i="1"/>
  <c r="Q23" i="1"/>
  <c r="Q11" i="1"/>
  <c r="Q28" i="1"/>
  <c r="Q33" i="1"/>
  <c r="Q41" i="1"/>
  <c r="Q34" i="1"/>
  <c r="Q39" i="1"/>
  <c r="Q24" i="1"/>
  <c r="Q38" i="1"/>
  <c r="Q37" i="1"/>
  <c r="Q25" i="1"/>
  <c r="R46" i="1" l="1"/>
  <c r="R42" i="1"/>
  <c r="R45" i="1"/>
  <c r="R44" i="1"/>
  <c r="S46" i="1"/>
  <c r="S42" i="1"/>
  <c r="S45" i="1"/>
  <c r="S44" i="1"/>
  <c r="S43" i="1"/>
  <c r="R43" i="1"/>
  <c r="R20" i="1"/>
  <c r="R15" i="1"/>
  <c r="R18" i="1"/>
  <c r="S17" i="1"/>
  <c r="R17" i="1"/>
  <c r="S41" i="1"/>
  <c r="R41" i="1"/>
  <c r="R33" i="1"/>
  <c r="S33" i="1"/>
  <c r="R10" i="1"/>
  <c r="S4" i="1"/>
  <c r="S5" i="1"/>
  <c r="S10" i="1"/>
  <c r="R11" i="1"/>
  <c r="S11" i="1"/>
  <c r="R2" i="1"/>
  <c r="S23" i="1"/>
  <c r="R23" i="1"/>
  <c r="S20" i="1"/>
  <c r="S35" i="1"/>
  <c r="R35" i="1"/>
  <c r="S40" i="1"/>
  <c r="S25" i="1"/>
  <c r="R25" i="1"/>
  <c r="S6" i="1"/>
  <c r="S26" i="1"/>
  <c r="S19" i="1"/>
  <c r="R19" i="1"/>
  <c r="R7" i="1"/>
  <c r="S38" i="1"/>
  <c r="R38" i="1"/>
  <c r="S27" i="1"/>
  <c r="S22" i="1"/>
  <c r="S14" i="1"/>
  <c r="R14" i="1"/>
  <c r="R3" i="1"/>
  <c r="R32" i="1"/>
  <c r="R30" i="1"/>
  <c r="S13" i="1"/>
  <c r="S18" i="1"/>
  <c r="R5" i="1"/>
  <c r="R36" i="1"/>
  <c r="S28" i="1"/>
  <c r="R28" i="1"/>
  <c r="S36" i="1"/>
  <c r="R4" i="1"/>
  <c r="R8" i="1"/>
  <c r="R12" i="1"/>
  <c r="S8" i="1"/>
  <c r="S2" i="1"/>
  <c r="S12" i="1"/>
  <c r="R6" i="1"/>
  <c r="R26" i="1"/>
  <c r="R31" i="1"/>
  <c r="S31" i="1"/>
  <c r="R40" i="1"/>
  <c r="S37" i="1"/>
  <c r="R37" i="1"/>
  <c r="R27" i="1"/>
  <c r="R22" i="1"/>
  <c r="S16" i="1"/>
  <c r="R16" i="1"/>
  <c r="S7" i="1"/>
  <c r="S24" i="1"/>
  <c r="R24" i="1"/>
  <c r="R39" i="1"/>
  <c r="S39" i="1"/>
  <c r="S29" i="1"/>
  <c r="R29" i="1"/>
  <c r="S3" i="1"/>
  <c r="S32" i="1"/>
  <c r="S30" i="1"/>
  <c r="R9" i="1"/>
  <c r="S34" i="1"/>
  <c r="R34" i="1"/>
  <c r="S21" i="1"/>
  <c r="R21" i="1"/>
  <c r="R13" i="1"/>
  <c r="S15" i="1"/>
  <c r="S9" i="1"/>
</calcChain>
</file>

<file path=xl/sharedStrings.xml><?xml version="1.0" encoding="utf-8"?>
<sst xmlns="http://schemas.openxmlformats.org/spreadsheetml/2006/main" count="295" uniqueCount="161">
  <si>
    <t>Name</t>
  </si>
  <si>
    <t>Date</t>
  </si>
  <si>
    <t>Volume</t>
  </si>
  <si>
    <t>Price</t>
  </si>
  <si>
    <t>Value</t>
  </si>
  <si>
    <t>MO</t>
  </si>
  <si>
    <t>Altaria</t>
  </si>
  <si>
    <t>Visa</t>
  </si>
  <si>
    <t>Master Card</t>
  </si>
  <si>
    <t>QCOM</t>
  </si>
  <si>
    <t>QualComm2</t>
  </si>
  <si>
    <t>Microsoft</t>
  </si>
  <si>
    <t>MSFT</t>
  </si>
  <si>
    <t>AAPL</t>
  </si>
  <si>
    <t>Apple2</t>
  </si>
  <si>
    <t>Pepsi</t>
  </si>
  <si>
    <t>PEP</t>
  </si>
  <si>
    <t>GOOGL</t>
  </si>
  <si>
    <t>Google</t>
  </si>
  <si>
    <t>Kimberly Clark</t>
  </si>
  <si>
    <t>KMB</t>
  </si>
  <si>
    <t>TSMC</t>
  </si>
  <si>
    <t>TSM</t>
  </si>
  <si>
    <t>Nvidia</t>
  </si>
  <si>
    <t>NVDA</t>
  </si>
  <si>
    <t>V</t>
  </si>
  <si>
    <t>NextEra Energy</t>
  </si>
  <si>
    <t>NEE</t>
  </si>
  <si>
    <t>MA</t>
  </si>
  <si>
    <t>Applied Material</t>
  </si>
  <si>
    <t>AMAT</t>
  </si>
  <si>
    <t>Duke Energy</t>
  </si>
  <si>
    <t>DUK</t>
  </si>
  <si>
    <t>LVMH</t>
  </si>
  <si>
    <t>MC.PA</t>
  </si>
  <si>
    <t>Chapter</t>
  </si>
  <si>
    <t>Tech</t>
  </si>
  <si>
    <t>Banking</t>
  </si>
  <si>
    <t>US Consumer</t>
  </si>
  <si>
    <t>Asia Consumer</t>
  </si>
  <si>
    <t>Energy</t>
  </si>
  <si>
    <t>DAR</t>
  </si>
  <si>
    <t>MSG</t>
  </si>
  <si>
    <t>INGR</t>
  </si>
  <si>
    <t>CSIQ</t>
  </si>
  <si>
    <t>Canadian Solar</t>
  </si>
  <si>
    <t>FSLR</t>
  </si>
  <si>
    <t>First Solar</t>
  </si>
  <si>
    <t>JKS</t>
  </si>
  <si>
    <t>Jinko Solar</t>
  </si>
  <si>
    <t>MAXN</t>
  </si>
  <si>
    <t>Maxeon Solar</t>
  </si>
  <si>
    <t>SEDG</t>
  </si>
  <si>
    <t>SolarWinds</t>
  </si>
  <si>
    <t>SWI</t>
  </si>
  <si>
    <t>Walmart</t>
  </si>
  <si>
    <t>WMT</t>
  </si>
  <si>
    <t>YUMC</t>
  </si>
  <si>
    <t>Yum China Holding</t>
  </si>
  <si>
    <t>Yum! Brands</t>
  </si>
  <si>
    <t>YUM</t>
  </si>
  <si>
    <t>ASML</t>
  </si>
  <si>
    <t>Volatility</t>
  </si>
  <si>
    <t>Ranking</t>
  </si>
  <si>
    <t>Mix %</t>
  </si>
  <si>
    <t>Target Price</t>
  </si>
  <si>
    <t>Tolerance</t>
  </si>
  <si>
    <t>Expected Return QoQ%</t>
  </si>
  <si>
    <t>Unit Profit</t>
  </si>
  <si>
    <t>Unit Half Loss</t>
  </si>
  <si>
    <t>Balance Risk</t>
  </si>
  <si>
    <t>Normalized Risk</t>
  </si>
  <si>
    <t>Normalized Risk %</t>
  </si>
  <si>
    <t>Automotive</t>
  </si>
  <si>
    <t>Aptive Autoparts</t>
  </si>
  <si>
    <t>APTV</t>
  </si>
  <si>
    <t>Forex</t>
  </si>
  <si>
    <t>Mexican Peso</t>
  </si>
  <si>
    <t>USDMXN=X</t>
  </si>
  <si>
    <t>Japan Yen</t>
  </si>
  <si>
    <t>USDJPY=X</t>
  </si>
  <si>
    <t>Gold</t>
  </si>
  <si>
    <t>GC=F</t>
  </si>
  <si>
    <t>Risk Mix</t>
  </si>
  <si>
    <t>Ticker</t>
  </si>
  <si>
    <t>Palantir</t>
  </si>
  <si>
    <t>PLTR</t>
  </si>
  <si>
    <t>ING Group NV</t>
  </si>
  <si>
    <t>ING</t>
  </si>
  <si>
    <t>Industrials</t>
  </si>
  <si>
    <t>3M</t>
  </si>
  <si>
    <t>MMM</t>
  </si>
  <si>
    <t>Excelon</t>
  </si>
  <si>
    <t>EXC</t>
  </si>
  <si>
    <t>PG&amp;E</t>
  </si>
  <si>
    <t>PCG</t>
  </si>
  <si>
    <t>APA</t>
  </si>
  <si>
    <t>Health</t>
  </si>
  <si>
    <t>Agios</t>
  </si>
  <si>
    <t>AGIO</t>
  </si>
  <si>
    <t>Albertson Companies</t>
  </si>
  <si>
    <t>ACI</t>
  </si>
  <si>
    <t>HCA Healthcare</t>
  </si>
  <si>
    <t>HCA</t>
  </si>
  <si>
    <t>Nombre Ticker</t>
  </si>
  <si>
    <t>Annual Return</t>
  </si>
  <si>
    <t>Annual Volatility</t>
  </si>
  <si>
    <t>Monthly Return</t>
  </si>
  <si>
    <t>Monthly Volatility</t>
  </si>
  <si>
    <t>3M Company</t>
  </si>
  <si>
    <t>Agios Pharmaceuticals, Inc.</t>
  </si>
  <si>
    <t>HCA Healthcare, Inc.</t>
  </si>
  <si>
    <t>Maxeon Solar Technologies, Ltd.</t>
  </si>
  <si>
    <t>NextEra Energy, Inc.</t>
  </si>
  <si>
    <t>First Solar, Inc.</t>
  </si>
  <si>
    <t>Duke Energy Corporation (Holdin</t>
  </si>
  <si>
    <t>JinkoSolar Holding Company Limi</t>
  </si>
  <si>
    <t>SolarWinds Corporation</t>
  </si>
  <si>
    <t>Canadian Solar Inc.</t>
  </si>
  <si>
    <t>Exelon Corporation</t>
  </si>
  <si>
    <t>Pacific Gas &amp; Electric Co.</t>
  </si>
  <si>
    <t>APA Corporation</t>
  </si>
  <si>
    <t>Altria Group, Inc.</t>
  </si>
  <si>
    <t>Kimberly-Clark Corporation</t>
  </si>
  <si>
    <t>Pepsico, Inc.</t>
  </si>
  <si>
    <t>Walmart Inc.</t>
  </si>
  <si>
    <t>Albertsons Companies, Inc.</t>
  </si>
  <si>
    <t>Tic</t>
  </si>
  <si>
    <t>ker Vo</t>
  </si>
  <si>
    <t>lume % Optimal</t>
  </si>
  <si>
    <t>Weight</t>
  </si>
  <si>
    <t>Taiwan Semiconductor Manufactur</t>
  </si>
  <si>
    <t>QUALCOMM Incorporated</t>
  </si>
  <si>
    <t>Apple Inc.</t>
  </si>
  <si>
    <t>Microsoft Corporation</t>
  </si>
  <si>
    <t>Alphabet Inc.</t>
  </si>
  <si>
    <t>ASML Holding N.V. - New York Re</t>
  </si>
  <si>
    <t>NVIDIA Corporation</t>
  </si>
  <si>
    <t>Applied Materials, Inc.</t>
  </si>
  <si>
    <t>Palantir Technologies Inc.</t>
  </si>
  <si>
    <t>YPF Sociedad Anonima</t>
  </si>
  <si>
    <t>YPF</t>
  </si>
  <si>
    <t>Yum! Brands, Inc.</t>
  </si>
  <si>
    <t>Ingredion Incorporated</t>
  </si>
  <si>
    <t>Yum China Holdings, Inc.</t>
  </si>
  <si>
    <t>Darling Ingredients Inc.</t>
  </si>
  <si>
    <t>Aptiv PLC</t>
  </si>
  <si>
    <t>ING Group, N.V.</t>
  </si>
  <si>
    <t>Visa Inc.</t>
  </si>
  <si>
    <t>Mastercard Incorporated</t>
  </si>
  <si>
    <t>ETF</t>
  </si>
  <si>
    <t>BOTZ.UK</t>
  </si>
  <si>
    <t>BATT.NL</t>
  </si>
  <si>
    <t>VBTC.DE</t>
  </si>
  <si>
    <t>ETF5</t>
  </si>
  <si>
    <t>BONDS</t>
  </si>
  <si>
    <t>VWO.US</t>
  </si>
  <si>
    <t>Robotics &amp; AI</t>
  </si>
  <si>
    <t>Batterey Value-Chain</t>
  </si>
  <si>
    <t>Emergin Markets</t>
  </si>
  <si>
    <t>Bitcoin ETF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</si>
</sst>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(&quot;$&quot;* #,##0.00_);_(&quot;$&quot;* \(#,##0.00\);_(&quot;$&quot;* &quot;-&quot;??_);_(@_)"/>
    <numFmt numFmtId="164" formatCode="0.0000"/>
    <numFmt numFmtId="165" formatCode="[$-F800]dddd\,\ mmmm\ dd\,\ yyyy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1">
    <xf numFmtId="0" fontId="0" fillId="0" borderId="0" xfId="0"/>
    <xf numFmtId="44" fontId="0" fillId="0" borderId="0" xfId="1" applyFont="1"/>
    <xf numFmtId="164" fontId="0" fillId="0" borderId="0" xfId="1" applyNumberFormat="1" applyFon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165" fontId="0" fillId="0" borderId="0" xfId="0" applyNumberFormat="1" applyAlignment="1">
      <alignment horizontal="left"/>
    </xf>
    <xf numFmtId="9" fontId="0" fillId="0" borderId="0" xfId="2" applyFont="1" applyAlignment="1">
      <alignment horizontal="center" vertical="center"/>
    </xf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44" fontId="0" fillId="0" borderId="0" xfId="0" applyNumberFormat="1"/>
    <xf numFmtId="0" fontId="0" fillId="7" borderId="0" xfId="0" applyFill="1"/>
    <xf numFmtId="44" fontId="0" fillId="0" borderId="0" xfId="2" applyNumberFormat="1" applyFont="1" applyAlignment="1">
      <alignment horizontal="center" vertical="center"/>
    </xf>
    <xf numFmtId="0" fontId="0" fillId="0" borderId="0" xfId="0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164" fontId="0" fillId="0" borderId="0" xfId="1" applyNumberFormat="1" applyFont="1" applyAlignment="1">
      <alignment horizontal="center" vertical="center" wrapText="1"/>
    </xf>
    <xf numFmtId="44" fontId="0" fillId="0" borderId="0" xfId="1" applyFont="1" applyAlignment="1">
      <alignment horizontal="center" vertical="center" wrapText="1"/>
    </xf>
    <xf numFmtId="10" fontId="0" fillId="0" borderId="0" xfId="0" applyNumberFormat="1"/>
    <xf numFmtId="0" fontId="0" fillId="8" borderId="0" xfId="0" applyFill="1"/>
  </cellXfs>
  <cellStyles count="3">
    <cellStyle name="Currency" xfId="1" builtinId="4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S46"/>
  <sheetViews>
    <sheetView tabSelected="1" workbookViewId="0">
      <selection activeCell="D56" sqref="D56"/>
    </sheetView>
  </sheetViews>
  <sheetFormatPr defaultRowHeight="15" x14ac:dyDescent="0.25"/>
  <cols>
    <col min="1" max="1" width="14.28515625" bestFit="1" customWidth="1"/>
    <col min="2" max="2" width="17.85546875" bestFit="1" customWidth="1"/>
    <col min="3" max="3" width="11" bestFit="1" customWidth="1"/>
    <col min="4" max="4" width="30.42578125" style="8" customWidth="1"/>
    <col min="5" max="5" width="12.5703125" style="2" bestFit="1" customWidth="1"/>
    <col min="6" max="6" width="10.5703125" style="1" bestFit="1" customWidth="1"/>
    <col min="7" max="7" width="11.140625" style="1" bestFit="1" customWidth="1"/>
    <col min="8" max="9" width="13.7109375" style="10" bestFit="1" customWidth="1"/>
    <col min="10" max="10" width="9.140625" style="10"/>
    <col min="11" max="11" width="7.5703125" style="10" customWidth="1"/>
    <col min="12" max="12" width="11.42578125" bestFit="1" customWidth="1"/>
    <col min="13" max="13" width="14.28515625" bestFit="1" customWidth="1"/>
    <col min="14" max="14" width="10.5703125" bestFit="1" customWidth="1"/>
    <col min="15" max="15" width="13.28515625" bestFit="1" customWidth="1"/>
    <col min="16" max="16" width="12.42578125" bestFit="1" customWidth="1"/>
    <col min="17" max="17" width="14.7109375" bestFit="1" customWidth="1"/>
    <col min="18" max="18" width="12.85546875" bestFit="1" customWidth="1"/>
    <col min="19" max="19" width="15.85546875" bestFit="1" customWidth="1"/>
  </cols>
  <sheetData>
    <row r="1" spans="1:19" ht="45" customHeight="1" x14ac:dyDescent="0.25">
      <c r="A1" s="15" t="s">
        <v>35</v>
      </c>
      <c r="B1" s="15" t="s">
        <v>0</v>
      </c>
      <c r="C1" s="15" t="s">
        <v>84</v>
      </c>
      <c r="D1" s="16" t="s">
        <v>1</v>
      </c>
      <c r="E1" s="17" t="s">
        <v>2</v>
      </c>
      <c r="F1" s="18" t="s">
        <v>3</v>
      </c>
      <c r="G1" s="18" t="s">
        <v>4</v>
      </c>
      <c r="H1" s="15" t="s">
        <v>67</v>
      </c>
      <c r="I1" s="15" t="s">
        <v>62</v>
      </c>
      <c r="J1" s="15" t="s">
        <v>63</v>
      </c>
      <c r="K1" s="15" t="s">
        <v>64</v>
      </c>
      <c r="L1" s="15" t="s">
        <v>65</v>
      </c>
      <c r="M1" s="15" t="s">
        <v>66</v>
      </c>
      <c r="N1" s="15" t="s">
        <v>68</v>
      </c>
      <c r="O1" s="15" t="s">
        <v>69</v>
      </c>
      <c r="P1" s="15" t="s">
        <v>70</v>
      </c>
      <c r="Q1" s="15" t="s">
        <v>71</v>
      </c>
      <c r="R1" s="15" t="s">
        <v>83</v>
      </c>
      <c r="S1" s="15" t="s">
        <v>72</v>
      </c>
    </row>
    <row r="2" spans="1:19" hidden="1" x14ac:dyDescent="0.25">
      <c r="A2" t="s">
        <v>150</v>
      </c>
      <c r="B2" s="7" t="s">
        <v>157</v>
      </c>
      <c r="C2" t="s">
        <v>151</v>
      </c>
      <c r="D2" s="8">
        <v>45481</v>
      </c>
      <c r="E2" s="2">
        <v>2</v>
      </c>
      <c r="F2" s="1">
        <v>20.928000000000001</v>
      </c>
      <c r="G2" s="1">
        <f t="shared" ref="G2:G46" si="0">E2*F2</f>
        <v>41.856000000000002</v>
      </c>
      <c r="H2" s="11">
        <f>IFERROR(INDEX(Sheet1!$B:$C,MATCH(Positions!$C2,Sheet1!$G:$G,0),1),2.5%)</f>
        <v>2.5000000000000001E-2</v>
      </c>
      <c r="I2" s="11">
        <f>IFERROR(INDEX(Sheet1!$B:$C,MATCH(Positions!$C2,Sheet1!$G:$G,0),2),25%)</f>
        <v>0.25</v>
      </c>
      <c r="J2" s="9">
        <f t="shared" ref="J2:J41" si="1">IFERROR(H2/I2,"")</f>
        <v>0.1</v>
      </c>
      <c r="K2" s="9">
        <f t="shared" ref="K2:K46" si="2">IFERROR(J2/SUBTOTAL(9,$J$2:$J$1048576),"")</f>
        <v>0.2304893482747446</v>
      </c>
      <c r="L2" s="12">
        <f>IF((1+H2)*F2&lt;0,0,(1+H2)*F2)</f>
        <v>21.4512</v>
      </c>
      <c r="M2" s="12">
        <f t="shared" ref="M2:M41" si="3">F2/(1+I2-H2)</f>
        <v>17.08408163265306</v>
      </c>
      <c r="N2" s="12">
        <f t="shared" ref="N2:N41" si="4">L2-F2</f>
        <v>0.52319999999999922</v>
      </c>
      <c r="O2" s="12">
        <f t="shared" ref="O2:O41" si="5">0.5*(M2-F2)</f>
        <v>-1.9219591836734704</v>
      </c>
      <c r="P2" s="14">
        <f t="shared" ref="P2:P41" si="6">N2+O2</f>
        <v>-1.3987591836734712</v>
      </c>
      <c r="Q2" s="12">
        <f t="shared" ref="Q2:Q46" si="7">MAX($P$2:$P$280)-P2</f>
        <v>124.96533858846676</v>
      </c>
      <c r="R2" s="9">
        <f t="shared" ref="R2:R46" si="8">IFERROR((SUBTOTAL(109,$Q$2:$Q$1048576)/Q2)/SUBTOTAL(109,$Q$2:$Q$1048576),0)</f>
        <v>8.0022189456324284E-3</v>
      </c>
      <c r="S2" s="9">
        <f t="shared" ref="S2:S41" si="9">Q2/MAX($Q$2:$Q$28)</f>
        <v>0.90223634458197444</v>
      </c>
    </row>
    <row r="3" spans="1:19" hidden="1" x14ac:dyDescent="0.25">
      <c r="A3" t="s">
        <v>150</v>
      </c>
      <c r="B3" s="7" t="s">
        <v>158</v>
      </c>
      <c r="C3" t="s">
        <v>152</v>
      </c>
      <c r="D3" s="8">
        <v>45481</v>
      </c>
      <c r="E3" s="2">
        <v>2</v>
      </c>
      <c r="F3" s="1">
        <v>16.399999999999999</v>
      </c>
      <c r="G3" s="1">
        <f t="shared" si="0"/>
        <v>32.799999999999997</v>
      </c>
      <c r="H3" s="11">
        <f>IFERROR(INDEX(Sheet1!$B:$C,MATCH(Positions!$C3,Sheet1!$G:$G,0),1),2.5%)</f>
        <v>2.5000000000000001E-2</v>
      </c>
      <c r="I3" s="11">
        <f>IFERROR(INDEX(Sheet1!$B:$C,MATCH(Positions!$C3,Sheet1!$G:$G,0),2),25%)</f>
        <v>0.25</v>
      </c>
      <c r="J3" s="9">
        <f t="shared" si="1"/>
        <v>0.1</v>
      </c>
      <c r="K3" s="9">
        <f t="shared" si="2"/>
        <v>0.2304893482747446</v>
      </c>
      <c r="L3" s="12">
        <f t="shared" ref="L3:L41" si="10">IF((1+H3)*F3&lt;0,0,(1+H3)*F3)</f>
        <v>16.809999999999999</v>
      </c>
      <c r="M3" s="12">
        <f t="shared" si="3"/>
        <v>13.387755102040813</v>
      </c>
      <c r="N3" s="12">
        <f t="shared" si="4"/>
        <v>0.41000000000000014</v>
      </c>
      <c r="O3" s="12">
        <f t="shared" si="5"/>
        <v>-1.5061224489795926</v>
      </c>
      <c r="P3" s="14">
        <f t="shared" si="6"/>
        <v>-1.0961224489795924</v>
      </c>
      <c r="Q3" s="12">
        <f t="shared" si="7"/>
        <v>124.66270185377289</v>
      </c>
      <c r="R3" s="9">
        <f t="shared" si="8"/>
        <v>8.0216454892256556E-3</v>
      </c>
      <c r="S3" s="9">
        <f t="shared" si="9"/>
        <v>0.90005133980920593</v>
      </c>
    </row>
    <row r="4" spans="1:19" hidden="1" x14ac:dyDescent="0.25">
      <c r="A4" t="s">
        <v>37</v>
      </c>
      <c r="B4" s="4" t="s">
        <v>87</v>
      </c>
      <c r="C4" s="20" t="s">
        <v>88</v>
      </c>
      <c r="D4" s="8">
        <v>45623</v>
      </c>
      <c r="E4" s="2">
        <v>1.9595</v>
      </c>
      <c r="F4" s="1">
        <v>15.3</v>
      </c>
      <c r="G4" s="1">
        <f t="shared" si="0"/>
        <v>29.980350000000001</v>
      </c>
      <c r="H4" s="11">
        <f>IFERROR(INDEX(Sheet1!$B:$C,MATCH(Positions!$C4,Sheet1!$G:$G,0),1),2.5%)</f>
        <v>8.0299999999999996E-2</v>
      </c>
      <c r="I4" s="11">
        <f>IFERROR(INDEX(Sheet1!$B:$C,MATCH(Positions!$C4,Sheet1!$G:$G,0),2),25%)</f>
        <v>0.36080000000000001</v>
      </c>
      <c r="J4" s="9">
        <f t="shared" si="1"/>
        <v>0.22256097560975607</v>
      </c>
      <c r="K4" s="9">
        <f t="shared" si="2"/>
        <v>0.51297934219684005</v>
      </c>
      <c r="L4" s="12">
        <f t="shared" si="10"/>
        <v>16.528590000000001</v>
      </c>
      <c r="M4" s="12">
        <f t="shared" si="3"/>
        <v>11.948457633736822</v>
      </c>
      <c r="N4" s="12">
        <f t="shared" si="4"/>
        <v>1.2285900000000005</v>
      </c>
      <c r="O4" s="12">
        <f t="shared" si="5"/>
        <v>-1.6757711831315891</v>
      </c>
      <c r="P4" s="14">
        <f t="shared" si="6"/>
        <v>-0.44718118313158861</v>
      </c>
      <c r="Q4" s="12">
        <f t="shared" si="7"/>
        <v>124.01376058792488</v>
      </c>
      <c r="R4" s="9">
        <f t="shared" si="8"/>
        <v>8.0636212889537134E-3</v>
      </c>
      <c r="S4" s="9">
        <f t="shared" si="9"/>
        <v>0.89536605345572151</v>
      </c>
    </row>
    <row r="5" spans="1:19" hidden="1" x14ac:dyDescent="0.25">
      <c r="A5" t="s">
        <v>40</v>
      </c>
      <c r="B5" s="7" t="s">
        <v>96</v>
      </c>
      <c r="C5" t="s">
        <v>96</v>
      </c>
      <c r="D5" s="8">
        <v>45627</v>
      </c>
      <c r="E5" s="2">
        <v>1.8976999999999999</v>
      </c>
      <c r="F5" s="1">
        <v>21.73</v>
      </c>
      <c r="G5" s="1">
        <f t="shared" si="0"/>
        <v>41.237020999999999</v>
      </c>
      <c r="H5" s="11">
        <f>IFERROR(INDEX(Sheet1!$B:$C,MATCH(Positions!$C5,Sheet1!$G:$G,0),1),2.5%)</f>
        <v>-4.8300000000000003E-2</v>
      </c>
      <c r="I5" s="11">
        <f>IFERROR(INDEX(Sheet1!$B:$C,MATCH(Positions!$C5,Sheet1!$G:$G,0),2),25%)</f>
        <v>0.61990000000000001</v>
      </c>
      <c r="J5" s="9">
        <f t="shared" si="1"/>
        <v>-7.7915792869817715E-2</v>
      </c>
      <c r="K5" s="9">
        <f t="shared" si="2"/>
        <v>-0.17958760318874276</v>
      </c>
      <c r="L5" s="12">
        <f t="shared" si="10"/>
        <v>20.680441000000002</v>
      </c>
      <c r="M5" s="12">
        <f t="shared" si="3"/>
        <v>13.026016065219999</v>
      </c>
      <c r="N5" s="12">
        <f t="shared" si="4"/>
        <v>-1.0495589999999986</v>
      </c>
      <c r="O5" s="12">
        <f t="shared" si="5"/>
        <v>-4.3519919673900009</v>
      </c>
      <c r="P5" s="14">
        <f t="shared" si="6"/>
        <v>-5.4015509673899995</v>
      </c>
      <c r="Q5" s="12">
        <f t="shared" si="7"/>
        <v>128.96813037218328</v>
      </c>
      <c r="R5" s="9">
        <f t="shared" si="8"/>
        <v>7.7538535847123261E-3</v>
      </c>
      <c r="S5" s="9">
        <f t="shared" si="9"/>
        <v>0.93113607204125293</v>
      </c>
    </row>
    <row r="6" spans="1:19" hidden="1" x14ac:dyDescent="0.25">
      <c r="A6" t="s">
        <v>38</v>
      </c>
      <c r="B6" s="5" t="s">
        <v>6</v>
      </c>
      <c r="C6" t="s">
        <v>5</v>
      </c>
      <c r="D6" s="8">
        <v>45553</v>
      </c>
      <c r="E6" s="2">
        <v>1.7345999999999999</v>
      </c>
      <c r="F6" s="1">
        <v>51.88</v>
      </c>
      <c r="G6" s="1">
        <f t="shared" si="0"/>
        <v>89.991048000000006</v>
      </c>
      <c r="H6" s="11">
        <f>IFERROR(INDEX(Sheet1!$B:$C,MATCH(Positions!$C6,Sheet1!$G:$G,0),1),2.5%)</f>
        <v>5.6500000000000002E-2</v>
      </c>
      <c r="I6" s="11">
        <f>IFERROR(INDEX(Sheet1!$B:$C,MATCH(Positions!$C6,Sheet1!$G:$G,0),2),25%)</f>
        <v>0.22939999999999999</v>
      </c>
      <c r="J6" s="9">
        <f t="shared" si="1"/>
        <v>0.24629468177855277</v>
      </c>
      <c r="K6" s="9">
        <f t="shared" si="2"/>
        <v>0.56768300686674245</v>
      </c>
      <c r="L6" s="12">
        <f t="shared" si="10"/>
        <v>54.811220000000006</v>
      </c>
      <c r="M6" s="12">
        <f t="shared" si="3"/>
        <v>44.232244863159693</v>
      </c>
      <c r="N6" s="12">
        <f t="shared" si="4"/>
        <v>2.9312200000000033</v>
      </c>
      <c r="O6" s="12">
        <f t="shared" si="5"/>
        <v>-3.8238775684201549</v>
      </c>
      <c r="P6" s="14">
        <f t="shared" si="6"/>
        <v>-0.89265756842015165</v>
      </c>
      <c r="Q6" s="12">
        <f t="shared" si="7"/>
        <v>124.45923697321344</v>
      </c>
      <c r="R6" s="9">
        <f t="shared" si="8"/>
        <v>8.0347592056604338E-3</v>
      </c>
      <c r="S6" s="9">
        <f t="shared" si="9"/>
        <v>0.8985823451890953</v>
      </c>
    </row>
    <row r="7" spans="1:19" hidden="1" x14ac:dyDescent="0.25">
      <c r="A7" t="s">
        <v>150</v>
      </c>
      <c r="B7" s="7" t="s">
        <v>159</v>
      </c>
      <c r="C7" t="s">
        <v>156</v>
      </c>
      <c r="D7" s="8">
        <v>45688</v>
      </c>
      <c r="E7" s="2">
        <v>1</v>
      </c>
      <c r="F7" s="1">
        <v>44.24</v>
      </c>
      <c r="G7" s="1">
        <f t="shared" si="0"/>
        <v>44.24</v>
      </c>
      <c r="H7" s="11">
        <f>IFERROR(INDEX(Sheet1!$B:$C,MATCH(Positions!$C7,Sheet1!$G:$G,0),1),2.5%)</f>
        <v>2.5000000000000001E-2</v>
      </c>
      <c r="I7" s="11">
        <f>IFERROR(INDEX(Sheet1!$B:$C,MATCH(Positions!$C7,Sheet1!$G:$G,0),2),25%)</f>
        <v>0.25</v>
      </c>
      <c r="J7" s="9">
        <f t="shared" si="1"/>
        <v>0.1</v>
      </c>
      <c r="K7" s="9">
        <f t="shared" si="2"/>
        <v>0.2304893482747446</v>
      </c>
      <c r="L7" s="12">
        <f t="shared" si="10"/>
        <v>45.345999999999997</v>
      </c>
      <c r="M7" s="12">
        <f t="shared" si="3"/>
        <v>36.114285714285714</v>
      </c>
      <c r="N7" s="12">
        <f t="shared" si="4"/>
        <v>1.1059999999999945</v>
      </c>
      <c r="O7" s="12">
        <f t="shared" si="5"/>
        <v>-4.0628571428571441</v>
      </c>
      <c r="P7" s="14">
        <f t="shared" si="6"/>
        <v>-2.9568571428571495</v>
      </c>
      <c r="Q7" s="12">
        <f t="shared" si="7"/>
        <v>126.52343654765043</v>
      </c>
      <c r="R7" s="9">
        <f t="shared" si="8"/>
        <v>7.9036740329400269E-3</v>
      </c>
      <c r="S7" s="9">
        <f t="shared" si="9"/>
        <v>0.91348564477251748</v>
      </c>
    </row>
    <row r="8" spans="1:19" hidden="1" x14ac:dyDescent="0.25">
      <c r="A8" t="s">
        <v>150</v>
      </c>
      <c r="B8" s="7" t="s">
        <v>160</v>
      </c>
      <c r="C8" t="s">
        <v>153</v>
      </c>
      <c r="D8" s="8">
        <v>45481</v>
      </c>
      <c r="E8" s="2">
        <v>1</v>
      </c>
      <c r="F8" s="1">
        <v>48.68</v>
      </c>
      <c r="G8" s="1">
        <f t="shared" si="0"/>
        <v>48.68</v>
      </c>
      <c r="H8" s="11">
        <f>IFERROR(INDEX(Sheet1!$B:$C,MATCH(Positions!$C8,Sheet1!$G:$G,0),1),2.5%)</f>
        <v>2.5000000000000001E-2</v>
      </c>
      <c r="I8" s="11">
        <f>IFERROR(INDEX(Sheet1!$B:$C,MATCH(Positions!$C8,Sheet1!$G:$G,0),2),25%)</f>
        <v>0.25</v>
      </c>
      <c r="J8" s="9">
        <f t="shared" si="1"/>
        <v>0.1</v>
      </c>
      <c r="K8" s="9">
        <f t="shared" si="2"/>
        <v>0.2304893482747446</v>
      </c>
      <c r="L8" s="12">
        <f t="shared" si="10"/>
        <v>49.896999999999998</v>
      </c>
      <c r="M8" s="12">
        <f t="shared" si="3"/>
        <v>39.738775510204079</v>
      </c>
      <c r="N8" s="12">
        <f t="shared" si="4"/>
        <v>1.2169999999999987</v>
      </c>
      <c r="O8" s="12">
        <f t="shared" si="5"/>
        <v>-4.4706122448979606</v>
      </c>
      <c r="P8" s="14">
        <f t="shared" si="6"/>
        <v>-3.2536122448979619</v>
      </c>
      <c r="Q8" s="12">
        <f t="shared" si="7"/>
        <v>126.82019164969125</v>
      </c>
      <c r="R8" s="9">
        <f t="shared" si="8"/>
        <v>7.885179694115646E-3</v>
      </c>
      <c r="S8" s="9">
        <f t="shared" si="9"/>
        <v>0.91562818478821795</v>
      </c>
    </row>
    <row r="9" spans="1:19" hidden="1" x14ac:dyDescent="0.25">
      <c r="A9" t="s">
        <v>150</v>
      </c>
      <c r="B9" s="7" t="s">
        <v>154</v>
      </c>
      <c r="C9" t="s">
        <v>155</v>
      </c>
      <c r="D9" s="8">
        <v>45481</v>
      </c>
      <c r="E9" s="2">
        <v>1</v>
      </c>
      <c r="F9" s="1">
        <v>51.28</v>
      </c>
      <c r="G9" s="1">
        <f t="shared" si="0"/>
        <v>51.28</v>
      </c>
      <c r="H9" s="11">
        <f>IFERROR(INDEX(Sheet1!$B:$C,MATCH(Positions!$C9,Sheet1!$G:$G,0),1),2.5%)</f>
        <v>2.5000000000000001E-2</v>
      </c>
      <c r="I9" s="11">
        <f>IFERROR(INDEX(Sheet1!$B:$C,MATCH(Positions!$C9,Sheet1!$G:$G,0),2),25%)</f>
        <v>0.25</v>
      </c>
      <c r="J9" s="9">
        <f t="shared" si="1"/>
        <v>0.1</v>
      </c>
      <c r="K9" s="9">
        <f t="shared" si="2"/>
        <v>0.2304893482747446</v>
      </c>
      <c r="L9" s="12">
        <f t="shared" si="10"/>
        <v>52.561999999999998</v>
      </c>
      <c r="M9" s="12">
        <f t="shared" si="3"/>
        <v>41.861224489795916</v>
      </c>
      <c r="N9" s="12">
        <f t="shared" si="4"/>
        <v>1.2819999999999965</v>
      </c>
      <c r="O9" s="12">
        <f t="shared" si="5"/>
        <v>-4.7093877551020427</v>
      </c>
      <c r="P9" s="14">
        <f t="shared" si="6"/>
        <v>-3.4273877551020462</v>
      </c>
      <c r="Q9" s="12">
        <f t="shared" si="7"/>
        <v>126.99396715989533</v>
      </c>
      <c r="R9" s="9">
        <f t="shared" si="8"/>
        <v>7.8743898026346539E-3</v>
      </c>
      <c r="S9" s="9">
        <f t="shared" si="9"/>
        <v>0.91688282533795251</v>
      </c>
    </row>
    <row r="10" spans="1:19" hidden="1" x14ac:dyDescent="0.25">
      <c r="A10" t="s">
        <v>40</v>
      </c>
      <c r="B10" s="7" t="s">
        <v>141</v>
      </c>
      <c r="C10" t="s">
        <v>141</v>
      </c>
      <c r="D10" s="8">
        <v>45627</v>
      </c>
      <c r="E10" s="2">
        <v>0.95840000000000003</v>
      </c>
      <c r="F10" s="1">
        <v>41.76</v>
      </c>
      <c r="G10" s="1">
        <f t="shared" si="0"/>
        <v>40.022784000000001</v>
      </c>
      <c r="H10" s="11">
        <f>IFERROR(INDEX(Sheet1!$B:$C,MATCH(Positions!$C10,Sheet1!$G:$G,0),1),2.5%)</f>
        <v>0.10249999999999999</v>
      </c>
      <c r="I10" s="11">
        <f>IFERROR(INDEX(Sheet1!$B:$C,MATCH(Positions!$C10,Sheet1!$G:$G,0),2),25%)</f>
        <v>0.54600000000000004</v>
      </c>
      <c r="J10" s="9">
        <f t="shared" si="1"/>
        <v>0.1877289377289377</v>
      </c>
      <c r="K10" s="9">
        <f t="shared" si="2"/>
        <v>0.43269520509452963</v>
      </c>
      <c r="L10" s="12">
        <f t="shared" si="10"/>
        <v>46.040399999999998</v>
      </c>
      <c r="M10" s="12">
        <f t="shared" si="3"/>
        <v>28.929684793903704</v>
      </c>
      <c r="N10" s="12">
        <f t="shared" si="4"/>
        <v>4.2804000000000002</v>
      </c>
      <c r="O10" s="12">
        <f t="shared" si="5"/>
        <v>-6.4151576030481472</v>
      </c>
      <c r="P10" s="14">
        <f t="shared" si="6"/>
        <v>-2.134757603048147</v>
      </c>
      <c r="Q10" s="12">
        <f t="shared" si="7"/>
        <v>125.70133700784143</v>
      </c>
      <c r="R10" s="9">
        <f t="shared" si="8"/>
        <v>7.9553648656705903E-3</v>
      </c>
      <c r="S10" s="9">
        <f t="shared" si="9"/>
        <v>0.90755017424878737</v>
      </c>
    </row>
    <row r="11" spans="1:19" hidden="1" x14ac:dyDescent="0.25">
      <c r="A11" t="s">
        <v>40</v>
      </c>
      <c r="B11" s="7" t="s">
        <v>26</v>
      </c>
      <c r="C11" t="s">
        <v>27</v>
      </c>
      <c r="D11" s="8">
        <v>45511</v>
      </c>
      <c r="E11" s="2">
        <v>0.45179999999999998</v>
      </c>
      <c r="F11" s="1">
        <v>77.430000000000007</v>
      </c>
      <c r="G11" s="1">
        <f t="shared" si="0"/>
        <v>34.982874000000002</v>
      </c>
      <c r="H11" s="11">
        <f>IFERROR(INDEX(Sheet1!$B:$C,MATCH(Positions!$C11,Sheet1!$G:$G,0),1),2.5%)</f>
        <v>0.13569999999999999</v>
      </c>
      <c r="I11" s="11">
        <f>IFERROR(INDEX(Sheet1!$B:$C,MATCH(Positions!$C11,Sheet1!$G:$G,0),2),25%)</f>
        <v>0.25069999999999998</v>
      </c>
      <c r="J11" s="9">
        <f t="shared" si="1"/>
        <v>0.54128440366972475</v>
      </c>
      <c r="K11" s="9">
        <f t="shared" si="2"/>
        <v>1.2476028943311863</v>
      </c>
      <c r="L11" s="12">
        <f t="shared" si="10"/>
        <v>87.937251000000003</v>
      </c>
      <c r="M11" s="12">
        <f t="shared" si="3"/>
        <v>69.443946188340817</v>
      </c>
      <c r="N11" s="12">
        <f t="shared" si="4"/>
        <v>10.507250999999997</v>
      </c>
      <c r="O11" s="12">
        <f t="shared" si="5"/>
        <v>-3.9930269058295949</v>
      </c>
      <c r="P11" s="14">
        <f t="shared" si="6"/>
        <v>6.5142240941704017</v>
      </c>
      <c r="Q11" s="12">
        <f t="shared" si="7"/>
        <v>117.05235531062289</v>
      </c>
      <c r="R11" s="9">
        <f t="shared" si="8"/>
        <v>8.5431856313039657E-3</v>
      </c>
      <c r="S11" s="9">
        <f t="shared" si="9"/>
        <v>0.8451054538247269</v>
      </c>
    </row>
    <row r="12" spans="1:19" hidden="1" x14ac:dyDescent="0.25">
      <c r="A12" t="s">
        <v>38</v>
      </c>
      <c r="B12" s="5" t="s">
        <v>15</v>
      </c>
      <c r="C12" t="s">
        <v>16</v>
      </c>
      <c r="D12" s="8">
        <v>45460</v>
      </c>
      <c r="E12" s="2">
        <v>0.43659999999999999</v>
      </c>
      <c r="F12" s="1">
        <v>160.25</v>
      </c>
      <c r="G12" s="1">
        <f t="shared" si="0"/>
        <v>69.965149999999994</v>
      </c>
      <c r="H12" s="11">
        <f>IFERROR(INDEX(Sheet1!$B:$C,MATCH(Positions!$C12,Sheet1!$G:$G,0),1),2.5%)</f>
        <v>7.5399999999999995E-2</v>
      </c>
      <c r="I12" s="11">
        <f>IFERROR(INDEX(Sheet1!$B:$C,MATCH(Positions!$C12,Sheet1!$G:$G,0),2),25%)</f>
        <v>0.1905</v>
      </c>
      <c r="J12" s="9">
        <f t="shared" si="1"/>
        <v>0.39580052493438317</v>
      </c>
      <c r="K12" s="9">
        <f t="shared" si="2"/>
        <v>0.91227805038927778</v>
      </c>
      <c r="L12" s="12">
        <f t="shared" si="10"/>
        <v>172.33284999999998</v>
      </c>
      <c r="M12" s="12">
        <f t="shared" si="3"/>
        <v>143.70908438705047</v>
      </c>
      <c r="N12" s="12">
        <f t="shared" si="4"/>
        <v>12.082849999999979</v>
      </c>
      <c r="O12" s="12">
        <f t="shared" si="5"/>
        <v>-8.2704578064747665</v>
      </c>
      <c r="P12" s="14">
        <f t="shared" si="6"/>
        <v>3.8123921935252127</v>
      </c>
      <c r="Q12" s="12">
        <f t="shared" si="7"/>
        <v>119.75418721126807</v>
      </c>
      <c r="R12" s="9">
        <f t="shared" si="8"/>
        <v>8.3504387052105236E-3</v>
      </c>
      <c r="S12" s="9">
        <f t="shared" si="9"/>
        <v>0.86461239043009097</v>
      </c>
    </row>
    <row r="13" spans="1:19" hidden="1" x14ac:dyDescent="0.25">
      <c r="A13" t="s">
        <v>36</v>
      </c>
      <c r="B13" s="3" t="s">
        <v>21</v>
      </c>
      <c r="C13" t="s">
        <v>22</v>
      </c>
      <c r="D13" s="8">
        <v>45484</v>
      </c>
      <c r="E13" s="2">
        <v>0.4108</v>
      </c>
      <c r="F13" s="1">
        <v>189.76</v>
      </c>
      <c r="G13" s="1">
        <f t="shared" si="0"/>
        <v>77.953407999999996</v>
      </c>
      <c r="H13" s="11">
        <f>IFERROR(INDEX(Sheet1!$B:$C,MATCH(Positions!$C13,Sheet1!$G:$G,0),1),2.5%)</f>
        <v>0.2722</v>
      </c>
      <c r="I13" s="11">
        <f>IFERROR(INDEX(Sheet1!$B:$C,MATCH(Positions!$C13,Sheet1!$G:$G,0),2),25%)</f>
        <v>0.3296</v>
      </c>
      <c r="J13" s="9">
        <f t="shared" si="1"/>
        <v>0.82584951456310673</v>
      </c>
      <c r="K13" s="9">
        <f t="shared" si="2"/>
        <v>1.9034951638466466</v>
      </c>
      <c r="L13" s="12">
        <f t="shared" si="10"/>
        <v>241.41267199999999</v>
      </c>
      <c r="M13" s="12">
        <f t="shared" si="3"/>
        <v>179.4590505012294</v>
      </c>
      <c r="N13" s="12">
        <f t="shared" si="4"/>
        <v>51.652671999999995</v>
      </c>
      <c r="O13" s="12">
        <f t="shared" si="5"/>
        <v>-5.150474749385296</v>
      </c>
      <c r="P13" s="14">
        <f t="shared" si="6"/>
        <v>46.502197250614699</v>
      </c>
      <c r="Q13" s="12">
        <f t="shared" si="7"/>
        <v>77.064382154178588</v>
      </c>
      <c r="R13" s="9">
        <f t="shared" si="8"/>
        <v>1.297616320337654E-2</v>
      </c>
      <c r="S13" s="9">
        <f t="shared" si="9"/>
        <v>0.55639657554348021</v>
      </c>
    </row>
    <row r="14" spans="1:19" hidden="1" x14ac:dyDescent="0.25">
      <c r="A14" t="s">
        <v>38</v>
      </c>
      <c r="B14" s="5" t="s">
        <v>19</v>
      </c>
      <c r="C14" t="s">
        <v>20</v>
      </c>
      <c r="D14" s="8">
        <v>45544</v>
      </c>
      <c r="E14" s="2">
        <v>0.35149999999999998</v>
      </c>
      <c r="F14" s="1">
        <v>142.78</v>
      </c>
      <c r="G14" s="1">
        <f t="shared" si="0"/>
        <v>50.187169999999995</v>
      </c>
      <c r="H14" s="11">
        <f>IFERROR(INDEX(Sheet1!$B:$C,MATCH(Positions!$C14,Sheet1!$G:$G,0),1),2.5%)</f>
        <v>3.5799999999999998E-2</v>
      </c>
      <c r="I14" s="11">
        <f>IFERROR(INDEX(Sheet1!$B:$C,MATCH(Positions!$C14,Sheet1!$G:$G,0),2),25%)</f>
        <v>0.20300000000000001</v>
      </c>
      <c r="J14" s="9">
        <f t="shared" si="1"/>
        <v>0.17635467980295563</v>
      </c>
      <c r="K14" s="9">
        <f t="shared" si="2"/>
        <v>0.40647875212984508</v>
      </c>
      <c r="L14" s="12">
        <f t="shared" si="10"/>
        <v>147.891524</v>
      </c>
      <c r="M14" s="12">
        <f t="shared" si="3"/>
        <v>122.32693625771076</v>
      </c>
      <c r="N14" s="12">
        <f t="shared" si="4"/>
        <v>5.1115240000000028</v>
      </c>
      <c r="O14" s="12">
        <f t="shared" si="5"/>
        <v>-10.226531871144623</v>
      </c>
      <c r="P14" s="14">
        <f t="shared" si="6"/>
        <v>-5.1150078711446199</v>
      </c>
      <c r="Q14" s="12">
        <f t="shared" si="7"/>
        <v>128.68158727593791</v>
      </c>
      <c r="R14" s="9">
        <f t="shared" si="8"/>
        <v>7.7711195608401494E-3</v>
      </c>
      <c r="S14" s="9">
        <f t="shared" si="9"/>
        <v>0.92906726161236275</v>
      </c>
    </row>
    <row r="15" spans="1:19" x14ac:dyDescent="0.25">
      <c r="A15" t="s">
        <v>97</v>
      </c>
      <c r="B15" s="7" t="s">
        <v>98</v>
      </c>
      <c r="C15" s="20" t="s">
        <v>99</v>
      </c>
      <c r="D15" s="8">
        <v>45630</v>
      </c>
      <c r="E15" s="2">
        <v>0.28749999999999998</v>
      </c>
      <c r="F15" s="1">
        <v>34.78</v>
      </c>
      <c r="G15" s="1">
        <f t="shared" si="0"/>
        <v>9.99925</v>
      </c>
      <c r="H15" s="11">
        <f>IFERROR(INDEX(Sheet1!$B:$C,MATCH(Positions!$C15,Sheet1!$G:$G,0),1),2.5%)</f>
        <v>-7.0800000000000002E-2</v>
      </c>
      <c r="I15" s="11">
        <f>IFERROR(INDEX(Sheet1!$B:$C,MATCH(Positions!$C15,Sheet1!$G:$G,0),2),25%)</f>
        <v>0.5726</v>
      </c>
      <c r="J15" s="9">
        <f t="shared" si="1"/>
        <v>-0.12364652462451974</v>
      </c>
      <c r="K15" s="9">
        <f t="shared" si="2"/>
        <v>-0.28499206877142713</v>
      </c>
      <c r="L15" s="12">
        <f t="shared" si="10"/>
        <v>32.317576000000003</v>
      </c>
      <c r="M15" s="12">
        <f t="shared" si="3"/>
        <v>21.163441645369357</v>
      </c>
      <c r="N15" s="12">
        <f t="shared" si="4"/>
        <v>-2.4624239999999986</v>
      </c>
      <c r="O15" s="12">
        <f t="shared" si="5"/>
        <v>-6.8082791773153222</v>
      </c>
      <c r="P15" s="14">
        <f t="shared" si="6"/>
        <v>-9.2707031773153208</v>
      </c>
      <c r="Q15" s="12">
        <f t="shared" si="7"/>
        <v>132.8372825821086</v>
      </c>
      <c r="R15" s="9">
        <f t="shared" si="8"/>
        <v>7.528007051648967E-3</v>
      </c>
      <c r="S15" s="9">
        <f t="shared" si="9"/>
        <v>0.9590709361079236</v>
      </c>
    </row>
    <row r="16" spans="1:19" hidden="1" x14ac:dyDescent="0.25">
      <c r="A16" t="s">
        <v>40</v>
      </c>
      <c r="B16" s="7" t="s">
        <v>92</v>
      </c>
      <c r="C16" s="20" t="s">
        <v>93</v>
      </c>
      <c r="D16" s="8">
        <v>45627</v>
      </c>
      <c r="E16" s="2">
        <v>0.27450000000000002</v>
      </c>
      <c r="F16" s="1">
        <v>39.799999999999997</v>
      </c>
      <c r="G16" s="1">
        <f t="shared" si="0"/>
        <v>10.9251</v>
      </c>
      <c r="H16" s="11">
        <f>IFERROR(INDEX(Sheet1!$B:$C,MATCH(Positions!$C16,Sheet1!$G:$G,0),1),2.5%)</f>
        <v>0.1114</v>
      </c>
      <c r="I16" s="11">
        <f>IFERROR(INDEX(Sheet1!$B:$C,MATCH(Positions!$C16,Sheet1!$G:$G,0),2),25%)</f>
        <v>0.245</v>
      </c>
      <c r="J16" s="9">
        <f t="shared" si="1"/>
        <v>0.45469387755102042</v>
      </c>
      <c r="K16" s="9">
        <f t="shared" si="2"/>
        <v>1.0480209550125121</v>
      </c>
      <c r="L16" s="12">
        <f t="shared" si="10"/>
        <v>44.233719999999991</v>
      </c>
      <c r="M16" s="12">
        <f t="shared" si="3"/>
        <v>35.109386026817212</v>
      </c>
      <c r="N16" s="12">
        <f t="shared" si="4"/>
        <v>4.4337199999999939</v>
      </c>
      <c r="O16" s="12">
        <f t="shared" si="5"/>
        <v>-2.3453069865913925</v>
      </c>
      <c r="P16" s="14">
        <f t="shared" si="6"/>
        <v>2.0884130134086014</v>
      </c>
      <c r="Q16" s="12">
        <f t="shared" si="7"/>
        <v>121.47816639138469</v>
      </c>
      <c r="R16" s="9">
        <f t="shared" si="8"/>
        <v>8.2319319570411352E-3</v>
      </c>
      <c r="S16" s="9">
        <f t="shared" si="9"/>
        <v>0.87705933524833513</v>
      </c>
    </row>
    <row r="17" spans="1:19" hidden="1" x14ac:dyDescent="0.25">
      <c r="A17" t="s">
        <v>39</v>
      </c>
      <c r="B17" s="6" t="s">
        <v>59</v>
      </c>
      <c r="C17" t="s">
        <v>60</v>
      </c>
      <c r="D17" s="8">
        <v>45580</v>
      </c>
      <c r="E17" s="2">
        <v>0.25669999999999998</v>
      </c>
      <c r="F17" s="1">
        <v>132.38999999999999</v>
      </c>
      <c r="G17" s="1">
        <f t="shared" si="0"/>
        <v>33.984512999999993</v>
      </c>
      <c r="H17" s="11">
        <f>IFERROR(INDEX(Sheet1!$B:$C,MATCH(Positions!$C17,Sheet1!$G:$G,0),1),2.5%)</f>
        <v>0.1193</v>
      </c>
      <c r="I17" s="11">
        <f>IFERROR(INDEX(Sheet1!$B:$C,MATCH(Positions!$C17,Sheet1!$G:$G,0),2),25%)</f>
        <v>0.2243</v>
      </c>
      <c r="J17" s="9">
        <f t="shared" si="1"/>
        <v>0.53187695051270623</v>
      </c>
      <c r="K17" s="9">
        <f t="shared" si="2"/>
        <v>1.2259197168603224</v>
      </c>
      <c r="L17" s="12">
        <f t="shared" si="10"/>
        <v>148.18412699999999</v>
      </c>
      <c r="M17" s="12">
        <f t="shared" si="3"/>
        <v>119.80995475113122</v>
      </c>
      <c r="N17" s="12">
        <f t="shared" si="4"/>
        <v>15.794127000000003</v>
      </c>
      <c r="O17" s="12">
        <f t="shared" si="5"/>
        <v>-6.2900226244343855</v>
      </c>
      <c r="P17" s="14">
        <f t="shared" si="6"/>
        <v>9.5041043755656176</v>
      </c>
      <c r="Q17" s="12">
        <f t="shared" si="7"/>
        <v>114.06247502922767</v>
      </c>
      <c r="R17" s="9">
        <f t="shared" si="8"/>
        <v>8.7671252069864113E-3</v>
      </c>
      <c r="S17" s="9">
        <f t="shared" si="9"/>
        <v>0.82351883879776044</v>
      </c>
    </row>
    <row r="18" spans="1:19" hidden="1" x14ac:dyDescent="0.25">
      <c r="A18" t="s">
        <v>40</v>
      </c>
      <c r="B18" s="7" t="s">
        <v>47</v>
      </c>
      <c r="C18" t="s">
        <v>46</v>
      </c>
      <c r="D18" s="8">
        <v>45511</v>
      </c>
      <c r="E18" s="2">
        <v>0.25169999999999998</v>
      </c>
      <c r="F18" s="1">
        <v>178.56</v>
      </c>
      <c r="G18" s="1">
        <f t="shared" si="0"/>
        <v>44.943551999999997</v>
      </c>
      <c r="H18" s="11">
        <f>IFERROR(INDEX(Sheet1!$B:$C,MATCH(Positions!$C18,Sheet1!$G:$G,0),1),2.5%)</f>
        <v>9.6799999999999997E-2</v>
      </c>
      <c r="I18" s="11">
        <f>IFERROR(INDEX(Sheet1!$B:$C,MATCH(Positions!$C18,Sheet1!$G:$G,0),2),25%)</f>
        <v>0.4829</v>
      </c>
      <c r="J18" s="9">
        <f t="shared" si="1"/>
        <v>0.20045558086560364</v>
      </c>
      <c r="K18" s="9">
        <f t="shared" si="2"/>
        <v>0.46202876191748343</v>
      </c>
      <c r="L18" s="12">
        <f t="shared" si="10"/>
        <v>195.84460799999999</v>
      </c>
      <c r="M18" s="12">
        <f t="shared" si="3"/>
        <v>128.82187432364188</v>
      </c>
      <c r="N18" s="12">
        <f t="shared" si="4"/>
        <v>17.284607999999992</v>
      </c>
      <c r="O18" s="12">
        <f t="shared" si="5"/>
        <v>-24.869062838179062</v>
      </c>
      <c r="P18" s="14">
        <f t="shared" si="6"/>
        <v>-7.5844548381790702</v>
      </c>
      <c r="Q18" s="12">
        <f t="shared" si="7"/>
        <v>131.15103424297234</v>
      </c>
      <c r="R18" s="9">
        <f t="shared" si="8"/>
        <v>7.6247969051268421E-3</v>
      </c>
      <c r="S18" s="9">
        <f t="shared" si="9"/>
        <v>0.94689640391568153</v>
      </c>
    </row>
    <row r="19" spans="1:19" hidden="1" x14ac:dyDescent="0.25">
      <c r="A19" t="s">
        <v>39</v>
      </c>
      <c r="B19" s="6" t="s">
        <v>42</v>
      </c>
      <c r="C19" t="s">
        <v>43</v>
      </c>
      <c r="D19" s="8">
        <v>45580</v>
      </c>
      <c r="E19" s="2">
        <v>0.34860000000000002</v>
      </c>
      <c r="F19" s="1">
        <v>131.91</v>
      </c>
      <c r="G19" s="1">
        <f t="shared" si="0"/>
        <v>45.983826000000001</v>
      </c>
      <c r="H19" s="11">
        <f>IFERROR(INDEX(Sheet1!$B:$C,MATCH(Positions!$C19,Sheet1!$G:$G,0),1),2.5%)</f>
        <v>6.7000000000000004E-2</v>
      </c>
      <c r="I19" s="11">
        <f>IFERROR(INDEX(Sheet1!$B:$C,MATCH(Positions!$C19,Sheet1!$G:$G,0),2),25%)</f>
        <v>0.25819999999999999</v>
      </c>
      <c r="J19" s="9">
        <f t="shared" si="1"/>
        <v>0.2594887683965918</v>
      </c>
      <c r="K19" s="9">
        <f t="shared" si="2"/>
        <v>0.59809397112346585</v>
      </c>
      <c r="L19" s="12">
        <f t="shared" si="10"/>
        <v>140.74796999999998</v>
      </c>
      <c r="M19" s="12">
        <f t="shared" si="3"/>
        <v>110.73707186030893</v>
      </c>
      <c r="N19" s="12">
        <f t="shared" si="4"/>
        <v>8.8379699999999843</v>
      </c>
      <c r="O19" s="12">
        <f t="shared" si="5"/>
        <v>-10.586464069845533</v>
      </c>
      <c r="P19" s="14">
        <f t="shared" si="6"/>
        <v>-1.7484940698455489</v>
      </c>
      <c r="Q19" s="12">
        <f t="shared" si="7"/>
        <v>125.31507347463884</v>
      </c>
      <c r="R19" s="9">
        <f t="shared" si="8"/>
        <v>7.9798859967342983E-3</v>
      </c>
      <c r="S19" s="9">
        <f t="shared" si="9"/>
        <v>0.90476139295808311</v>
      </c>
    </row>
    <row r="20" spans="1:19" hidden="1" x14ac:dyDescent="0.25">
      <c r="A20" t="s">
        <v>36</v>
      </c>
      <c r="B20" s="3" t="s">
        <v>14</v>
      </c>
      <c r="C20" t="s">
        <v>13</v>
      </c>
      <c r="D20" s="8">
        <v>45482</v>
      </c>
      <c r="E20" s="2">
        <v>0.18820000000000001</v>
      </c>
      <c r="F20" s="1">
        <v>227.38</v>
      </c>
      <c r="G20" s="1">
        <f t="shared" si="0"/>
        <v>42.792915999999998</v>
      </c>
      <c r="H20" s="11">
        <f>IFERROR(INDEX(Sheet1!$B:$C,MATCH(Positions!$C20,Sheet1!$G:$G,0),1),2.5%)</f>
        <v>0.25430000000000003</v>
      </c>
      <c r="I20" s="11">
        <f>IFERROR(INDEX(Sheet1!$B:$C,MATCH(Positions!$C20,Sheet1!$G:$G,0),2),25%)</f>
        <v>0.2868</v>
      </c>
      <c r="J20" s="9">
        <f t="shared" si="1"/>
        <v>0.8866806136680615</v>
      </c>
      <c r="K20" s="9">
        <f t="shared" si="2"/>
        <v>2.0437043677220208</v>
      </c>
      <c r="L20" s="12">
        <f t="shared" si="10"/>
        <v>285.20273399999996</v>
      </c>
      <c r="M20" s="12">
        <f t="shared" si="3"/>
        <v>220.22276029055689</v>
      </c>
      <c r="N20" s="12">
        <f t="shared" si="4"/>
        <v>57.822733999999969</v>
      </c>
      <c r="O20" s="12">
        <f t="shared" si="5"/>
        <v>-3.578619854721552</v>
      </c>
      <c r="P20" s="14">
        <f t="shared" si="6"/>
        <v>54.244114145278417</v>
      </c>
      <c r="Q20" s="12">
        <f t="shared" si="7"/>
        <v>69.322465259514871</v>
      </c>
      <c r="R20" s="9">
        <f t="shared" si="8"/>
        <v>1.44253381101842E-2</v>
      </c>
      <c r="S20" s="9">
        <f t="shared" si="9"/>
        <v>0.50050076572935409</v>
      </c>
    </row>
    <row r="21" spans="1:19" hidden="1" x14ac:dyDescent="0.25">
      <c r="A21" t="s">
        <v>36</v>
      </c>
      <c r="B21" s="3" t="s">
        <v>11</v>
      </c>
      <c r="C21" t="s">
        <v>12</v>
      </c>
      <c r="D21" s="8">
        <v>45574</v>
      </c>
      <c r="E21" s="2">
        <v>0.13370000000000001</v>
      </c>
      <c r="F21" s="1">
        <v>423.77</v>
      </c>
      <c r="G21" s="1">
        <f t="shared" si="0"/>
        <v>56.658049000000005</v>
      </c>
      <c r="H21" s="11">
        <f>IFERROR(INDEX(Sheet1!$B:$C,MATCH(Positions!$C21,Sheet1!$G:$G,0),1),2.5%)</f>
        <v>0.24590000000000001</v>
      </c>
      <c r="I21" s="11">
        <f>IFERROR(INDEX(Sheet1!$B:$C,MATCH(Positions!$C21,Sheet1!$G:$G,0),2),25%)</f>
        <v>0.2702</v>
      </c>
      <c r="J21" s="9">
        <f t="shared" si="1"/>
        <v>0.91006661732050342</v>
      </c>
      <c r="K21" s="9">
        <f t="shared" si="2"/>
        <v>2.0976066151280421</v>
      </c>
      <c r="L21" s="12">
        <f t="shared" si="10"/>
        <v>527.97504300000003</v>
      </c>
      <c r="M21" s="12">
        <f t="shared" si="3"/>
        <v>413.71668456506882</v>
      </c>
      <c r="N21" s="12">
        <f t="shared" si="4"/>
        <v>104.20504300000005</v>
      </c>
      <c r="O21" s="12">
        <f t="shared" si="5"/>
        <v>-5.0266577174655822</v>
      </c>
      <c r="P21" s="14">
        <f t="shared" si="6"/>
        <v>99.178385282534464</v>
      </c>
      <c r="Q21" s="12">
        <f t="shared" si="7"/>
        <v>24.388194122258824</v>
      </c>
      <c r="R21" s="9">
        <f t="shared" si="8"/>
        <v>4.1003445970085643E-2</v>
      </c>
      <c r="S21" s="9">
        <f t="shared" si="9"/>
        <v>0.17608014641792177</v>
      </c>
    </row>
    <row r="22" spans="1:19" hidden="1" x14ac:dyDescent="0.25">
      <c r="A22" t="s">
        <v>37</v>
      </c>
      <c r="B22" s="4" t="s">
        <v>8</v>
      </c>
      <c r="C22" t="s">
        <v>28</v>
      </c>
      <c r="D22" s="8">
        <v>45511</v>
      </c>
      <c r="E22" s="2">
        <v>0.12939999999999999</v>
      </c>
      <c r="F22" s="1">
        <v>501.56</v>
      </c>
      <c r="G22" s="1">
        <f t="shared" si="0"/>
        <v>64.901863999999989</v>
      </c>
      <c r="H22" s="11">
        <f>IFERROR(INDEX(Sheet1!$B:$C,MATCH(Positions!$C22,Sheet1!$G:$G,0),1),2.5%)</f>
        <v>0.2</v>
      </c>
      <c r="I22" s="11">
        <f>IFERROR(INDEX(Sheet1!$B:$C,MATCH(Positions!$C22,Sheet1!$G:$G,0),2),25%)</f>
        <v>0.27160000000000001</v>
      </c>
      <c r="J22" s="9">
        <f t="shared" si="1"/>
        <v>0.7363770250368189</v>
      </c>
      <c r="K22" s="9">
        <f t="shared" si="2"/>
        <v>1.6972706058523168</v>
      </c>
      <c r="L22" s="12">
        <f t="shared" si="10"/>
        <v>601.87199999999996</v>
      </c>
      <c r="M22" s="12">
        <f t="shared" si="3"/>
        <v>468.04777902202312</v>
      </c>
      <c r="N22" s="12">
        <f t="shared" si="4"/>
        <v>100.31199999999995</v>
      </c>
      <c r="O22" s="12">
        <f t="shared" si="5"/>
        <v>-16.75611048898844</v>
      </c>
      <c r="P22" s="14">
        <f t="shared" si="6"/>
        <v>83.555889511011515</v>
      </c>
      <c r="Q22" s="12">
        <f t="shared" si="7"/>
        <v>40.010689893781773</v>
      </c>
      <c r="R22" s="9">
        <f t="shared" si="8"/>
        <v>2.499332060143792E-2</v>
      </c>
      <c r="S22" s="9">
        <f t="shared" si="9"/>
        <v>0.28887289068890865</v>
      </c>
    </row>
    <row r="23" spans="1:19" hidden="1" x14ac:dyDescent="0.25">
      <c r="A23" t="s">
        <v>40</v>
      </c>
      <c r="B23" s="7" t="s">
        <v>51</v>
      </c>
      <c r="C23" s="13" t="s">
        <v>50</v>
      </c>
      <c r="D23" s="8">
        <v>45511</v>
      </c>
      <c r="E23" s="2">
        <v>9.9999999999999998E-20</v>
      </c>
      <c r="F23" s="1">
        <v>10.92</v>
      </c>
      <c r="G23" s="1">
        <f t="shared" si="0"/>
        <v>1.092E-18</v>
      </c>
      <c r="H23" s="11">
        <f>IFERROR(INDEX(Sheet1!$B:$C,MATCH(Positions!$C23,Sheet1!$G:$G,0),1),2.5%)</f>
        <v>-1.4657</v>
      </c>
      <c r="I23" s="11">
        <f>IFERROR(INDEX(Sheet1!$B:$C,MATCH(Positions!$C23,Sheet1!$G:$G,0),2),25%)</f>
        <v>1.325</v>
      </c>
      <c r="J23" s="9">
        <f t="shared" si="1"/>
        <v>-1.1061886792452831</v>
      </c>
      <c r="K23" s="9">
        <f t="shared" si="2"/>
        <v>-2.5496470774814579</v>
      </c>
      <c r="L23" s="12">
        <f t="shared" si="10"/>
        <v>0</v>
      </c>
      <c r="M23" s="12">
        <f t="shared" si="3"/>
        <v>2.8807344289972825</v>
      </c>
      <c r="N23" s="12">
        <f t="shared" si="4"/>
        <v>-10.92</v>
      </c>
      <c r="O23" s="12">
        <f t="shared" si="5"/>
        <v>-4.0196327855013587</v>
      </c>
      <c r="P23" s="14">
        <f t="shared" si="6"/>
        <v>-14.93963278550136</v>
      </c>
      <c r="Q23" s="12">
        <f t="shared" si="7"/>
        <v>138.50621219029466</v>
      </c>
      <c r="R23" s="9">
        <f t="shared" si="8"/>
        <v>7.2198927700520251E-3</v>
      </c>
      <c r="S23" s="9">
        <f t="shared" si="9"/>
        <v>1</v>
      </c>
    </row>
    <row r="24" spans="1:19" hidden="1" x14ac:dyDescent="0.25">
      <c r="A24" t="s">
        <v>37</v>
      </c>
      <c r="B24" s="4" t="s">
        <v>7</v>
      </c>
      <c r="C24" t="s">
        <v>25</v>
      </c>
      <c r="D24" s="8">
        <v>45511</v>
      </c>
      <c r="E24" s="2">
        <v>9.9999999999999998E-20</v>
      </c>
      <c r="F24" s="1">
        <v>283.43</v>
      </c>
      <c r="G24" s="1">
        <f t="shared" si="0"/>
        <v>2.8342999999999998E-17</v>
      </c>
      <c r="H24" s="11">
        <f>IFERROR(INDEX(Sheet1!$B:$C,MATCH(Positions!$C24,Sheet1!$G:$G,0),1),2.5%)</f>
        <v>0.17119999999999999</v>
      </c>
      <c r="I24" s="11">
        <f>IFERROR(INDEX(Sheet1!$B:$C,MATCH(Positions!$C24,Sheet1!$G:$G,0),2),25%)</f>
        <v>0.24590000000000001</v>
      </c>
      <c r="J24" s="9">
        <f t="shared" si="1"/>
        <v>0.69621797478649849</v>
      </c>
      <c r="K24" s="9">
        <f t="shared" si="2"/>
        <v>1.6047082726570261</v>
      </c>
      <c r="L24" s="12">
        <f t="shared" si="10"/>
        <v>331.953216</v>
      </c>
      <c r="M24" s="12">
        <f t="shared" si="3"/>
        <v>263.72941285940266</v>
      </c>
      <c r="N24" s="12">
        <f t="shared" si="4"/>
        <v>48.523215999999991</v>
      </c>
      <c r="O24" s="12">
        <f t="shared" si="5"/>
        <v>-9.8502935702986747</v>
      </c>
      <c r="P24" s="14">
        <f t="shared" si="6"/>
        <v>38.672922429701316</v>
      </c>
      <c r="Q24" s="12">
        <f t="shared" si="7"/>
        <v>84.893656975091972</v>
      </c>
      <c r="R24" s="9">
        <f t="shared" si="8"/>
        <v>1.1779443077748466E-2</v>
      </c>
      <c r="S24" s="9">
        <f t="shared" si="9"/>
        <v>0.6129231002177431</v>
      </c>
    </row>
    <row r="25" spans="1:19" hidden="1" x14ac:dyDescent="0.25">
      <c r="A25" t="s">
        <v>36</v>
      </c>
      <c r="B25" s="3" t="s">
        <v>10</v>
      </c>
      <c r="C25" t="s">
        <v>9</v>
      </c>
      <c r="D25" s="8">
        <v>45544</v>
      </c>
      <c r="E25" s="2">
        <v>9.9999999999999998E-20</v>
      </c>
      <c r="F25" s="1">
        <v>188.12</v>
      </c>
      <c r="G25" s="1">
        <f t="shared" si="0"/>
        <v>1.8812000000000001E-17</v>
      </c>
      <c r="H25" s="11">
        <f>IFERROR(INDEX(Sheet1!$B:$C,MATCH(Positions!$C25,Sheet1!$G:$G,0),1),2.5%)</f>
        <v>0.16470000000000001</v>
      </c>
      <c r="I25" s="11">
        <f>IFERROR(INDEX(Sheet1!$B:$C,MATCH(Positions!$C25,Sheet1!$G:$G,0),2),25%)</f>
        <v>0.372</v>
      </c>
      <c r="J25" s="9">
        <f t="shared" si="1"/>
        <v>0.44274193548387103</v>
      </c>
      <c r="K25" s="9">
        <f t="shared" si="2"/>
        <v>1.0204730016357646</v>
      </c>
      <c r="L25" s="12">
        <f t="shared" si="10"/>
        <v>219.10336400000003</v>
      </c>
      <c r="M25" s="12">
        <f t="shared" si="3"/>
        <v>155.8187691543113</v>
      </c>
      <c r="N25" s="12">
        <f t="shared" si="4"/>
        <v>30.983364000000023</v>
      </c>
      <c r="O25" s="12">
        <f t="shared" si="5"/>
        <v>-16.150615422844353</v>
      </c>
      <c r="P25" s="14">
        <f t="shared" si="6"/>
        <v>14.83274857715567</v>
      </c>
      <c r="Q25" s="12">
        <f t="shared" si="7"/>
        <v>108.73383082763762</v>
      </c>
      <c r="R25" s="9">
        <f t="shared" si="8"/>
        <v>9.1967696933733262E-3</v>
      </c>
      <c r="S25" s="9">
        <f t="shared" si="9"/>
        <v>0.78504659905252072</v>
      </c>
    </row>
    <row r="26" spans="1:19" hidden="1" x14ac:dyDescent="0.25">
      <c r="A26" t="s">
        <v>36</v>
      </c>
      <c r="B26" s="3" t="s">
        <v>18</v>
      </c>
      <c r="C26" t="s">
        <v>17</v>
      </c>
      <c r="D26" s="8">
        <v>45483</v>
      </c>
      <c r="E26" s="2">
        <v>9.9999999999999998E-20</v>
      </c>
      <c r="F26" s="1">
        <v>167.24</v>
      </c>
      <c r="G26" s="1">
        <f t="shared" si="0"/>
        <v>1.6724000000000001E-17</v>
      </c>
      <c r="H26" s="11">
        <f>IFERROR(INDEX(Sheet1!$B:$C,MATCH(Positions!$C26,Sheet1!$G:$G,0),1),2.5%)</f>
        <v>0.18140000000000001</v>
      </c>
      <c r="I26" s="11">
        <f>IFERROR(INDEX(Sheet1!$B:$C,MATCH(Positions!$C26,Sheet1!$G:$G,0),2),25%)</f>
        <v>0.2843</v>
      </c>
      <c r="J26" s="9">
        <f t="shared" si="1"/>
        <v>0.63805838902567713</v>
      </c>
      <c r="K26" s="9">
        <f t="shared" si="2"/>
        <v>1.4706566224776176</v>
      </c>
      <c r="L26" s="12">
        <f t="shared" si="10"/>
        <v>197.577336</v>
      </c>
      <c r="M26" s="12">
        <f t="shared" si="3"/>
        <v>151.63659443285883</v>
      </c>
      <c r="N26" s="12">
        <f t="shared" si="4"/>
        <v>30.337335999999993</v>
      </c>
      <c r="O26" s="12">
        <f t="shared" si="5"/>
        <v>-7.8017027835705903</v>
      </c>
      <c r="P26" s="14">
        <f t="shared" si="6"/>
        <v>22.535633216429403</v>
      </c>
      <c r="Q26" s="12">
        <f t="shared" si="7"/>
        <v>101.03094618836388</v>
      </c>
      <c r="R26" s="9">
        <f t="shared" si="8"/>
        <v>9.8979573856072013E-3</v>
      </c>
      <c r="S26" s="9">
        <f t="shared" si="9"/>
        <v>0.72943259793688353</v>
      </c>
    </row>
    <row r="27" spans="1:19" hidden="1" x14ac:dyDescent="0.25">
      <c r="A27" t="s">
        <v>39</v>
      </c>
      <c r="B27" s="6" t="s">
        <v>33</v>
      </c>
      <c r="C27" t="s">
        <v>34</v>
      </c>
      <c r="D27" s="8">
        <v>45562</v>
      </c>
      <c r="E27" s="2">
        <v>9.9999999999999998E-20</v>
      </c>
      <c r="F27" s="1">
        <v>668.82</v>
      </c>
      <c r="G27" s="1">
        <f t="shared" si="0"/>
        <v>6.6881999999999999E-17</v>
      </c>
      <c r="H27" s="11">
        <f>IFERROR(INDEX(Sheet1!$B:$C,MATCH(Positions!$C27,Sheet1!$G:$G,0),1),2.5%)</f>
        <v>0.1993</v>
      </c>
      <c r="I27" s="11">
        <f>IFERROR(INDEX(Sheet1!$B:$C,MATCH(Positions!$C27,Sheet1!$G:$G,0),2),25%)</f>
        <v>0.27200000000000002</v>
      </c>
      <c r="J27" s="9">
        <f t="shared" si="1"/>
        <v>0.73272058823529407</v>
      </c>
      <c r="K27" s="9">
        <f t="shared" si="2"/>
        <v>1.6888429084984042</v>
      </c>
      <c r="L27" s="12">
        <f t="shared" si="10"/>
        <v>802.11582600000008</v>
      </c>
      <c r="M27" s="12">
        <f t="shared" si="3"/>
        <v>623.49212268108522</v>
      </c>
      <c r="N27" s="12">
        <f t="shared" si="4"/>
        <v>133.29582600000003</v>
      </c>
      <c r="O27" s="12">
        <f t="shared" si="5"/>
        <v>-22.663938659457415</v>
      </c>
      <c r="P27" s="14">
        <f t="shared" si="6"/>
        <v>110.63188734054262</v>
      </c>
      <c r="Q27" s="12">
        <f t="shared" si="7"/>
        <v>12.934692064250669</v>
      </c>
      <c r="R27" s="9">
        <f t="shared" si="8"/>
        <v>7.7311465555784914E-2</v>
      </c>
      <c r="S27" s="9">
        <f t="shared" si="9"/>
        <v>9.3387089717532706E-2</v>
      </c>
    </row>
    <row r="28" spans="1:19" hidden="1" x14ac:dyDescent="0.25">
      <c r="A28" t="s">
        <v>36</v>
      </c>
      <c r="B28" s="3" t="s">
        <v>61</v>
      </c>
      <c r="C28" t="s">
        <v>61</v>
      </c>
      <c r="D28" s="8">
        <v>45481</v>
      </c>
      <c r="E28" s="2">
        <v>9.9999999999999998E-20</v>
      </c>
      <c r="F28" s="1">
        <v>700.32</v>
      </c>
      <c r="G28" s="1">
        <f t="shared" si="0"/>
        <v>7.0031999999999998E-17</v>
      </c>
      <c r="H28" s="11">
        <f>IFERROR(INDEX(Sheet1!$B:$C,MATCH(Positions!$C28,Sheet1!$G:$G,0),1),2.5%)</f>
        <v>0.23749999999999999</v>
      </c>
      <c r="I28" s="11">
        <f>IFERROR(INDEX(Sheet1!$B:$C,MATCH(Positions!$C28,Sheet1!$G:$G,0),2),25%)</f>
        <v>0.37659999999999999</v>
      </c>
      <c r="J28" s="9">
        <f t="shared" si="1"/>
        <v>0.63064259160913438</v>
      </c>
      <c r="K28" s="9">
        <f t="shared" si="2"/>
        <v>1.4535639993428531</v>
      </c>
      <c r="L28" s="12">
        <f t="shared" si="10"/>
        <v>866.64600000000007</v>
      </c>
      <c r="M28" s="12">
        <f t="shared" si="3"/>
        <v>614.80115880958658</v>
      </c>
      <c r="N28" s="12">
        <f t="shared" si="4"/>
        <v>166.32600000000002</v>
      </c>
      <c r="O28" s="12">
        <f t="shared" si="5"/>
        <v>-42.759420595206734</v>
      </c>
      <c r="P28" s="14">
        <f t="shared" si="6"/>
        <v>123.56657940479329</v>
      </c>
      <c r="Q28" s="12">
        <f t="shared" si="7"/>
        <v>0</v>
      </c>
      <c r="R28" s="9">
        <f t="shared" si="8"/>
        <v>0</v>
      </c>
      <c r="S28" s="9">
        <f t="shared" si="9"/>
        <v>0</v>
      </c>
    </row>
    <row r="29" spans="1:19" hidden="1" x14ac:dyDescent="0.25">
      <c r="A29" t="s">
        <v>36</v>
      </c>
      <c r="B29" s="3" t="s">
        <v>23</v>
      </c>
      <c r="C29" t="s">
        <v>24</v>
      </c>
      <c r="D29" s="8">
        <v>45482</v>
      </c>
      <c r="E29" s="2">
        <v>9.9999999999999998E-20</v>
      </c>
      <c r="F29" s="1">
        <v>147.01</v>
      </c>
      <c r="G29" s="1">
        <f t="shared" si="0"/>
        <v>1.4700999999999999E-17</v>
      </c>
      <c r="H29" s="11">
        <f>IFERROR(INDEX(Sheet1!$B:$C,MATCH(Positions!$C29,Sheet1!$G:$G,0),1),2.5%)</f>
        <v>0.56320000000000003</v>
      </c>
      <c r="I29" s="11">
        <f>IFERROR(INDEX(Sheet1!$B:$C,MATCH(Positions!$C29,Sheet1!$G:$G,0),2),25%)</f>
        <v>0.50019999999999998</v>
      </c>
      <c r="J29" s="9">
        <f t="shared" si="1"/>
        <v>1.1259496201519394</v>
      </c>
      <c r="K29" s="9">
        <f t="shared" si="2"/>
        <v>2.5951939413901677</v>
      </c>
      <c r="L29" s="12">
        <f t="shared" si="10"/>
        <v>229.80603200000002</v>
      </c>
      <c r="M29" s="12">
        <f t="shared" si="3"/>
        <v>156.89434364994665</v>
      </c>
      <c r="N29" s="12">
        <f t="shared" si="4"/>
        <v>82.796032000000025</v>
      </c>
      <c r="O29" s="12">
        <f t="shared" si="5"/>
        <v>4.9421718249733289</v>
      </c>
      <c r="P29" s="14">
        <f t="shared" si="6"/>
        <v>87.738203824973354</v>
      </c>
      <c r="Q29" s="12">
        <f t="shared" si="7"/>
        <v>35.828375579819934</v>
      </c>
      <c r="R29" s="9">
        <f t="shared" si="8"/>
        <v>2.7910838373683973E-2</v>
      </c>
      <c r="S29" s="9">
        <f t="shared" si="9"/>
        <v>0.25867702981145047</v>
      </c>
    </row>
    <row r="30" spans="1:19" hidden="1" x14ac:dyDescent="0.25">
      <c r="A30" t="s">
        <v>36</v>
      </c>
      <c r="B30" s="3" t="s">
        <v>29</v>
      </c>
      <c r="C30" t="s">
        <v>30</v>
      </c>
      <c r="D30" s="8">
        <v>45481</v>
      </c>
      <c r="E30" s="2">
        <v>9.9999999999999998E-20</v>
      </c>
      <c r="F30" s="1">
        <v>169.34</v>
      </c>
      <c r="G30" s="1">
        <f t="shared" si="0"/>
        <v>1.6933999999999999E-17</v>
      </c>
      <c r="H30" s="11">
        <f>IFERROR(INDEX(Sheet1!$B:$C,MATCH(Positions!$C30,Sheet1!$G:$G,0),1),2.5%)</f>
        <v>0.25890000000000002</v>
      </c>
      <c r="I30" s="11">
        <f>IFERROR(INDEX(Sheet1!$B:$C,MATCH(Positions!$C30,Sheet1!$G:$G,0),2),25%)</f>
        <v>0.41639999999999999</v>
      </c>
      <c r="J30" s="9">
        <f t="shared" si="1"/>
        <v>0.62175792507204619</v>
      </c>
      <c r="K30" s="9">
        <f t="shared" si="2"/>
        <v>1.4330857893451341</v>
      </c>
      <c r="L30" s="12">
        <f t="shared" si="10"/>
        <v>213.18212600000004</v>
      </c>
      <c r="M30" s="12">
        <f t="shared" si="3"/>
        <v>146.2980561555076</v>
      </c>
      <c r="N30" s="12">
        <f t="shared" si="4"/>
        <v>43.842126000000036</v>
      </c>
      <c r="O30" s="12">
        <f t="shared" si="5"/>
        <v>-11.520971922246204</v>
      </c>
      <c r="P30" s="14">
        <f t="shared" si="6"/>
        <v>32.321154077753832</v>
      </c>
      <c r="Q30" s="12">
        <f t="shared" si="7"/>
        <v>91.245425327039456</v>
      </c>
      <c r="R30" s="9">
        <f t="shared" si="8"/>
        <v>1.0959453544282646E-2</v>
      </c>
      <c r="S30" s="9">
        <f t="shared" si="9"/>
        <v>0.658782186619014</v>
      </c>
    </row>
    <row r="31" spans="1:19" hidden="1" x14ac:dyDescent="0.25">
      <c r="A31" t="s">
        <v>40</v>
      </c>
      <c r="B31" s="7" t="s">
        <v>31</v>
      </c>
      <c r="C31" s="13" t="s">
        <v>32</v>
      </c>
      <c r="D31" s="8">
        <v>45511</v>
      </c>
      <c r="E31" s="2">
        <v>9.9999999999999998E-20</v>
      </c>
      <c r="F31" s="1">
        <v>113.58</v>
      </c>
      <c r="G31" s="1">
        <f t="shared" si="0"/>
        <v>1.1357999999999999E-17</v>
      </c>
      <c r="H31" s="11">
        <f>IFERROR(INDEX(Sheet1!$B:$C,MATCH(Positions!$C31,Sheet1!$G:$G,0),1),2.5%)</f>
        <v>9.0899999999999995E-2</v>
      </c>
      <c r="I31" s="11">
        <f>IFERROR(INDEX(Sheet1!$B:$C,MATCH(Positions!$C31,Sheet1!$G:$G,0),2),25%)</f>
        <v>0.2077</v>
      </c>
      <c r="J31" s="9">
        <f t="shared" si="1"/>
        <v>0.43765045739046698</v>
      </c>
      <c r="K31" s="9">
        <f t="shared" si="2"/>
        <v>1.0087376869607261</v>
      </c>
      <c r="L31" s="12">
        <f t="shared" si="10"/>
        <v>123.904422</v>
      </c>
      <c r="M31" s="12">
        <f t="shared" si="3"/>
        <v>101.70128939828079</v>
      </c>
      <c r="N31" s="12">
        <f t="shared" si="4"/>
        <v>10.324421999999998</v>
      </c>
      <c r="O31" s="12">
        <f t="shared" si="5"/>
        <v>-5.9393553008596029</v>
      </c>
      <c r="P31" s="14">
        <f t="shared" si="6"/>
        <v>4.3850666991403955</v>
      </c>
      <c r="Q31" s="12">
        <f t="shared" si="7"/>
        <v>119.18151270565289</v>
      </c>
      <c r="R31" s="9">
        <f t="shared" si="8"/>
        <v>8.390563077259626E-3</v>
      </c>
      <c r="S31" s="9">
        <f t="shared" si="9"/>
        <v>0.86047774190740678</v>
      </c>
    </row>
    <row r="32" spans="1:19" hidden="1" x14ac:dyDescent="0.25">
      <c r="A32" t="s">
        <v>36</v>
      </c>
      <c r="B32" s="3" t="s">
        <v>85</v>
      </c>
      <c r="C32" t="s">
        <v>86</v>
      </c>
      <c r="D32" s="8">
        <v>45481</v>
      </c>
      <c r="E32" s="2">
        <v>9.9999999999999998E-20</v>
      </c>
      <c r="F32" s="1">
        <v>64.349999999999994</v>
      </c>
      <c r="G32" s="1">
        <f t="shared" si="0"/>
        <v>6.4349999999999993E-18</v>
      </c>
      <c r="H32" s="11">
        <f>IFERROR(INDEX(Sheet1!$B:$C,MATCH(Positions!$C32,Sheet1!$G:$G,0),1),2.5%)</f>
        <v>0.49509999999999998</v>
      </c>
      <c r="I32" s="11">
        <f>IFERROR(INDEX(Sheet1!$B:$C,MATCH(Positions!$C32,Sheet1!$G:$G,0),2),25%)</f>
        <v>0.70050000000000001</v>
      </c>
      <c r="J32" s="9">
        <f t="shared" si="1"/>
        <v>0.70678087080656671</v>
      </c>
      <c r="K32" s="9">
        <f t="shared" si="2"/>
        <v>1.6290546228526201</v>
      </c>
      <c r="L32" s="12">
        <f t="shared" si="10"/>
        <v>96.209684999999979</v>
      </c>
      <c r="M32" s="12">
        <f t="shared" si="3"/>
        <v>53.384768541562963</v>
      </c>
      <c r="N32" s="12">
        <f t="shared" si="4"/>
        <v>31.859684999999985</v>
      </c>
      <c r="O32" s="12">
        <f t="shared" si="5"/>
        <v>-5.4826157292185158</v>
      </c>
      <c r="P32" s="14">
        <f t="shared" si="6"/>
        <v>26.377069270781469</v>
      </c>
      <c r="Q32" s="12">
        <f t="shared" si="7"/>
        <v>97.189510134011812</v>
      </c>
      <c r="R32" s="9">
        <f t="shared" si="8"/>
        <v>1.0289176255967633E-2</v>
      </c>
      <c r="S32" s="9">
        <f t="shared" si="9"/>
        <v>0.70169784154144987</v>
      </c>
    </row>
    <row r="33" spans="1:19" hidden="1" x14ac:dyDescent="0.25">
      <c r="A33" t="s">
        <v>40</v>
      </c>
      <c r="B33" s="7" t="s">
        <v>49</v>
      </c>
      <c r="C33" s="13" t="s">
        <v>48</v>
      </c>
      <c r="D33" s="8">
        <v>45511</v>
      </c>
      <c r="E33" s="2">
        <v>9.9999999999999998E-20</v>
      </c>
      <c r="F33" s="1">
        <v>20.82</v>
      </c>
      <c r="G33" s="1">
        <f t="shared" si="0"/>
        <v>2.0820000000000002E-18</v>
      </c>
      <c r="H33" s="11">
        <f>IFERROR(INDEX(Sheet1!$B:$C,MATCH(Positions!$C33,Sheet1!$G:$G,0),1),2.5%)</f>
        <v>-1.9199999999999998E-2</v>
      </c>
      <c r="I33" s="11">
        <f>IFERROR(INDEX(Sheet1!$B:$C,MATCH(Positions!$C33,Sheet1!$G:$G,0),2),25%)</f>
        <v>0.71699999999999997</v>
      </c>
      <c r="J33" s="9">
        <f t="shared" si="1"/>
        <v>-2.6778242677824266E-2</v>
      </c>
      <c r="K33" s="9">
        <f t="shared" si="2"/>
        <v>-6.1720997027546666E-2</v>
      </c>
      <c r="L33" s="12">
        <f t="shared" si="10"/>
        <v>20.420256000000002</v>
      </c>
      <c r="M33" s="12">
        <f t="shared" si="3"/>
        <v>11.991706024651537</v>
      </c>
      <c r="N33" s="12">
        <f t="shared" si="4"/>
        <v>-0.39974399999999832</v>
      </c>
      <c r="O33" s="12">
        <f t="shared" si="5"/>
        <v>-4.4141469876742319</v>
      </c>
      <c r="P33" s="14">
        <f t="shared" si="6"/>
        <v>-4.8138909876742302</v>
      </c>
      <c r="Q33" s="12">
        <f t="shared" si="7"/>
        <v>128.38047039246752</v>
      </c>
      <c r="R33" s="9">
        <f t="shared" si="8"/>
        <v>7.7893467514407325E-3</v>
      </c>
      <c r="S33" s="9">
        <f t="shared" si="9"/>
        <v>0.92689323000245416</v>
      </c>
    </row>
    <row r="34" spans="1:19" hidden="1" x14ac:dyDescent="0.25">
      <c r="A34" t="s">
        <v>40</v>
      </c>
      <c r="B34" s="7" t="s">
        <v>53</v>
      </c>
      <c r="C34" t="s">
        <v>54</v>
      </c>
      <c r="D34" s="8">
        <v>45511</v>
      </c>
      <c r="E34" s="2">
        <v>9.9999999999999998E-20</v>
      </c>
      <c r="F34" s="1">
        <v>13.04</v>
      </c>
      <c r="G34" s="1">
        <f t="shared" si="0"/>
        <v>1.304E-18</v>
      </c>
      <c r="H34" s="11">
        <f>IFERROR(INDEX(Sheet1!$B:$C,MATCH(Positions!$C34,Sheet1!$G:$G,0),1),2.5%)</f>
        <v>1.61E-2</v>
      </c>
      <c r="I34" s="11">
        <f>IFERROR(INDEX(Sheet1!$B:$C,MATCH(Positions!$C34,Sheet1!$G:$G,0),2),25%)</f>
        <v>0.42009999999999997</v>
      </c>
      <c r="J34" s="9">
        <f t="shared" si="1"/>
        <v>3.8324208521780527E-2</v>
      </c>
      <c r="K34" s="9">
        <f t="shared" si="2"/>
        <v>8.8333218453306064E-2</v>
      </c>
      <c r="L34" s="12">
        <f t="shared" si="10"/>
        <v>13.249943999999999</v>
      </c>
      <c r="M34" s="12">
        <f t="shared" si="3"/>
        <v>9.2877492877492873</v>
      </c>
      <c r="N34" s="12">
        <f t="shared" si="4"/>
        <v>0.20994400000000013</v>
      </c>
      <c r="O34" s="12">
        <f t="shared" si="5"/>
        <v>-1.8761253561253559</v>
      </c>
      <c r="P34" s="14">
        <f t="shared" si="6"/>
        <v>-1.6661813561253558</v>
      </c>
      <c r="Q34" s="12">
        <f t="shared" si="7"/>
        <v>125.23276076091864</v>
      </c>
      <c r="R34" s="9">
        <f t="shared" si="8"/>
        <v>7.9851309986617314E-3</v>
      </c>
      <c r="S34" s="9">
        <f t="shared" si="9"/>
        <v>0.90416710399141131</v>
      </c>
    </row>
    <row r="35" spans="1:19" hidden="1" x14ac:dyDescent="0.25">
      <c r="A35" t="s">
        <v>40</v>
      </c>
      <c r="B35" s="7" t="s">
        <v>45</v>
      </c>
      <c r="C35" t="s">
        <v>44</v>
      </c>
      <c r="D35" s="8">
        <v>45511</v>
      </c>
      <c r="E35" s="2">
        <v>9.9999999999999998E-20</v>
      </c>
      <c r="F35" s="1">
        <v>11.05</v>
      </c>
      <c r="G35" s="1">
        <f t="shared" si="0"/>
        <v>1.1050000000000001E-18</v>
      </c>
      <c r="H35" s="11">
        <f>IFERROR(INDEX(Sheet1!$B:$C,MATCH(Positions!$C35,Sheet1!$G:$G,0),1),2.5%)</f>
        <v>-0.1114</v>
      </c>
      <c r="I35" s="11">
        <f>IFERROR(INDEX(Sheet1!$B:$C,MATCH(Positions!$C35,Sheet1!$G:$G,0),2),25%)</f>
        <v>0.58130000000000004</v>
      </c>
      <c r="J35" s="9">
        <f t="shared" si="1"/>
        <v>-0.19163942886633406</v>
      </c>
      <c r="K35" s="9">
        <f t="shared" si="2"/>
        <v>-0.44170847063145613</v>
      </c>
      <c r="L35" s="12">
        <f t="shared" si="10"/>
        <v>9.8190300000000015</v>
      </c>
      <c r="M35" s="12">
        <f t="shared" si="3"/>
        <v>6.528032138004372</v>
      </c>
      <c r="N35" s="12">
        <f t="shared" si="4"/>
        <v>-1.2309699999999992</v>
      </c>
      <c r="O35" s="12">
        <f t="shared" si="5"/>
        <v>-2.2609839309978144</v>
      </c>
      <c r="P35" s="14">
        <f t="shared" si="6"/>
        <v>-3.4919539309978136</v>
      </c>
      <c r="Q35" s="12">
        <f t="shared" si="7"/>
        <v>127.0585333357911</v>
      </c>
      <c r="R35" s="9">
        <f t="shared" si="8"/>
        <v>7.8703883457964495E-3</v>
      </c>
      <c r="S35" s="9">
        <f t="shared" si="9"/>
        <v>0.91734898620449223</v>
      </c>
    </row>
    <row r="36" spans="1:19" hidden="1" x14ac:dyDescent="0.25">
      <c r="A36" t="s">
        <v>76</v>
      </c>
      <c r="B36" s="7" t="s">
        <v>81</v>
      </c>
      <c r="C36" s="13" t="s">
        <v>82</v>
      </c>
      <c r="D36" s="8">
        <f ca="1">TODAY()-20</f>
        <v>45672</v>
      </c>
      <c r="E36" s="2">
        <v>9.9999999999999998E-20</v>
      </c>
      <c r="F36" s="1">
        <v>2742.9</v>
      </c>
      <c r="G36" s="1">
        <f t="shared" si="0"/>
        <v>2.7429000000000002E-16</v>
      </c>
      <c r="H36" s="11">
        <f>IFERROR(INDEX(Sheet1!$B:$C,MATCH(Positions!$C36,Sheet1!$G:$G,0),1),2.5%)</f>
        <v>2.5000000000000001E-2</v>
      </c>
      <c r="I36" s="11">
        <f>IFERROR(INDEX(Sheet1!$B:$C,MATCH(Positions!$C36,Sheet1!$G:$G,0),2),25%)</f>
        <v>0.25</v>
      </c>
      <c r="J36" s="9">
        <f t="shared" si="1"/>
        <v>0.1</v>
      </c>
      <c r="K36" s="9">
        <f t="shared" si="2"/>
        <v>0.2304893482747446</v>
      </c>
      <c r="L36" s="12">
        <f t="shared" si="10"/>
        <v>2811.4724999999999</v>
      </c>
      <c r="M36" s="12">
        <f t="shared" si="3"/>
        <v>2239.1020408163263</v>
      </c>
      <c r="N36" s="12">
        <f t="shared" si="4"/>
        <v>68.572499999999764</v>
      </c>
      <c r="O36" s="12">
        <f t="shared" si="5"/>
        <v>-251.89897959183691</v>
      </c>
      <c r="P36" s="14">
        <f t="shared" si="6"/>
        <v>-183.32647959183714</v>
      </c>
      <c r="Q36" s="12">
        <f t="shared" si="7"/>
        <v>306.89305899663043</v>
      </c>
      <c r="R36" s="9">
        <f t="shared" si="8"/>
        <v>3.2584640502116391E-3</v>
      </c>
      <c r="S36" s="9">
        <f t="shared" si="9"/>
        <v>2.2157349778289213</v>
      </c>
    </row>
    <row r="37" spans="1:19" hidden="1" x14ac:dyDescent="0.25">
      <c r="A37" t="s">
        <v>38</v>
      </c>
      <c r="B37" s="5" t="s">
        <v>55</v>
      </c>
      <c r="C37" t="s">
        <v>56</v>
      </c>
      <c r="D37" s="8">
        <v>45505</v>
      </c>
      <c r="E37" s="2">
        <v>9.9999999999999998E-20</v>
      </c>
      <c r="F37" s="1">
        <v>86.6</v>
      </c>
      <c r="G37" s="1">
        <f t="shared" si="0"/>
        <v>8.6599999999999986E-18</v>
      </c>
      <c r="H37" s="11">
        <f>IFERROR(INDEX(Sheet1!$B:$C,MATCH(Positions!$C37,Sheet1!$G:$G,0),1),2.5%)</f>
        <v>0.1913</v>
      </c>
      <c r="I37" s="11">
        <f>IFERROR(INDEX(Sheet1!$B:$C,MATCH(Positions!$C37,Sheet1!$G:$G,0),2),25%)</f>
        <v>0.2109</v>
      </c>
      <c r="J37" s="9">
        <f t="shared" si="1"/>
        <v>0.90706495969653866</v>
      </c>
      <c r="K37" s="9">
        <f t="shared" si="2"/>
        <v>2.0906881140331266</v>
      </c>
      <c r="L37" s="12">
        <f t="shared" si="10"/>
        <v>103.16658</v>
      </c>
      <c r="M37" s="12">
        <f t="shared" si="3"/>
        <v>84.935268732836391</v>
      </c>
      <c r="N37" s="12">
        <f t="shared" si="4"/>
        <v>16.566580000000002</v>
      </c>
      <c r="O37" s="12">
        <f t="shared" si="5"/>
        <v>-0.83236563358180149</v>
      </c>
      <c r="P37" s="14">
        <f t="shared" si="6"/>
        <v>15.7342143664182</v>
      </c>
      <c r="Q37" s="12">
        <f t="shared" si="7"/>
        <v>107.83236503837509</v>
      </c>
      <c r="R37" s="9">
        <f t="shared" si="8"/>
        <v>9.2736535978240192E-3</v>
      </c>
      <c r="S37" s="9">
        <f t="shared" si="9"/>
        <v>0.77853811271817497</v>
      </c>
    </row>
    <row r="38" spans="1:19" hidden="1" x14ac:dyDescent="0.25">
      <c r="A38" t="s">
        <v>73</v>
      </c>
      <c r="B38" s="5" t="s">
        <v>74</v>
      </c>
      <c r="C38" t="s">
        <v>75</v>
      </c>
      <c r="D38" s="8">
        <v>45562</v>
      </c>
      <c r="E38" s="2">
        <v>9.9999999999999998E-20</v>
      </c>
      <c r="F38" s="1">
        <v>56</v>
      </c>
      <c r="G38" s="1">
        <f t="shared" si="0"/>
        <v>5.5999999999999995E-18</v>
      </c>
      <c r="H38" s="11">
        <f>IFERROR(INDEX(Sheet1!$B:$C,MATCH(Positions!$C38,Sheet1!$G:$G,0),1),2.5%)</f>
        <v>-7.1999999999999998E-3</v>
      </c>
      <c r="I38" s="11">
        <f>IFERROR(INDEX(Sheet1!$B:$C,MATCH(Positions!$C38,Sheet1!$G:$G,0),2),25%)</f>
        <v>0.41589999999999999</v>
      </c>
      <c r="J38" s="9">
        <f t="shared" si="1"/>
        <v>-1.7311853811012263E-2</v>
      </c>
      <c r="K38" s="9">
        <f t="shared" si="2"/>
        <v>-3.9901979023278702E-2</v>
      </c>
      <c r="L38" s="12">
        <f t="shared" si="10"/>
        <v>55.596800000000002</v>
      </c>
      <c r="M38" s="12">
        <f t="shared" si="3"/>
        <v>39.350713231677325</v>
      </c>
      <c r="N38" s="12">
        <f t="shared" si="4"/>
        <v>-0.40319999999999823</v>
      </c>
      <c r="O38" s="12">
        <f t="shared" si="5"/>
        <v>-8.3246433841613374</v>
      </c>
      <c r="P38" s="14">
        <f t="shared" si="6"/>
        <v>-8.7278433841613356</v>
      </c>
      <c r="Q38" s="12">
        <f t="shared" si="7"/>
        <v>132.29442278895462</v>
      </c>
      <c r="R38" s="9">
        <f t="shared" si="8"/>
        <v>7.5588976384535159E-3</v>
      </c>
      <c r="S38" s="9">
        <f t="shared" si="9"/>
        <v>0.95515154661217927</v>
      </c>
    </row>
    <row r="39" spans="1:19" hidden="1" x14ac:dyDescent="0.25">
      <c r="A39" t="s">
        <v>76</v>
      </c>
      <c r="B39" s="5" t="s">
        <v>77</v>
      </c>
      <c r="C39" t="s">
        <v>78</v>
      </c>
      <c r="D39" s="8">
        <v>45580</v>
      </c>
      <c r="E39" s="2">
        <v>9.9999999999999998E-20</v>
      </c>
      <c r="F39" s="1">
        <v>20.399999999999999</v>
      </c>
      <c r="G39" s="1">
        <f t="shared" si="0"/>
        <v>2.0399999999999999E-18</v>
      </c>
      <c r="H39" s="11">
        <f>IFERROR(INDEX(Sheet1!$B:$C,MATCH(Positions!$C39,Sheet1!$G:$G,0),1),2.5%)</f>
        <v>2.5000000000000001E-2</v>
      </c>
      <c r="I39" s="11">
        <f>IFERROR(INDEX(Sheet1!$B:$C,MATCH(Positions!$C39,Sheet1!$G:$G,0),2),25%)</f>
        <v>0.25</v>
      </c>
      <c r="J39" s="9">
        <f t="shared" si="1"/>
        <v>0.1</v>
      </c>
      <c r="K39" s="9">
        <f t="shared" si="2"/>
        <v>0.2304893482747446</v>
      </c>
      <c r="L39" s="12">
        <f t="shared" si="10"/>
        <v>20.909999999999997</v>
      </c>
      <c r="M39" s="12">
        <f t="shared" si="3"/>
        <v>16.653061224489793</v>
      </c>
      <c r="N39" s="12">
        <f t="shared" si="4"/>
        <v>0.50999999999999801</v>
      </c>
      <c r="O39" s="12">
        <f t="shared" si="5"/>
        <v>-1.8734693877551027</v>
      </c>
      <c r="P39" s="14">
        <f t="shared" si="6"/>
        <v>-1.3634693877551047</v>
      </c>
      <c r="Q39" s="12">
        <f t="shared" si="7"/>
        <v>124.93004879254839</v>
      </c>
      <c r="R39" s="9">
        <f t="shared" si="8"/>
        <v>8.0044793839834493E-3</v>
      </c>
      <c r="S39" s="9">
        <f t="shared" si="9"/>
        <v>0.90198155603956676</v>
      </c>
    </row>
    <row r="40" spans="1:19" hidden="1" x14ac:dyDescent="0.25">
      <c r="A40" t="s">
        <v>39</v>
      </c>
      <c r="B40" s="6" t="s">
        <v>58</v>
      </c>
      <c r="C40" t="s">
        <v>57</v>
      </c>
      <c r="D40" s="8">
        <v>45574</v>
      </c>
      <c r="E40" s="2">
        <v>9.9999999999999998E-20</v>
      </c>
      <c r="F40" s="1">
        <v>47.42</v>
      </c>
      <c r="G40" s="1">
        <f t="shared" si="0"/>
        <v>4.7419999999999999E-18</v>
      </c>
      <c r="H40" s="11">
        <f>IFERROR(INDEX(Sheet1!$B:$C,MATCH(Positions!$C40,Sheet1!$G:$G,0),1),2.5%)</f>
        <v>7.8399999999999997E-2</v>
      </c>
      <c r="I40" s="11">
        <f>IFERROR(INDEX(Sheet1!$B:$C,MATCH(Positions!$C40,Sheet1!$G:$G,0),2),25%)</f>
        <v>0.36230000000000001</v>
      </c>
      <c r="J40" s="9">
        <f t="shared" si="1"/>
        <v>0.21639525255313274</v>
      </c>
      <c r="K40" s="9">
        <f t="shared" si="2"/>
        <v>0.49876800730720328</v>
      </c>
      <c r="L40" s="12">
        <f t="shared" si="10"/>
        <v>51.137728000000003</v>
      </c>
      <c r="M40" s="12">
        <f t="shared" si="3"/>
        <v>36.934340680738373</v>
      </c>
      <c r="N40" s="12">
        <f t="shared" si="4"/>
        <v>3.717728000000001</v>
      </c>
      <c r="O40" s="12">
        <f t="shared" si="5"/>
        <v>-5.2428296596308144</v>
      </c>
      <c r="P40" s="14">
        <f t="shared" si="6"/>
        <v>-1.5251016596308133</v>
      </c>
      <c r="Q40" s="12">
        <f t="shared" si="7"/>
        <v>125.09168106442411</v>
      </c>
      <c r="R40" s="9">
        <f t="shared" si="8"/>
        <v>7.9941367122965176E-3</v>
      </c>
      <c r="S40" s="9">
        <f t="shared" si="9"/>
        <v>0.90314852371068932</v>
      </c>
    </row>
    <row r="41" spans="1:19" hidden="1" x14ac:dyDescent="0.25">
      <c r="A41" t="s">
        <v>39</v>
      </c>
      <c r="B41" s="6" t="s">
        <v>42</v>
      </c>
      <c r="C41" t="s">
        <v>41</v>
      </c>
      <c r="D41" s="8">
        <v>45507</v>
      </c>
      <c r="E41" s="2">
        <v>9.9999999999999998E-20</v>
      </c>
      <c r="F41" s="1">
        <v>41.8</v>
      </c>
      <c r="G41" s="1">
        <f t="shared" si="0"/>
        <v>4.1799999999999993E-18</v>
      </c>
      <c r="H41" s="11">
        <f>IFERROR(INDEX(Sheet1!$B:$C,MATCH(Positions!$C41,Sheet1!$G:$G,0),1),2.5%)</f>
        <v>0.1303</v>
      </c>
      <c r="I41" s="11">
        <f>IFERROR(INDEX(Sheet1!$B:$C,MATCH(Positions!$C41,Sheet1!$G:$G,0),2),25%)</f>
        <v>0.39119999999999999</v>
      </c>
      <c r="J41" s="9">
        <f t="shared" si="1"/>
        <v>0.33307770961145194</v>
      </c>
      <c r="K41" s="9">
        <f t="shared" si="2"/>
        <v>0.76770864213188195</v>
      </c>
      <c r="L41" s="12">
        <f t="shared" si="10"/>
        <v>47.246540000000003</v>
      </c>
      <c r="M41" s="12">
        <f t="shared" si="3"/>
        <v>33.150923943215162</v>
      </c>
      <c r="N41" s="12">
        <f t="shared" si="4"/>
        <v>5.4465400000000059</v>
      </c>
      <c r="O41" s="12">
        <f t="shared" si="5"/>
        <v>-4.3245380283924177</v>
      </c>
      <c r="P41" s="14">
        <f t="shared" si="6"/>
        <v>1.1220019716075882</v>
      </c>
      <c r="Q41" s="12">
        <f t="shared" si="7"/>
        <v>122.4445774331857</v>
      </c>
      <c r="R41" s="9">
        <f t="shared" si="8"/>
        <v>8.16696027674782E-3</v>
      </c>
      <c r="S41" s="9">
        <f t="shared" si="9"/>
        <v>0.88403671934193273</v>
      </c>
    </row>
    <row r="42" spans="1:19" hidden="1" x14ac:dyDescent="0.25">
      <c r="A42" t="s">
        <v>76</v>
      </c>
      <c r="B42" s="7" t="s">
        <v>79</v>
      </c>
      <c r="C42" t="s">
        <v>80</v>
      </c>
      <c r="D42" s="8">
        <v>45574</v>
      </c>
      <c r="E42" s="2">
        <v>9.9999999999999998E-20</v>
      </c>
      <c r="F42" s="1">
        <v>153.7552</v>
      </c>
      <c r="G42" s="1">
        <f t="shared" si="0"/>
        <v>1.5375519999999999E-17</v>
      </c>
      <c r="H42" s="11">
        <f>IFERROR(INDEX(Sheet1!$B:$C,MATCH(Positions!$C42,Sheet1!$G:$G,0),1),2.5%)</f>
        <v>2.5000000000000001E-2</v>
      </c>
      <c r="I42" s="11">
        <f>IFERROR(INDEX(Sheet1!$B:$C,MATCH(Positions!$C42,Sheet1!$G:$G,0),2),25%)</f>
        <v>0.25</v>
      </c>
      <c r="J42" s="9">
        <f t="shared" ref="J42:J46" si="11">IFERROR(H42/I42,"")</f>
        <v>0.1</v>
      </c>
      <c r="K42" s="9">
        <f t="shared" si="2"/>
        <v>0.2304893482747446</v>
      </c>
      <c r="L42" s="12">
        <f t="shared" ref="L42:L46" si="12">IF((1+H42)*F42&lt;0,0,(1+H42)*F42)</f>
        <v>157.59907999999999</v>
      </c>
      <c r="M42" s="12">
        <f t="shared" ref="M42:M46" si="13">F42/(1+I42-H42)</f>
        <v>125.51444897959183</v>
      </c>
      <c r="N42" s="12">
        <f t="shared" ref="N42:N46" si="14">L42-F42</f>
        <v>3.8438799999999844</v>
      </c>
      <c r="O42" s="12">
        <f t="shared" ref="O42:O46" si="15">0.5*(M42-F42)</f>
        <v>-14.120375510204084</v>
      </c>
      <c r="P42" s="14">
        <f t="shared" ref="P42:P46" si="16">N42+O42</f>
        <v>-10.2764955102041</v>
      </c>
      <c r="Q42" s="12">
        <f t="shared" si="7"/>
        <v>133.84307491499737</v>
      </c>
      <c r="R42" s="9">
        <f t="shared" si="8"/>
        <v>7.4714362370641276E-3</v>
      </c>
      <c r="S42" s="9">
        <f t="shared" ref="S42:S46" si="17">Q42/MAX($Q$2:$Q$28)</f>
        <v>0.966332648900321</v>
      </c>
    </row>
    <row r="43" spans="1:19" hidden="1" x14ac:dyDescent="0.25">
      <c r="A43" t="s">
        <v>89</v>
      </c>
      <c r="B43" t="s">
        <v>90</v>
      </c>
      <c r="C43" s="20" t="s">
        <v>91</v>
      </c>
      <c r="D43" s="8">
        <v>45627</v>
      </c>
      <c r="E43" s="2">
        <v>9.9999999999999998E-20</v>
      </c>
      <c r="F43" s="1">
        <v>133.53</v>
      </c>
      <c r="G43" s="1">
        <f t="shared" si="0"/>
        <v>1.3353E-17</v>
      </c>
      <c r="H43" s="11">
        <f>IFERROR(INDEX(Sheet1!$B:$C,MATCH(Positions!$C43,Sheet1!$G:$G,0),1),2.5%)</f>
        <v>5.7599999999999998E-2</v>
      </c>
      <c r="I43" s="11">
        <f>IFERROR(INDEX(Sheet1!$B:$C,MATCH(Positions!$C43,Sheet1!$G:$G,0),2),25%)</f>
        <v>0.2555</v>
      </c>
      <c r="J43" s="9">
        <f t="shared" si="11"/>
        <v>0.22544031311154597</v>
      </c>
      <c r="K43" s="9">
        <f t="shared" si="2"/>
        <v>0.51961590843934591</v>
      </c>
      <c r="L43" s="12">
        <f t="shared" si="12"/>
        <v>141.22132800000003</v>
      </c>
      <c r="M43" s="12">
        <f t="shared" si="13"/>
        <v>111.47007262709742</v>
      </c>
      <c r="N43" s="12">
        <f t="shared" si="14"/>
        <v>7.691328000000027</v>
      </c>
      <c r="O43" s="12">
        <f t="shared" si="15"/>
        <v>-11.029963686451289</v>
      </c>
      <c r="P43" s="14">
        <f t="shared" si="16"/>
        <v>-3.3386356864512621</v>
      </c>
      <c r="Q43" s="12">
        <f t="shared" si="7"/>
        <v>126.90521509124454</v>
      </c>
      <c r="R43" s="9">
        <f t="shared" si="8"/>
        <v>7.8798968133894452E-3</v>
      </c>
      <c r="S43" s="9">
        <f t="shared" si="17"/>
        <v>0.91624204491917349</v>
      </c>
    </row>
    <row r="44" spans="1:19" hidden="1" x14ac:dyDescent="0.25">
      <c r="A44" t="s">
        <v>40</v>
      </c>
      <c r="B44" s="7" t="s">
        <v>94</v>
      </c>
      <c r="C44" s="20" t="s">
        <v>95</v>
      </c>
      <c r="D44" s="8">
        <v>45627</v>
      </c>
      <c r="E44" s="2">
        <v>9.9999999999999998E-20</v>
      </c>
      <c r="F44" s="1">
        <v>26.63</v>
      </c>
      <c r="G44" s="1">
        <f t="shared" si="0"/>
        <v>2.663E-18</v>
      </c>
      <c r="H44" s="11">
        <f>IFERROR(INDEX(Sheet1!$B:$C,MATCH(Positions!$C44,Sheet1!$G:$G,0),1),2.5%)</f>
        <v>-0.12609999999999999</v>
      </c>
      <c r="I44" s="11">
        <f>IFERROR(INDEX(Sheet1!$B:$C,MATCH(Positions!$C44,Sheet1!$G:$G,0),2),25%)</f>
        <v>0.63</v>
      </c>
      <c r="J44" s="9">
        <f t="shared" si="11"/>
        <v>-0.20015873015873015</v>
      </c>
      <c r="K44" s="9">
        <f t="shared" si="2"/>
        <v>-0.46134455265786178</v>
      </c>
      <c r="L44" s="12">
        <f t="shared" si="12"/>
        <v>23.271957</v>
      </c>
      <c r="M44" s="12">
        <f t="shared" si="13"/>
        <v>15.164284494049314</v>
      </c>
      <c r="N44" s="12">
        <f t="shared" si="14"/>
        <v>-3.3580429999999986</v>
      </c>
      <c r="O44" s="12">
        <f t="shared" si="15"/>
        <v>-5.7328577529753426</v>
      </c>
      <c r="P44" s="14">
        <f t="shared" si="16"/>
        <v>-9.0909007529753403</v>
      </c>
      <c r="Q44" s="12">
        <f t="shared" si="7"/>
        <v>132.65748015776862</v>
      </c>
      <c r="R44" s="9">
        <f t="shared" si="8"/>
        <v>7.5382104259081881E-3</v>
      </c>
      <c r="S44" s="9">
        <f t="shared" si="17"/>
        <v>0.95777278188439352</v>
      </c>
    </row>
    <row r="45" spans="1:19" hidden="1" x14ac:dyDescent="0.25">
      <c r="A45" t="s">
        <v>38</v>
      </c>
      <c r="B45" s="5" t="s">
        <v>100</v>
      </c>
      <c r="C45" s="20" t="s">
        <v>101</v>
      </c>
      <c r="D45" s="8">
        <v>45630</v>
      </c>
      <c r="E45" s="2">
        <v>9.9999999999999998E-20</v>
      </c>
      <c r="F45" s="1">
        <v>19.309999999999999</v>
      </c>
      <c r="G45" s="1">
        <f t="shared" si="0"/>
        <v>1.931E-18</v>
      </c>
      <c r="H45" s="11">
        <f>IFERROR(INDEX(Sheet1!$B:$C,MATCH(Positions!$C45,Sheet1!$G:$G,0),1),2.5%)</f>
        <v>0.1391</v>
      </c>
      <c r="I45" s="11">
        <f>IFERROR(INDEX(Sheet1!$B:$C,MATCH(Positions!$C45,Sheet1!$G:$G,0),2),25%)</f>
        <v>0.31609999999999999</v>
      </c>
      <c r="J45" s="9">
        <f t="shared" si="11"/>
        <v>0.4400506168933882</v>
      </c>
      <c r="K45" s="9">
        <f t="shared" si="2"/>
        <v>1.0142697989565637</v>
      </c>
      <c r="L45" s="12">
        <f t="shared" si="12"/>
        <v>21.996020999999999</v>
      </c>
      <c r="M45" s="12">
        <f t="shared" si="13"/>
        <v>16.40611724723874</v>
      </c>
      <c r="N45" s="12">
        <f t="shared" si="14"/>
        <v>2.6860210000000002</v>
      </c>
      <c r="O45" s="12">
        <f t="shared" si="15"/>
        <v>-1.4519413763806295</v>
      </c>
      <c r="P45" s="14">
        <f t="shared" si="16"/>
        <v>1.2340796236193707</v>
      </c>
      <c r="Q45" s="12">
        <f t="shared" si="7"/>
        <v>122.33249978117392</v>
      </c>
      <c r="R45" s="9">
        <f t="shared" si="8"/>
        <v>8.1744426198171478E-3</v>
      </c>
      <c r="S45" s="9">
        <f t="shared" si="17"/>
        <v>0.8832275307124885</v>
      </c>
    </row>
    <row r="46" spans="1:19" x14ac:dyDescent="0.25">
      <c r="A46" t="s">
        <v>97</v>
      </c>
      <c r="B46" s="7" t="s">
        <v>102</v>
      </c>
      <c r="C46" s="20" t="s">
        <v>103</v>
      </c>
      <c r="D46" s="8">
        <v>45630</v>
      </c>
      <c r="E46" s="2">
        <v>9.9999999999999998E-20</v>
      </c>
      <c r="F46" s="1">
        <v>323.75</v>
      </c>
      <c r="G46" s="1">
        <f t="shared" si="0"/>
        <v>3.2375000000000002E-17</v>
      </c>
      <c r="H46" s="11">
        <f>IFERROR(INDEX(Sheet1!$B:$C,MATCH(Positions!$C46,Sheet1!$G:$G,0),1),2.5%)</f>
        <v>0.1842</v>
      </c>
      <c r="I46" s="11">
        <f>IFERROR(INDEX(Sheet1!$B:$C,MATCH(Positions!$C46,Sheet1!$G:$G,0),2),25%)</f>
        <v>0.33040000000000003</v>
      </c>
      <c r="J46" s="9">
        <f t="shared" si="11"/>
        <v>0.55750605326876512</v>
      </c>
      <c r="K46" s="9">
        <f t="shared" si="2"/>
        <v>1.2849920687714271</v>
      </c>
      <c r="L46" s="12">
        <f t="shared" si="12"/>
        <v>383.38475</v>
      </c>
      <c r="M46" s="12">
        <f t="shared" si="13"/>
        <v>282.45506892339904</v>
      </c>
      <c r="N46" s="12">
        <f t="shared" si="14"/>
        <v>59.634749999999997</v>
      </c>
      <c r="O46" s="12">
        <f t="shared" si="15"/>
        <v>-20.64746553830048</v>
      </c>
      <c r="P46" s="14">
        <f t="shared" si="16"/>
        <v>38.987284461699517</v>
      </c>
      <c r="Q46" s="12">
        <f t="shared" si="7"/>
        <v>84.579294943093771</v>
      </c>
      <c r="R46" s="9">
        <f t="shared" si="8"/>
        <v>1.1823224592647825E-2</v>
      </c>
      <c r="S46" s="9">
        <f t="shared" si="17"/>
        <v>0.61065344005574052</v>
      </c>
    </row>
  </sheetData>
  <autoFilter ref="A1:S46" xr:uid="{00000000-0001-0000-0000-000000000000}">
    <filterColumn colId="0">
      <filters>
        <filter val="Health"/>
      </filters>
    </filterColumn>
  </autoFilter>
  <conditionalFormatting sqref="R2:R46">
    <cfRule type="iconSet" priority="1">
      <iconSet iconSet="3Symbol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2" id="{3E3ADDBA-BC7C-4D57-B9DE-7F1FC69F757B}">
            <x14:iconSet iconSet="5Arrows" custom="1">
              <x14:cfvo type="percent">
                <xm:f>0</xm:f>
              </x14:cfvo>
              <x14:cfvo type="percent">
                <xm:f>20</xm:f>
              </x14:cfvo>
              <x14:cfvo type="percent">
                <xm:f>40</xm:f>
              </x14:cfvo>
              <x14:cfvo type="percent">
                <xm:f>60</xm:f>
              </x14:cfvo>
              <x14:cfvo type="percent">
                <xm:f>80</xm:f>
              </x14:cfvo>
              <x14:cfIcon iconSet="3Arrows" iconId="2"/>
              <x14:cfIcon iconSet="4Arrows" iconId="2"/>
              <x14:cfIcon iconSet="3Arrows" iconId="1"/>
              <x14:cfIcon iconSet="4Arrows" iconId="1"/>
              <x14:cfIcon iconSet="3Arrows" iconId="0"/>
            </x14:iconSet>
          </x14:cfRule>
          <xm:sqref>S2:S46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E05E8D-08B7-4DF5-A194-73864790DB1A}">
  <dimension ref="B1:E20"/>
  <sheetViews>
    <sheetView workbookViewId="0">
      <selection activeCell="L23" sqref="L23"/>
    </sheetView>
  </sheetViews>
  <sheetFormatPr defaultRowHeight="15" x14ac:dyDescent="0.25"/>
  <cols>
    <col min="2" max="2" width="3.42578125" bestFit="1" customWidth="1"/>
    <col min="3" max="3" width="6.7109375" bestFit="1" customWidth="1"/>
    <col min="4" max="4" width="15.28515625" bestFit="1" customWidth="1"/>
    <col min="5" max="5" width="7.42578125" bestFit="1" customWidth="1"/>
  </cols>
  <sheetData>
    <row r="1" spans="2:5" x14ac:dyDescent="0.25">
      <c r="B1" t="s">
        <v>127</v>
      </c>
      <c r="C1" t="s">
        <v>128</v>
      </c>
      <c r="D1" t="s">
        <v>129</v>
      </c>
      <c r="E1" t="s">
        <v>130</v>
      </c>
    </row>
    <row r="2" spans="2:5" x14ac:dyDescent="0.25">
      <c r="B2">
        <v>0</v>
      </c>
      <c r="C2" t="s">
        <v>5</v>
      </c>
      <c r="D2" s="19">
        <v>0.26719999999999999</v>
      </c>
      <c r="E2" s="19">
        <v>0.16900000000000001</v>
      </c>
    </row>
    <row r="3" spans="2:5" x14ac:dyDescent="0.25">
      <c r="B3">
        <v>1</v>
      </c>
      <c r="C3" t="s">
        <v>50</v>
      </c>
      <c r="D3" s="19">
        <v>5.3100000000000001E-2</v>
      </c>
      <c r="E3" s="19">
        <v>0</v>
      </c>
    </row>
    <row r="4" spans="2:5" x14ac:dyDescent="0.25">
      <c r="B4">
        <v>2</v>
      </c>
      <c r="C4" t="s">
        <v>27</v>
      </c>
      <c r="D4" s="19">
        <v>0.17</v>
      </c>
      <c r="E4" s="19">
        <v>3.6200000000000003E-2</v>
      </c>
    </row>
    <row r="5" spans="2:5" x14ac:dyDescent="0.25">
      <c r="B5">
        <v>3</v>
      </c>
      <c r="C5" t="s">
        <v>20</v>
      </c>
      <c r="D5" s="19">
        <v>0.24390000000000001</v>
      </c>
      <c r="E5" s="19">
        <v>0.16639999999999999</v>
      </c>
    </row>
    <row r="6" spans="2:5" x14ac:dyDescent="0.25">
      <c r="B6">
        <v>4</v>
      </c>
      <c r="C6" t="s">
        <v>16</v>
      </c>
      <c r="D6" s="19">
        <v>0.26579999999999998</v>
      </c>
      <c r="E6" s="19">
        <v>0.28539999999999999</v>
      </c>
    </row>
    <row r="7" spans="2:5" x14ac:dyDescent="0.25">
      <c r="B7">
        <v>5</v>
      </c>
      <c r="C7" t="s">
        <v>46</v>
      </c>
      <c r="D7" s="19">
        <v>0</v>
      </c>
      <c r="E7" s="19">
        <v>0</v>
      </c>
    </row>
    <row r="8" spans="2:5" x14ac:dyDescent="0.25">
      <c r="B8">
        <v>6</v>
      </c>
      <c r="C8" t="s">
        <v>32</v>
      </c>
      <c r="D8" s="19">
        <v>0</v>
      </c>
      <c r="E8" s="19">
        <v>0.1351</v>
      </c>
    </row>
    <row r="9" spans="2:5" x14ac:dyDescent="0.25">
      <c r="B9">
        <v>7</v>
      </c>
      <c r="C9" t="s">
        <v>48</v>
      </c>
      <c r="D9" s="19">
        <v>0</v>
      </c>
      <c r="E9" s="19">
        <v>0</v>
      </c>
    </row>
    <row r="10" spans="2:5" x14ac:dyDescent="0.25">
      <c r="B10">
        <v>8</v>
      </c>
      <c r="C10" t="s">
        <v>54</v>
      </c>
      <c r="D10" s="19">
        <v>0</v>
      </c>
      <c r="E10" s="19">
        <v>0</v>
      </c>
    </row>
    <row r="11" spans="2:5" x14ac:dyDescent="0.25">
      <c r="B11">
        <v>9</v>
      </c>
      <c r="C11" t="s">
        <v>44</v>
      </c>
      <c r="D11" s="19">
        <v>0</v>
      </c>
      <c r="E11" s="19">
        <v>0</v>
      </c>
    </row>
    <row r="12" spans="2:5" x14ac:dyDescent="0.25">
      <c r="B12">
        <v>10</v>
      </c>
      <c r="C12" t="s">
        <v>52</v>
      </c>
      <c r="D12" s="19">
        <v>0</v>
      </c>
      <c r="E12" s="19">
        <v>0</v>
      </c>
    </row>
    <row r="13" spans="2:5" x14ac:dyDescent="0.25">
      <c r="B13">
        <v>11</v>
      </c>
      <c r="C13" t="s">
        <v>56</v>
      </c>
      <c r="D13" s="19">
        <v>0</v>
      </c>
      <c r="E13" s="19">
        <v>9.6100000000000005E-2</v>
      </c>
    </row>
    <row r="14" spans="2:5" x14ac:dyDescent="0.25">
      <c r="B14">
        <v>12</v>
      </c>
      <c r="C14" t="s">
        <v>91</v>
      </c>
      <c r="D14" s="19">
        <v>0</v>
      </c>
      <c r="E14" s="19">
        <v>2E-3</v>
      </c>
    </row>
    <row r="15" spans="2:5" x14ac:dyDescent="0.25">
      <c r="B15">
        <v>13</v>
      </c>
      <c r="C15" t="s">
        <v>93</v>
      </c>
      <c r="D15" s="19">
        <v>0</v>
      </c>
      <c r="E15" s="19">
        <v>0</v>
      </c>
    </row>
    <row r="16" spans="2:5" x14ac:dyDescent="0.25">
      <c r="B16">
        <v>14</v>
      </c>
      <c r="C16" t="s">
        <v>95</v>
      </c>
      <c r="D16" s="19">
        <v>0</v>
      </c>
      <c r="E16" s="19">
        <v>0</v>
      </c>
    </row>
    <row r="17" spans="2:5" x14ac:dyDescent="0.25">
      <c r="B17">
        <v>15</v>
      </c>
      <c r="C17" t="s">
        <v>96</v>
      </c>
      <c r="D17" s="19">
        <v>0</v>
      </c>
      <c r="E17" s="19">
        <v>0</v>
      </c>
    </row>
    <row r="18" spans="2:5" x14ac:dyDescent="0.25">
      <c r="B18">
        <v>16</v>
      </c>
      <c r="C18" t="s">
        <v>99</v>
      </c>
      <c r="D18" s="19">
        <v>0</v>
      </c>
      <c r="E18" s="19">
        <v>0</v>
      </c>
    </row>
    <row r="19" spans="2:5" x14ac:dyDescent="0.25">
      <c r="B19">
        <v>17</v>
      </c>
      <c r="C19" t="s">
        <v>101</v>
      </c>
      <c r="D19" s="19">
        <v>0</v>
      </c>
      <c r="E19" s="19">
        <v>7.4399999999999994E-2</v>
      </c>
    </row>
    <row r="20" spans="2:5" x14ac:dyDescent="0.25">
      <c r="B20">
        <v>18</v>
      </c>
      <c r="C20" t="s">
        <v>103</v>
      </c>
      <c r="D20" s="19">
        <v>0</v>
      </c>
      <c r="E20" s="19">
        <v>3.5400000000000001E-2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9BB01-2590-4471-B7D1-AC4B730D30F2}">
  <dimension ref="A1:G38"/>
  <sheetViews>
    <sheetView workbookViewId="0">
      <selection activeCell="C8" sqref="C8"/>
    </sheetView>
  </sheetViews>
  <sheetFormatPr defaultRowHeight="15" x14ac:dyDescent="0.25"/>
  <cols>
    <col min="1" max="1" width="32.28515625" bestFit="1" customWidth="1"/>
    <col min="2" max="2" width="13.85546875" bestFit="1" customWidth="1"/>
    <col min="3" max="3" width="16" bestFit="1" customWidth="1"/>
    <col min="4" max="4" width="15" bestFit="1" customWidth="1"/>
    <col min="5" max="5" width="17.28515625" bestFit="1" customWidth="1"/>
    <col min="6" max="6" width="14.28515625" bestFit="1" customWidth="1"/>
    <col min="7" max="7" width="7.28515625" bestFit="1" customWidth="1"/>
  </cols>
  <sheetData>
    <row r="1" spans="1:7" x14ac:dyDescent="0.25">
      <c r="A1" t="s">
        <v>104</v>
      </c>
      <c r="B1" t="s">
        <v>105</v>
      </c>
      <c r="C1" t="s">
        <v>106</v>
      </c>
      <c r="D1" t="s">
        <v>107</v>
      </c>
      <c r="E1" t="s">
        <v>108</v>
      </c>
      <c r="F1" t="s">
        <v>35</v>
      </c>
      <c r="G1" t="s">
        <v>84</v>
      </c>
    </row>
    <row r="2" spans="1:7" x14ac:dyDescent="0.25">
      <c r="A2" t="s">
        <v>131</v>
      </c>
      <c r="B2">
        <v>0.2722</v>
      </c>
      <c r="C2">
        <v>0.3296</v>
      </c>
      <c r="D2">
        <v>2.2700000000000001E-2</v>
      </c>
      <c r="E2">
        <v>9.5100000000000004E-2</v>
      </c>
      <c r="F2" t="s">
        <v>36</v>
      </c>
      <c r="G2" t="s">
        <v>22</v>
      </c>
    </row>
    <row r="3" spans="1:7" x14ac:dyDescent="0.25">
      <c r="A3" t="s">
        <v>132</v>
      </c>
      <c r="B3">
        <v>0.16470000000000001</v>
      </c>
      <c r="C3">
        <v>0.372</v>
      </c>
      <c r="D3">
        <v>1.37E-2</v>
      </c>
      <c r="E3">
        <v>0.1074</v>
      </c>
      <c r="F3" t="s">
        <v>36</v>
      </c>
      <c r="G3" t="s">
        <v>9</v>
      </c>
    </row>
    <row r="4" spans="1:7" x14ac:dyDescent="0.25">
      <c r="A4" t="s">
        <v>133</v>
      </c>
      <c r="B4">
        <v>0.25430000000000003</v>
      </c>
      <c r="C4">
        <v>0.2868</v>
      </c>
      <c r="D4">
        <v>2.12E-2</v>
      </c>
      <c r="E4">
        <v>8.2799999999999999E-2</v>
      </c>
      <c r="F4" t="s">
        <v>36</v>
      </c>
      <c r="G4" t="s">
        <v>13</v>
      </c>
    </row>
    <row r="5" spans="1:7" x14ac:dyDescent="0.25">
      <c r="A5" t="s">
        <v>134</v>
      </c>
      <c r="B5">
        <v>0.24590000000000001</v>
      </c>
      <c r="C5">
        <v>0.2702</v>
      </c>
      <c r="D5">
        <v>2.0500000000000001E-2</v>
      </c>
      <c r="E5">
        <v>7.8E-2</v>
      </c>
      <c r="F5" t="s">
        <v>36</v>
      </c>
      <c r="G5" t="s">
        <v>12</v>
      </c>
    </row>
    <row r="6" spans="1:7" x14ac:dyDescent="0.25">
      <c r="A6" t="s">
        <v>135</v>
      </c>
      <c r="B6">
        <v>0.18140000000000001</v>
      </c>
      <c r="C6">
        <v>0.2843</v>
      </c>
      <c r="D6">
        <v>1.5100000000000001E-2</v>
      </c>
      <c r="E6">
        <v>8.2100000000000006E-2</v>
      </c>
      <c r="F6" t="s">
        <v>36</v>
      </c>
      <c r="G6" t="s">
        <v>17</v>
      </c>
    </row>
    <row r="7" spans="1:7" x14ac:dyDescent="0.25">
      <c r="A7" t="s">
        <v>136</v>
      </c>
      <c r="B7">
        <v>0.23749999999999999</v>
      </c>
      <c r="C7">
        <v>0.37659999999999999</v>
      </c>
      <c r="D7">
        <v>1.9800000000000002E-2</v>
      </c>
      <c r="E7">
        <v>0.1087</v>
      </c>
      <c r="F7" t="s">
        <v>36</v>
      </c>
      <c r="G7" t="s">
        <v>61</v>
      </c>
    </row>
    <row r="8" spans="1:7" x14ac:dyDescent="0.25">
      <c r="A8" t="s">
        <v>137</v>
      </c>
      <c r="B8">
        <v>0.56320000000000003</v>
      </c>
      <c r="C8">
        <v>0.50019999999999998</v>
      </c>
      <c r="D8">
        <v>4.6899999999999997E-2</v>
      </c>
      <c r="E8">
        <v>0.1444</v>
      </c>
      <c r="F8" t="s">
        <v>36</v>
      </c>
      <c r="G8" t="s">
        <v>24</v>
      </c>
    </row>
    <row r="9" spans="1:7" x14ac:dyDescent="0.25">
      <c r="A9" t="s">
        <v>138</v>
      </c>
      <c r="B9">
        <v>0.25890000000000002</v>
      </c>
      <c r="C9">
        <v>0.41639999999999999</v>
      </c>
      <c r="D9">
        <v>2.1600000000000001E-2</v>
      </c>
      <c r="E9">
        <v>0.1202</v>
      </c>
      <c r="F9" t="s">
        <v>36</v>
      </c>
      <c r="G9" t="s">
        <v>30</v>
      </c>
    </row>
    <row r="10" spans="1:7" x14ac:dyDescent="0.25">
      <c r="A10" t="s">
        <v>139</v>
      </c>
      <c r="B10">
        <v>0.49509999999999998</v>
      </c>
      <c r="C10">
        <v>0.70050000000000001</v>
      </c>
      <c r="D10">
        <v>4.1300000000000003E-2</v>
      </c>
      <c r="E10">
        <v>0.20219999999999999</v>
      </c>
      <c r="F10" t="s">
        <v>36</v>
      </c>
      <c r="G10" t="s">
        <v>86</v>
      </c>
    </row>
    <row r="11" spans="1:7" x14ac:dyDescent="0.25">
      <c r="A11" t="s">
        <v>110</v>
      </c>
      <c r="B11">
        <v>-7.0800000000000002E-2</v>
      </c>
      <c r="C11">
        <v>0.5726</v>
      </c>
      <c r="D11">
        <v>-5.8999999999999999E-3</v>
      </c>
      <c r="E11">
        <v>0.1653</v>
      </c>
      <c r="F11" t="s">
        <v>97</v>
      </c>
      <c r="G11" t="s">
        <v>99</v>
      </c>
    </row>
    <row r="12" spans="1:7" x14ac:dyDescent="0.25">
      <c r="A12" t="s">
        <v>111</v>
      </c>
      <c r="B12">
        <v>0.1842</v>
      </c>
      <c r="C12">
        <v>0.33040000000000003</v>
      </c>
      <c r="D12">
        <v>1.54E-2</v>
      </c>
      <c r="E12">
        <v>9.5399999999999999E-2</v>
      </c>
      <c r="F12" t="s">
        <v>97</v>
      </c>
      <c r="G12" t="s">
        <v>103</v>
      </c>
    </row>
    <row r="13" spans="1:7" x14ac:dyDescent="0.25">
      <c r="A13" t="s">
        <v>121</v>
      </c>
      <c r="B13">
        <v>-4.8300000000000003E-2</v>
      </c>
      <c r="C13">
        <v>0.61990000000000001</v>
      </c>
      <c r="D13">
        <v>-4.0000000000000001E-3</v>
      </c>
      <c r="E13">
        <v>0.1789</v>
      </c>
      <c r="F13" t="s">
        <v>40</v>
      </c>
      <c r="G13" t="s">
        <v>96</v>
      </c>
    </row>
    <row r="14" spans="1:7" x14ac:dyDescent="0.25">
      <c r="A14" t="s">
        <v>112</v>
      </c>
      <c r="B14">
        <v>-1.4657</v>
      </c>
      <c r="C14">
        <v>1.325</v>
      </c>
      <c r="D14">
        <v>-0.1221</v>
      </c>
      <c r="E14">
        <v>0.38250000000000001</v>
      </c>
      <c r="F14" t="s">
        <v>40</v>
      </c>
      <c r="G14" t="s">
        <v>50</v>
      </c>
    </row>
    <row r="15" spans="1:7" x14ac:dyDescent="0.25">
      <c r="A15" t="s">
        <v>113</v>
      </c>
      <c r="B15">
        <v>0.13569999999999999</v>
      </c>
      <c r="C15">
        <v>0.25069999999999998</v>
      </c>
      <c r="D15">
        <v>1.1299999999999999E-2</v>
      </c>
      <c r="E15">
        <v>7.2400000000000006E-2</v>
      </c>
      <c r="F15" t="s">
        <v>40</v>
      </c>
      <c r="G15" t="s">
        <v>27</v>
      </c>
    </row>
    <row r="16" spans="1:7" x14ac:dyDescent="0.25">
      <c r="A16" t="s">
        <v>140</v>
      </c>
      <c r="B16">
        <v>0.10249999999999999</v>
      </c>
      <c r="C16">
        <v>0.54600000000000004</v>
      </c>
      <c r="D16">
        <v>8.5000000000000006E-3</v>
      </c>
      <c r="E16">
        <v>0.15759999999999999</v>
      </c>
      <c r="F16" t="s">
        <v>40</v>
      </c>
      <c r="G16" t="s">
        <v>141</v>
      </c>
    </row>
    <row r="17" spans="1:7" x14ac:dyDescent="0.25">
      <c r="A17" t="s">
        <v>114</v>
      </c>
      <c r="B17">
        <v>9.6799999999999997E-2</v>
      </c>
      <c r="C17">
        <v>0.4829</v>
      </c>
      <c r="D17">
        <v>8.0999999999999996E-3</v>
      </c>
      <c r="E17">
        <v>0.1394</v>
      </c>
      <c r="F17" t="s">
        <v>40</v>
      </c>
      <c r="G17" t="s">
        <v>46</v>
      </c>
    </row>
    <row r="18" spans="1:7" x14ac:dyDescent="0.25">
      <c r="A18" t="s">
        <v>115</v>
      </c>
      <c r="B18">
        <v>9.0899999999999995E-2</v>
      </c>
      <c r="C18">
        <v>0.2077</v>
      </c>
      <c r="D18">
        <v>7.6E-3</v>
      </c>
      <c r="E18">
        <v>0.06</v>
      </c>
      <c r="F18" t="s">
        <v>40</v>
      </c>
      <c r="G18" t="s">
        <v>32</v>
      </c>
    </row>
    <row r="19" spans="1:7" x14ac:dyDescent="0.25">
      <c r="A19" t="s">
        <v>116</v>
      </c>
      <c r="B19">
        <v>-1.9199999999999998E-2</v>
      </c>
      <c r="C19">
        <v>0.71699999999999997</v>
      </c>
      <c r="D19">
        <v>-1.6000000000000001E-3</v>
      </c>
      <c r="E19">
        <v>0.20699999999999999</v>
      </c>
      <c r="F19" t="s">
        <v>40</v>
      </c>
      <c r="G19" t="s">
        <v>48</v>
      </c>
    </row>
    <row r="20" spans="1:7" x14ac:dyDescent="0.25">
      <c r="A20" t="s">
        <v>117</v>
      </c>
      <c r="B20">
        <v>1.61E-2</v>
      </c>
      <c r="C20">
        <v>0.42009999999999997</v>
      </c>
      <c r="D20">
        <v>1.2999999999999999E-3</v>
      </c>
      <c r="E20">
        <v>0.12130000000000001</v>
      </c>
      <c r="F20" t="s">
        <v>40</v>
      </c>
      <c r="G20" t="s">
        <v>54</v>
      </c>
    </row>
    <row r="21" spans="1:7" x14ac:dyDescent="0.25">
      <c r="A21" t="s">
        <v>118</v>
      </c>
      <c r="B21">
        <v>-0.1114</v>
      </c>
      <c r="C21">
        <v>0.58130000000000004</v>
      </c>
      <c r="D21">
        <v>-9.2999999999999992E-3</v>
      </c>
      <c r="E21">
        <v>0.1678</v>
      </c>
      <c r="F21" t="s">
        <v>40</v>
      </c>
      <c r="G21" t="s">
        <v>44</v>
      </c>
    </row>
    <row r="22" spans="1:7" x14ac:dyDescent="0.25">
      <c r="A22" t="s">
        <v>119</v>
      </c>
      <c r="B22">
        <v>0.1114</v>
      </c>
      <c r="C22">
        <v>0.245</v>
      </c>
      <c r="D22">
        <v>9.2999999999999992E-3</v>
      </c>
      <c r="E22">
        <v>7.0699999999999999E-2</v>
      </c>
      <c r="F22" t="s">
        <v>40</v>
      </c>
      <c r="G22" t="s">
        <v>93</v>
      </c>
    </row>
    <row r="23" spans="1:7" x14ac:dyDescent="0.25">
      <c r="A23" t="s">
        <v>120</v>
      </c>
      <c r="B23">
        <v>-0.12609999999999999</v>
      </c>
      <c r="C23">
        <v>0.63</v>
      </c>
      <c r="D23">
        <v>-1.0500000000000001E-2</v>
      </c>
      <c r="E23">
        <v>0.18190000000000001</v>
      </c>
      <c r="F23" t="s">
        <v>40</v>
      </c>
      <c r="G23" t="s">
        <v>95</v>
      </c>
    </row>
    <row r="24" spans="1:7" x14ac:dyDescent="0.25">
      <c r="A24" t="s">
        <v>142</v>
      </c>
      <c r="B24">
        <v>0.1193</v>
      </c>
      <c r="C24">
        <v>0.2243</v>
      </c>
      <c r="D24">
        <v>9.9000000000000008E-3</v>
      </c>
      <c r="E24">
        <v>6.4699999999999994E-2</v>
      </c>
      <c r="F24" t="s">
        <v>39</v>
      </c>
      <c r="G24" t="s">
        <v>60</v>
      </c>
    </row>
    <row r="25" spans="1:7" x14ac:dyDescent="0.25">
      <c r="A25" t="s">
        <v>143</v>
      </c>
      <c r="B25">
        <v>6.7000000000000004E-2</v>
      </c>
      <c r="C25">
        <v>0.25819999999999999</v>
      </c>
      <c r="D25">
        <v>5.5999999999999999E-3</v>
      </c>
      <c r="E25">
        <v>7.4499999999999997E-2</v>
      </c>
      <c r="F25" t="s">
        <v>39</v>
      </c>
      <c r="G25" t="s">
        <v>43</v>
      </c>
    </row>
    <row r="26" spans="1:7" x14ac:dyDescent="0.25">
      <c r="A26" t="s">
        <v>33</v>
      </c>
      <c r="B26">
        <v>0.1993</v>
      </c>
      <c r="C26">
        <v>0.27200000000000002</v>
      </c>
      <c r="D26">
        <v>1.66E-2</v>
      </c>
      <c r="E26">
        <v>7.85E-2</v>
      </c>
      <c r="F26" t="s">
        <v>39</v>
      </c>
      <c r="G26" t="s">
        <v>34</v>
      </c>
    </row>
    <row r="27" spans="1:7" x14ac:dyDescent="0.25">
      <c r="A27" t="s">
        <v>144</v>
      </c>
      <c r="B27">
        <v>7.8399999999999997E-2</v>
      </c>
      <c r="C27">
        <v>0.36230000000000001</v>
      </c>
      <c r="D27">
        <v>6.4999999999999997E-3</v>
      </c>
      <c r="E27">
        <v>0.1046</v>
      </c>
      <c r="F27" t="s">
        <v>39</v>
      </c>
      <c r="G27" t="s">
        <v>57</v>
      </c>
    </row>
    <row r="28" spans="1:7" x14ac:dyDescent="0.25">
      <c r="A28" t="s">
        <v>145</v>
      </c>
      <c r="B28">
        <v>0.1303</v>
      </c>
      <c r="C28">
        <v>0.39119999999999999</v>
      </c>
      <c r="D28">
        <v>1.09E-2</v>
      </c>
      <c r="E28">
        <v>0.1129</v>
      </c>
      <c r="F28" t="s">
        <v>39</v>
      </c>
      <c r="G28" t="s">
        <v>41</v>
      </c>
    </row>
    <row r="29" spans="1:7" x14ac:dyDescent="0.25">
      <c r="A29" t="s">
        <v>146</v>
      </c>
      <c r="B29">
        <v>-7.1999999999999998E-3</v>
      </c>
      <c r="C29">
        <v>0.41589999999999999</v>
      </c>
      <c r="D29">
        <v>-5.9999999999999995E-4</v>
      </c>
      <c r="E29">
        <v>0.12</v>
      </c>
      <c r="F29" t="s">
        <v>73</v>
      </c>
      <c r="G29" t="s">
        <v>75</v>
      </c>
    </row>
    <row r="30" spans="1:7" x14ac:dyDescent="0.25">
      <c r="A30" t="s">
        <v>109</v>
      </c>
      <c r="B30">
        <v>5.7599999999999998E-2</v>
      </c>
      <c r="C30">
        <v>0.2555</v>
      </c>
      <c r="D30">
        <v>4.7999999999999996E-3</v>
      </c>
      <c r="E30">
        <v>7.3800000000000004E-2</v>
      </c>
      <c r="F30" t="s">
        <v>89</v>
      </c>
      <c r="G30" t="s">
        <v>91</v>
      </c>
    </row>
    <row r="31" spans="1:7" x14ac:dyDescent="0.25">
      <c r="A31" t="s">
        <v>147</v>
      </c>
      <c r="B31">
        <v>8.0299999999999996E-2</v>
      </c>
      <c r="C31">
        <v>0.36080000000000001</v>
      </c>
      <c r="D31">
        <v>6.7000000000000002E-3</v>
      </c>
      <c r="E31">
        <v>0.1042</v>
      </c>
      <c r="F31" t="s">
        <v>37</v>
      </c>
      <c r="G31" t="s">
        <v>88</v>
      </c>
    </row>
    <row r="32" spans="1:7" x14ac:dyDescent="0.25">
      <c r="A32" t="s">
        <v>148</v>
      </c>
      <c r="B32">
        <v>0.17119999999999999</v>
      </c>
      <c r="C32">
        <v>0.24590000000000001</v>
      </c>
      <c r="D32">
        <v>1.43E-2</v>
      </c>
      <c r="E32">
        <v>7.0999999999999994E-2</v>
      </c>
      <c r="F32" t="s">
        <v>37</v>
      </c>
      <c r="G32" t="s">
        <v>25</v>
      </c>
    </row>
    <row r="33" spans="1:7" x14ac:dyDescent="0.25">
      <c r="A33" t="s">
        <v>149</v>
      </c>
      <c r="B33">
        <v>0.2</v>
      </c>
      <c r="C33">
        <v>0.27160000000000001</v>
      </c>
      <c r="D33">
        <v>1.67E-2</v>
      </c>
      <c r="E33">
        <v>7.8399999999999997E-2</v>
      </c>
      <c r="F33" t="s">
        <v>37</v>
      </c>
      <c r="G33" t="s">
        <v>28</v>
      </c>
    </row>
    <row r="34" spans="1:7" x14ac:dyDescent="0.25">
      <c r="A34" t="s">
        <v>122</v>
      </c>
      <c r="B34">
        <v>5.6500000000000002E-2</v>
      </c>
      <c r="C34">
        <v>0.22939999999999999</v>
      </c>
      <c r="D34">
        <v>4.7000000000000002E-3</v>
      </c>
      <c r="E34">
        <v>6.6199999999999995E-2</v>
      </c>
      <c r="F34" t="s">
        <v>38</v>
      </c>
      <c r="G34" t="s">
        <v>5</v>
      </c>
    </row>
    <row r="35" spans="1:7" x14ac:dyDescent="0.25">
      <c r="A35" t="s">
        <v>124</v>
      </c>
      <c r="B35">
        <v>7.5399999999999995E-2</v>
      </c>
      <c r="C35">
        <v>0.1905</v>
      </c>
      <c r="D35">
        <v>6.3E-3</v>
      </c>
      <c r="E35">
        <v>5.5E-2</v>
      </c>
      <c r="F35" t="s">
        <v>38</v>
      </c>
      <c r="G35" t="s">
        <v>16</v>
      </c>
    </row>
    <row r="36" spans="1:7" x14ac:dyDescent="0.25">
      <c r="A36" t="s">
        <v>123</v>
      </c>
      <c r="B36">
        <v>3.5799999999999998E-2</v>
      </c>
      <c r="C36">
        <v>0.20300000000000001</v>
      </c>
      <c r="D36">
        <v>3.0000000000000001E-3</v>
      </c>
      <c r="E36">
        <v>5.8599999999999999E-2</v>
      </c>
      <c r="F36" t="s">
        <v>38</v>
      </c>
      <c r="G36" t="s">
        <v>20</v>
      </c>
    </row>
    <row r="37" spans="1:7" x14ac:dyDescent="0.25">
      <c r="A37" t="s">
        <v>125</v>
      </c>
      <c r="B37">
        <v>0.1913</v>
      </c>
      <c r="C37">
        <v>0.2109</v>
      </c>
      <c r="D37">
        <v>1.5900000000000001E-2</v>
      </c>
      <c r="E37">
        <v>6.0900000000000003E-2</v>
      </c>
      <c r="F37" t="s">
        <v>38</v>
      </c>
      <c r="G37" t="s">
        <v>56</v>
      </c>
    </row>
    <row r="38" spans="1:7" x14ac:dyDescent="0.25">
      <c r="A38" t="s">
        <v>126</v>
      </c>
      <c r="B38">
        <v>0.1391</v>
      </c>
      <c r="C38">
        <v>0.31609999999999999</v>
      </c>
      <c r="D38">
        <v>1.1599999999999999E-2</v>
      </c>
      <c r="E38">
        <v>9.1200000000000003E-2</v>
      </c>
      <c r="F38" t="s">
        <v>38</v>
      </c>
      <c r="G38" t="s">
        <v>101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Positions</vt:lpstr>
      <vt:lpstr>Sheet2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 walton</dc:creator>
  <cp:lastModifiedBy>samuel walton</cp:lastModifiedBy>
  <dcterms:created xsi:type="dcterms:W3CDTF">2015-06-05T18:17:20Z</dcterms:created>
  <dcterms:modified xsi:type="dcterms:W3CDTF">2025-02-05T04:29:56Z</dcterms:modified>
</cp:coreProperties>
</file>