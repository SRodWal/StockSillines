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essional_WorkTools\Github\StockSillines\"/>
    </mc:Choice>
  </mc:AlternateContent>
  <xr:revisionPtr revIDLastSave="0" documentId="13_ncr:1_{BC0B4E39-DC53-416F-BC54-143B9455070E}" xr6:coauthVersionLast="47" xr6:coauthVersionMax="47" xr10:uidLastSave="{00000000-0000-0000-0000-000000000000}"/>
  <bookViews>
    <workbookView xWindow="-120" yWindow="-120" windowWidth="29040" windowHeight="15720" xr2:uid="{1D851312-97C7-4CB6-B791-38074B5B5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K32" i="1"/>
  <c r="P20" i="1"/>
  <c r="P21" i="1"/>
  <c r="P22" i="1"/>
  <c r="P23" i="1"/>
  <c r="P19" i="1"/>
  <c r="K30" i="1"/>
  <c r="N24" i="1"/>
  <c r="N23" i="1"/>
  <c r="M23" i="1"/>
  <c r="N22" i="1"/>
  <c r="M22" i="1"/>
  <c r="N21" i="1"/>
  <c r="M21" i="1"/>
  <c r="N20" i="1"/>
  <c r="M20" i="1"/>
  <c r="AG6" i="1"/>
  <c r="AI6" i="1"/>
  <c r="AH6" i="1"/>
  <c r="AJ6" i="1"/>
  <c r="AI5" i="1"/>
  <c r="AH5" i="1"/>
  <c r="AC7" i="1"/>
  <c r="AC6" i="1"/>
  <c r="AC5" i="1"/>
  <c r="AC4" i="1"/>
  <c r="AB8" i="1"/>
  <c r="AA8" i="1" s="1"/>
  <c r="AB7" i="1"/>
  <c r="AA7" i="1"/>
  <c r="AB6" i="1"/>
  <c r="AA6" i="1"/>
  <c r="AB5" i="1"/>
  <c r="AA5" i="1"/>
  <c r="AB4" i="1"/>
  <c r="AA4" i="1"/>
  <c r="R10" i="1"/>
  <c r="R14" i="1"/>
  <c r="V8" i="1"/>
  <c r="O8" i="1"/>
  <c r="U8" i="1"/>
  <c r="U7" i="1"/>
  <c r="T7" i="1"/>
  <c r="U6" i="1"/>
  <c r="T6" i="1"/>
  <c r="U5" i="1"/>
  <c r="T5" i="1"/>
  <c r="U4" i="1"/>
  <c r="T4" i="1"/>
  <c r="O23" i="1" l="1"/>
  <c r="O22" i="1"/>
  <c r="O21" i="1"/>
  <c r="O20" i="1"/>
  <c r="AJ5" i="1"/>
  <c r="AC8" i="1"/>
  <c r="Y8" i="1" s="1"/>
  <c r="Y10" i="1" s="1"/>
  <c r="Y14" i="1" s="1"/>
  <c r="V7" i="1"/>
  <c r="V6" i="1"/>
  <c r="V5" i="1"/>
  <c r="V4" i="1"/>
  <c r="O24" i="1" l="1"/>
  <c r="M24" i="1" s="1"/>
  <c r="K24" i="1" s="1"/>
  <c r="AF11" i="1"/>
  <c r="AF15" i="1" s="1"/>
  <c r="T8" i="1"/>
  <c r="R8" i="1" s="1"/>
  <c r="K14" i="1" l="1"/>
  <c r="M8" i="1"/>
  <c r="K8" i="1" s="1"/>
  <c r="O7" i="1"/>
  <c r="O6" i="1"/>
  <c r="O5" i="1"/>
  <c r="O4" i="1"/>
  <c r="N8" i="1"/>
  <c r="N7" i="1"/>
  <c r="M7" i="1"/>
  <c r="N6" i="1"/>
  <c r="M6" i="1"/>
  <c r="N5" i="1"/>
  <c r="M5" i="1"/>
  <c r="N4" i="1"/>
  <c r="M4" i="1"/>
  <c r="H5" i="1"/>
  <c r="H6" i="1"/>
  <c r="H4" i="1"/>
  <c r="F5" i="1"/>
  <c r="G5" i="1"/>
  <c r="F6" i="1"/>
  <c r="G6" i="1"/>
  <c r="G4" i="1"/>
  <c r="F4" i="1"/>
</calcChain>
</file>

<file path=xl/sharedStrings.xml><?xml version="1.0" encoding="utf-8"?>
<sst xmlns="http://schemas.openxmlformats.org/spreadsheetml/2006/main" count="95" uniqueCount="26">
  <si>
    <t>T0</t>
  </si>
  <si>
    <t>Avg Price</t>
  </si>
  <si>
    <t>Volume</t>
  </si>
  <si>
    <t>T1</t>
  </si>
  <si>
    <t>T2</t>
  </si>
  <si>
    <t>T3</t>
  </si>
  <si>
    <t>P chg%</t>
  </si>
  <si>
    <t>V chg%</t>
  </si>
  <si>
    <t>PeD</t>
  </si>
  <si>
    <t>Walmart</t>
  </si>
  <si>
    <t>APA</t>
  </si>
  <si>
    <t>T4</t>
  </si>
  <si>
    <t>T5 Fcst</t>
  </si>
  <si>
    <t>Price Targets</t>
  </si>
  <si>
    <t>4Week</t>
  </si>
  <si>
    <t>90 Days</t>
  </si>
  <si>
    <t>1 Year</t>
  </si>
  <si>
    <t>Avg</t>
  </si>
  <si>
    <t>FSLR</t>
  </si>
  <si>
    <t>ING</t>
  </si>
  <si>
    <t>YPF</t>
  </si>
  <si>
    <t>SWI</t>
  </si>
  <si>
    <t>Volume M</t>
  </si>
  <si>
    <t>% of Shares</t>
  </si>
  <si>
    <t>Close</t>
  </si>
  <si>
    <t>exp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</si>
</sst>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3" applyFont="1" applyAlignment="1">
      <alignment horizontal="center" vertical="center"/>
    </xf>
    <xf numFmtId="2" fontId="0" fillId="0" borderId="0" xfId="0" applyNumberFormat="1"/>
    <xf numFmtId="44" fontId="0" fillId="0" borderId="0" xfId="2" applyFont="1"/>
    <xf numFmtId="164" fontId="0" fillId="0" borderId="0" xfId="1" applyNumberFormat="1" applyFont="1"/>
    <xf numFmtId="44" fontId="0" fillId="0" borderId="0" xfId="0" applyNumberFormat="1"/>
    <xf numFmtId="0" fontId="2" fillId="0" borderId="0" xfId="0" applyFont="1"/>
    <xf numFmtId="9" fontId="2" fillId="0" borderId="0" xfId="3" applyFont="1" applyAlignment="1">
      <alignment horizontal="center" vertical="center"/>
    </xf>
    <xf numFmtId="44" fontId="2" fillId="0" borderId="0" xfId="0" applyNumberFormat="1" applyFont="1"/>
    <xf numFmtId="165" fontId="0" fillId="0" borderId="0" xfId="3" applyNumberFormat="1" applyFont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C1E3-495E-46F5-A91B-73AA1B4D51BC}">
  <dimension ref="C2:AJ32"/>
  <sheetViews>
    <sheetView tabSelected="1" workbookViewId="0">
      <selection activeCell="M32" sqref="M32"/>
    </sheetView>
  </sheetViews>
  <sheetFormatPr defaultRowHeight="15" x14ac:dyDescent="0.25"/>
  <cols>
    <col min="8" max="8" width="7.7109375" customWidth="1"/>
    <col min="10" max="10" width="12.28515625" bestFit="1" customWidth="1"/>
    <col min="11" max="11" width="8.85546875" bestFit="1" customWidth="1"/>
    <col min="12" max="12" width="9.85546875" bestFit="1" customWidth="1"/>
    <col min="16" max="16" width="11.28515625" customWidth="1"/>
    <col min="17" max="17" width="12.28515625" bestFit="1" customWidth="1"/>
    <col min="18" max="18" width="9" bestFit="1" customWidth="1"/>
  </cols>
  <sheetData>
    <row r="2" spans="3:36" x14ac:dyDescent="0.25">
      <c r="C2" t="s">
        <v>9</v>
      </c>
      <c r="D2" t="s">
        <v>1</v>
      </c>
      <c r="E2" t="s">
        <v>2</v>
      </c>
      <c r="F2" t="s">
        <v>6</v>
      </c>
      <c r="G2" t="s">
        <v>7</v>
      </c>
      <c r="H2" t="s">
        <v>8</v>
      </c>
      <c r="J2" t="s">
        <v>10</v>
      </c>
      <c r="K2" t="s">
        <v>1</v>
      </c>
      <c r="L2" t="s">
        <v>2</v>
      </c>
      <c r="M2" t="s">
        <v>6</v>
      </c>
      <c r="N2" t="s">
        <v>7</v>
      </c>
      <c r="O2" t="s">
        <v>8</v>
      </c>
      <c r="Q2" t="s">
        <v>18</v>
      </c>
      <c r="R2" t="s">
        <v>1</v>
      </c>
      <c r="S2" t="s">
        <v>2</v>
      </c>
      <c r="T2" t="s">
        <v>6</v>
      </c>
      <c r="U2" t="s">
        <v>7</v>
      </c>
      <c r="V2" t="s">
        <v>8</v>
      </c>
      <c r="X2" t="s">
        <v>19</v>
      </c>
      <c r="Y2" t="s">
        <v>1</v>
      </c>
      <c r="Z2" t="s">
        <v>2</v>
      </c>
      <c r="AA2" t="s">
        <v>6</v>
      </c>
      <c r="AB2" t="s">
        <v>7</v>
      </c>
      <c r="AC2" t="s">
        <v>8</v>
      </c>
    </row>
    <row r="3" spans="3:36" x14ac:dyDescent="0.25">
      <c r="C3" t="s">
        <v>0</v>
      </c>
      <c r="D3" s="3">
        <v>45.6</v>
      </c>
      <c r="E3" s="4">
        <v>109</v>
      </c>
      <c r="J3" t="s">
        <v>0</v>
      </c>
      <c r="K3" s="3">
        <v>20.420000000000002</v>
      </c>
      <c r="L3" s="4">
        <v>46.48</v>
      </c>
      <c r="Q3" t="s">
        <v>0</v>
      </c>
      <c r="R3" s="3">
        <v>82.78</v>
      </c>
      <c r="S3" s="4">
        <v>7.5</v>
      </c>
      <c r="X3" t="s">
        <v>0</v>
      </c>
      <c r="Y3" s="3">
        <v>7.57</v>
      </c>
      <c r="Z3" s="4">
        <v>72.67</v>
      </c>
      <c r="AE3" t="s">
        <v>20</v>
      </c>
      <c r="AF3" t="s">
        <v>1</v>
      </c>
      <c r="AG3" t="s">
        <v>2</v>
      </c>
      <c r="AH3" t="s">
        <v>6</v>
      </c>
      <c r="AI3" t="s">
        <v>7</v>
      </c>
      <c r="AJ3" t="s">
        <v>8</v>
      </c>
    </row>
    <row r="4" spans="3:36" x14ac:dyDescent="0.25">
      <c r="C4" t="s">
        <v>3</v>
      </c>
      <c r="D4" s="3">
        <v>49.17</v>
      </c>
      <c r="E4" s="4">
        <v>77.3</v>
      </c>
      <c r="F4" s="1">
        <f>(D4-D3)/(D4+D3)/2</f>
        <v>1.8835074390629945E-2</v>
      </c>
      <c r="G4" s="1">
        <f>(E4-E3)/(E4+E3)/2</f>
        <v>-8.5077831454643052E-2</v>
      </c>
      <c r="H4" s="2">
        <f>G4/F4</f>
        <v>-4.5169894044574352</v>
      </c>
      <c r="J4" t="s">
        <v>3</v>
      </c>
      <c r="K4" s="3">
        <v>35.51</v>
      </c>
      <c r="L4" s="4">
        <v>45.009</v>
      </c>
      <c r="M4" s="1">
        <f>(K4-K3)/(K4+K3)/2</f>
        <v>0.13490076881816554</v>
      </c>
      <c r="N4" s="1">
        <f>(L4-L3)/(L4+L3)/2</f>
        <v>-8.0392178294658185E-3</v>
      </c>
      <c r="O4" s="2">
        <f>ABS(N4/M4)</f>
        <v>5.9593565699406666E-2</v>
      </c>
      <c r="Q4" t="s">
        <v>3</v>
      </c>
      <c r="R4" s="3">
        <v>114.58</v>
      </c>
      <c r="S4" s="4">
        <v>14.62</v>
      </c>
      <c r="T4" s="1">
        <f>(R4-R3)/(R4+R3)/2</f>
        <v>8.0563437373327912E-2</v>
      </c>
      <c r="U4" s="1">
        <f>(S4-S3)/(S4+S3)/2</f>
        <v>0.16094032549728751</v>
      </c>
      <c r="V4" s="2">
        <f>ABS(U4/T4)</f>
        <v>1.9976844427763942</v>
      </c>
      <c r="X4" t="s">
        <v>3</v>
      </c>
      <c r="Y4" s="3">
        <v>8.23</v>
      </c>
      <c r="Z4" s="4">
        <v>38.89</v>
      </c>
      <c r="AA4" s="1">
        <f>(Y4-Y3)/(Y4+Y3)/2</f>
        <v>2.0886075949367092E-2</v>
      </c>
      <c r="AB4" s="1">
        <f>(Z4-Z3)/(Z4+Z3)/2</f>
        <v>-0.15139835066332019</v>
      </c>
      <c r="AC4" s="2">
        <f>AB4/AA4</f>
        <v>-7.2487695166074504</v>
      </c>
      <c r="AE4" t="s">
        <v>0</v>
      </c>
      <c r="AF4" s="3">
        <v>20.77</v>
      </c>
      <c r="AG4" s="4">
        <v>1.84585</v>
      </c>
    </row>
    <row r="5" spans="3:36" x14ac:dyDescent="0.25">
      <c r="C5" t="s">
        <v>4</v>
      </c>
      <c r="D5" s="3">
        <v>74.900000000000006</v>
      </c>
      <c r="E5" s="4">
        <v>74.900000000000006</v>
      </c>
      <c r="F5" s="1">
        <f t="shared" ref="F5:F6" si="0">(D5-D4)/(D5+D4)/2</f>
        <v>0.10369146449584912</v>
      </c>
      <c r="G5" s="1">
        <f t="shared" ref="G5:G6" si="1">(E5-E4)/(E5+E4)/2</f>
        <v>-7.8843626806832847E-3</v>
      </c>
      <c r="H5" s="2">
        <f t="shared" ref="H5:H6" si="2">G5/F5</f>
        <v>-7.603675692128839E-2</v>
      </c>
      <c r="J5" t="s">
        <v>4</v>
      </c>
      <c r="K5" s="3">
        <v>39.619999999999997</v>
      </c>
      <c r="L5" s="4">
        <v>23.21</v>
      </c>
      <c r="M5" s="1">
        <f t="shared" ref="M5:M6" si="3">(K5-K4)/(K5+K4)/2</f>
        <v>2.7352588846000263E-2</v>
      </c>
      <c r="N5" s="1">
        <f t="shared" ref="N5:N6" si="4">(L5-L4)/(L5+L4)/2</f>
        <v>-0.15977220422462951</v>
      </c>
      <c r="O5" s="2">
        <f>ABS(N5/M5)</f>
        <v>5.8412095880274535</v>
      </c>
      <c r="Q5" t="s">
        <v>4</v>
      </c>
      <c r="R5" s="3">
        <v>172.59</v>
      </c>
      <c r="S5" s="4">
        <v>23.51</v>
      </c>
      <c r="T5" s="1">
        <f t="shared" ref="T5:T7" si="5">(R5-R4)/(R5+R4)/2</f>
        <v>0.10100289027405369</v>
      </c>
      <c r="U5" s="1">
        <f t="shared" ref="U5:U8" si="6">(S5-S4)/(S5+S4)/2</f>
        <v>0.11657487542617365</v>
      </c>
      <c r="V5" s="2">
        <f>ABS(U5/T5)</f>
        <v>1.1541736588910287</v>
      </c>
      <c r="X5" t="s">
        <v>4</v>
      </c>
      <c r="Y5" s="3">
        <v>8.52</v>
      </c>
      <c r="Z5" s="4">
        <v>24.79</v>
      </c>
      <c r="AA5" s="1">
        <f t="shared" ref="AA5:AA7" si="7">(Y5-Y4)/(Y5+Y4)/2</f>
        <v>8.6567164179104216E-3</v>
      </c>
      <c r="AB5" s="1">
        <f t="shared" ref="AB5:AB8" si="8">(Z5-Z4)/(Z5+Z4)/2</f>
        <v>-0.11070979899497489</v>
      </c>
      <c r="AC5" s="2">
        <f t="shared" ref="AC5:AC7" si="9">AB5/AA5</f>
        <v>-12.788890573557483</v>
      </c>
      <c r="AE5" t="s">
        <v>3</v>
      </c>
      <c r="AF5" s="3">
        <v>38.86</v>
      </c>
      <c r="AG5" s="4">
        <v>2.1490499999999999</v>
      </c>
      <c r="AH5" s="1">
        <f>(AF5-AF4)/(AF5+AF4)/2</f>
        <v>0.15168539325842698</v>
      </c>
      <c r="AI5" s="1">
        <f>(AG5-AG4)/(AG5+AG4)/2</f>
        <v>3.794838418984204E-2</v>
      </c>
      <c r="AJ5" s="2">
        <f>AI5/AH5</f>
        <v>0.25017823651081045</v>
      </c>
    </row>
    <row r="6" spans="3:36" x14ac:dyDescent="0.25">
      <c r="C6" t="s">
        <v>5</v>
      </c>
      <c r="D6" s="3">
        <v>93.24</v>
      </c>
      <c r="E6" s="4">
        <v>86.05</v>
      </c>
      <c r="F6" s="1">
        <f t="shared" si="0"/>
        <v>5.4537885095753511E-2</v>
      </c>
      <c r="G6" s="1">
        <f t="shared" si="1"/>
        <v>3.463808636222427E-2</v>
      </c>
      <c r="H6" s="2">
        <f t="shared" si="2"/>
        <v>0.6351197209317766</v>
      </c>
      <c r="J6" t="s">
        <v>5</v>
      </c>
      <c r="K6" s="3">
        <v>30.71</v>
      </c>
      <c r="L6" s="4">
        <v>27.58</v>
      </c>
      <c r="M6" s="1">
        <f t="shared" si="3"/>
        <v>-6.3344234323901585E-2</v>
      </c>
      <c r="N6" s="1">
        <f t="shared" si="4"/>
        <v>4.3020279582594974E-2</v>
      </c>
      <c r="O6" s="2">
        <f>ABS(N6/M6)</f>
        <v>0.67915067632859827</v>
      </c>
      <c r="Q6" t="s">
        <v>5</v>
      </c>
      <c r="R6" s="3">
        <v>178.75</v>
      </c>
      <c r="S6" s="4">
        <v>8.75</v>
      </c>
      <c r="T6" s="1">
        <f t="shared" si="5"/>
        <v>8.7664370695053166E-3</v>
      </c>
      <c r="U6" s="1">
        <f t="shared" si="6"/>
        <v>-0.22876627402355856</v>
      </c>
      <c r="V6" s="2">
        <f>ABS(U6/T6)</f>
        <v>26.095695686830233</v>
      </c>
      <c r="X6" t="s">
        <v>5</v>
      </c>
      <c r="Y6" s="3">
        <v>12.32</v>
      </c>
      <c r="Z6" s="4">
        <v>13.45</v>
      </c>
      <c r="AA6" s="1">
        <f t="shared" si="7"/>
        <v>9.1170825335892533E-2</v>
      </c>
      <c r="AB6" s="1">
        <f t="shared" si="8"/>
        <v>-0.14827405857740589</v>
      </c>
      <c r="AC6" s="2">
        <f t="shared" si="9"/>
        <v>-1.6263323056595465</v>
      </c>
      <c r="AE6" t="s">
        <v>12</v>
      </c>
      <c r="AF6" s="5">
        <v>50</v>
      </c>
      <c r="AG6" s="4">
        <f>(1+AI6)*AG5</f>
        <v>2.1827511664775683</v>
      </c>
      <c r="AH6" s="1">
        <f>(AF6-AF5)/(AF6+AF5)/2</f>
        <v>6.2682871933378348E-2</v>
      </c>
      <c r="AI6" s="1">
        <f>AH6*AJ6</f>
        <v>1.5681890359725569E-2</v>
      </c>
      <c r="AJ6" s="2">
        <f>MEDIAN(AJ2:AJ5)</f>
        <v>0.25017823651081045</v>
      </c>
    </row>
    <row r="7" spans="3:36" x14ac:dyDescent="0.25">
      <c r="J7" t="s">
        <v>11</v>
      </c>
      <c r="K7" s="3">
        <v>20.57</v>
      </c>
      <c r="L7" s="4">
        <v>32.07</v>
      </c>
      <c r="M7" s="1">
        <f t="shared" ref="M7" si="10">(K7-K6)/(K7+K6)/2</f>
        <v>-9.8868954758190325E-2</v>
      </c>
      <c r="N7" s="1">
        <f t="shared" ref="N7:N8" si="11">(L7-L6)/(L7+L6)/2</f>
        <v>3.7636211232187779E-2</v>
      </c>
      <c r="O7" s="2">
        <f>ABS(N7/M7)</f>
        <v>0.38066763550031346</v>
      </c>
      <c r="Q7" t="s">
        <v>11</v>
      </c>
      <c r="R7" s="3">
        <v>208.37</v>
      </c>
      <c r="S7" s="4">
        <v>15.67</v>
      </c>
      <c r="T7" s="1">
        <f t="shared" si="5"/>
        <v>3.8256871254391409E-2</v>
      </c>
      <c r="U7" s="1">
        <f t="shared" si="6"/>
        <v>0.14168714168714167</v>
      </c>
      <c r="V7" s="2">
        <f>ABS(U7/T7)</f>
        <v>3.7035736860179793</v>
      </c>
      <c r="X7" t="s">
        <v>11</v>
      </c>
      <c r="Y7" s="3">
        <v>17.11</v>
      </c>
      <c r="Z7" s="4">
        <v>9.81</v>
      </c>
      <c r="AA7" s="1">
        <f t="shared" si="7"/>
        <v>8.1379544682296967E-2</v>
      </c>
      <c r="AB7" s="1">
        <f t="shared" si="8"/>
        <v>-7.8245915735167648E-2</v>
      </c>
      <c r="AC7" s="2">
        <f t="shared" si="9"/>
        <v>-0.96149365348057791</v>
      </c>
      <c r="AF7" s="3"/>
      <c r="AG7" s="4"/>
      <c r="AH7" s="1"/>
      <c r="AI7" s="1"/>
      <c r="AJ7" s="2"/>
    </row>
    <row r="8" spans="3:36" x14ac:dyDescent="0.25">
      <c r="J8" t="s">
        <v>12</v>
      </c>
      <c r="K8" s="5">
        <f>K7*(1+M8)</f>
        <v>21.569823892861113</v>
      </c>
      <c r="L8" s="4">
        <v>46.48</v>
      </c>
      <c r="M8" s="1">
        <f>N8*O8</f>
        <v>4.8605925758926215E-2</v>
      </c>
      <c r="N8" s="1">
        <f t="shared" si="11"/>
        <v>9.1725015913430921E-2</v>
      </c>
      <c r="O8" s="2">
        <f>MEDIAN(O4:O7)</f>
        <v>0.52990915591445586</v>
      </c>
      <c r="Q8" t="s">
        <v>12</v>
      </c>
      <c r="R8" s="5">
        <f>R7*(1+T8)</f>
        <v>189.86174642940344</v>
      </c>
      <c r="S8" s="4">
        <v>13.831500000000002</v>
      </c>
      <c r="T8" s="1">
        <f>U8*V8</f>
        <v>-8.8823984117658794E-2</v>
      </c>
      <c r="U8" s="1">
        <f t="shared" si="6"/>
        <v>-3.1159432571225158E-2</v>
      </c>
      <c r="V8" s="2">
        <f>MEDIAN(V4:V7)</f>
        <v>2.8506290643971868</v>
      </c>
      <c r="X8" t="s">
        <v>12</v>
      </c>
      <c r="Y8" s="5">
        <f>Y7*(1+AA8)</f>
        <v>8.0052923131737934</v>
      </c>
      <c r="Z8" s="4">
        <v>16</v>
      </c>
      <c r="AA8" s="1">
        <f>AB8*AC8</f>
        <v>-0.53212786013011137</v>
      </c>
      <c r="AB8" s="1">
        <f t="shared" si="8"/>
        <v>0.11991476172026344</v>
      </c>
      <c r="AC8" s="2">
        <f>MEDIAN(AC4:AC7)</f>
        <v>-4.4375509111334983</v>
      </c>
      <c r="AF8" s="3"/>
      <c r="AG8" s="4"/>
      <c r="AH8" s="1"/>
      <c r="AI8" s="1"/>
      <c r="AJ8" s="2"/>
    </row>
    <row r="9" spans="3:36" x14ac:dyDescent="0.25">
      <c r="AF9" s="5"/>
      <c r="AG9" s="4"/>
      <c r="AH9" s="1"/>
      <c r="AI9" s="1"/>
      <c r="AJ9" s="2"/>
    </row>
    <row r="10" spans="3:36" x14ac:dyDescent="0.25">
      <c r="J10" t="s">
        <v>13</v>
      </c>
      <c r="K10" s="5">
        <v>23.85</v>
      </c>
      <c r="Q10" t="s">
        <v>13</v>
      </c>
      <c r="R10" s="5">
        <f>R8</f>
        <v>189.86174642940344</v>
      </c>
      <c r="X10" t="s">
        <v>13</v>
      </c>
      <c r="Y10" s="5">
        <f>Y8</f>
        <v>8.0052923131737934</v>
      </c>
    </row>
    <row r="11" spans="3:36" x14ac:dyDescent="0.25">
      <c r="J11" t="s">
        <v>14</v>
      </c>
      <c r="K11" s="5">
        <v>24.69</v>
      </c>
      <c r="Q11" t="s">
        <v>14</v>
      </c>
      <c r="R11" s="5">
        <v>150.31</v>
      </c>
      <c r="X11" t="s">
        <v>14</v>
      </c>
      <c r="Y11" s="5">
        <v>150.31</v>
      </c>
      <c r="AE11" t="s">
        <v>13</v>
      </c>
      <c r="AF11" s="5">
        <f>AF9</f>
        <v>0</v>
      </c>
    </row>
    <row r="12" spans="3:36" x14ac:dyDescent="0.25">
      <c r="J12" t="s">
        <v>15</v>
      </c>
      <c r="K12" s="5">
        <v>25.25</v>
      </c>
      <c r="Q12" t="s">
        <v>15</v>
      </c>
      <c r="R12" s="5">
        <v>247.77</v>
      </c>
      <c r="X12" t="s">
        <v>15</v>
      </c>
      <c r="Y12" s="5">
        <v>247.77</v>
      </c>
      <c r="AE12" t="s">
        <v>14</v>
      </c>
      <c r="AF12" s="5">
        <v>150.31</v>
      </c>
    </row>
    <row r="13" spans="3:36" x14ac:dyDescent="0.25">
      <c r="J13" t="s">
        <v>16</v>
      </c>
      <c r="K13" s="5">
        <v>26.76</v>
      </c>
      <c r="Q13" t="s">
        <v>16</v>
      </c>
      <c r="R13" s="5">
        <v>240</v>
      </c>
      <c r="X13" t="s">
        <v>16</v>
      </c>
      <c r="Y13" s="5">
        <v>240</v>
      </c>
      <c r="AE13" t="s">
        <v>15</v>
      </c>
      <c r="AF13" s="5">
        <v>247.77</v>
      </c>
    </row>
    <row r="14" spans="3:36" x14ac:dyDescent="0.25">
      <c r="J14" t="s">
        <v>17</v>
      </c>
      <c r="K14" s="5">
        <f>AVERAGE(K10:K13)</f>
        <v>25.137500000000003</v>
      </c>
      <c r="Q14" t="s">
        <v>17</v>
      </c>
      <c r="R14" s="5">
        <f>AVERAGE(R10:R13)</f>
        <v>206.98543660735086</v>
      </c>
      <c r="X14" t="s">
        <v>17</v>
      </c>
      <c r="Y14" s="5">
        <f>AVERAGE(Y10:Y13)</f>
        <v>161.52132307829345</v>
      </c>
      <c r="AE14" t="s">
        <v>16</v>
      </c>
      <c r="AF14" s="5">
        <v>240</v>
      </c>
    </row>
    <row r="15" spans="3:36" x14ac:dyDescent="0.25">
      <c r="AE15" t="s">
        <v>17</v>
      </c>
      <c r="AF15" s="5">
        <f>AVERAGE(AF11:AF14)</f>
        <v>159.52000000000001</v>
      </c>
    </row>
    <row r="18" spans="10:16" x14ac:dyDescent="0.25">
      <c r="J18" s="6" t="s">
        <v>21</v>
      </c>
      <c r="K18" s="6" t="s">
        <v>1</v>
      </c>
      <c r="L18" s="6" t="s">
        <v>22</v>
      </c>
      <c r="M18" s="6" t="s">
        <v>6</v>
      </c>
      <c r="N18" s="6" t="s">
        <v>7</v>
      </c>
      <c r="O18" s="6" t="s">
        <v>8</v>
      </c>
      <c r="P18" s="6" t="s">
        <v>23</v>
      </c>
    </row>
    <row r="19" spans="10:16" x14ac:dyDescent="0.25">
      <c r="J19" t="s">
        <v>0</v>
      </c>
      <c r="K19" s="3">
        <v>14.305099999999999</v>
      </c>
      <c r="L19" s="4">
        <v>38.975790000000003</v>
      </c>
      <c r="P19" s="9">
        <f>L19/173.13</f>
        <v>0.22512441517934503</v>
      </c>
    </row>
    <row r="20" spans="10:16" x14ac:dyDescent="0.25">
      <c r="J20" t="s">
        <v>3</v>
      </c>
      <c r="K20" s="3">
        <v>13.886480000000001</v>
      </c>
      <c r="L20" s="4">
        <v>11.9298</v>
      </c>
      <c r="M20" s="1">
        <f>(K20-K19)/(K20+K19)/2</f>
        <v>-7.4245572614234263E-3</v>
      </c>
      <c r="N20" s="1">
        <f>(L20-L19)/(L20+L19)/2</f>
        <v>-0.26564852700852698</v>
      </c>
      <c r="O20" s="2">
        <f>ABS(N20/M20)</f>
        <v>35.779712871067169</v>
      </c>
      <c r="P20" s="9">
        <f t="shared" ref="P20:P24" si="12">L20/173.13</f>
        <v>6.8906601975394222E-2</v>
      </c>
    </row>
    <row r="21" spans="10:16" x14ac:dyDescent="0.25">
      <c r="J21" t="s">
        <v>4</v>
      </c>
      <c r="K21" s="3">
        <v>16.249659999999999</v>
      </c>
      <c r="L21" s="4">
        <v>3.2824499999999999</v>
      </c>
      <c r="M21" s="1">
        <f t="shared" ref="M21:M23" si="13">(K21-K20)/(K21+K20)/2</f>
        <v>3.9208405588771457E-2</v>
      </c>
      <c r="N21" s="1">
        <f t="shared" ref="N21:N24" si="14">(L21-L20)/(L21+L20)/2</f>
        <v>-0.28422324113789871</v>
      </c>
      <c r="O21" s="2">
        <f>ABS(N21/M21)</f>
        <v>7.2490384872802593</v>
      </c>
      <c r="P21" s="9">
        <f t="shared" si="12"/>
        <v>1.8959452434586726E-2</v>
      </c>
    </row>
    <row r="22" spans="10:16" x14ac:dyDescent="0.25">
      <c r="J22" t="s">
        <v>5</v>
      </c>
      <c r="K22" s="3">
        <v>8.6189</v>
      </c>
      <c r="L22" s="4">
        <v>1.7464999999999999</v>
      </c>
      <c r="M22" s="1">
        <f t="shared" si="13"/>
        <v>-0.15342183061665007</v>
      </c>
      <c r="N22" s="1">
        <f t="shared" si="14"/>
        <v>-0.15271080444227919</v>
      </c>
      <c r="O22" s="2">
        <f>ABS(N22/M22)</f>
        <v>0.99536554757876994</v>
      </c>
      <c r="P22" s="9">
        <f t="shared" si="12"/>
        <v>1.0087795298330733E-2</v>
      </c>
    </row>
    <row r="23" spans="10:16" x14ac:dyDescent="0.25">
      <c r="J23" t="s">
        <v>11</v>
      </c>
      <c r="K23" s="3">
        <v>11.93</v>
      </c>
      <c r="L23" s="4">
        <v>2.2433000000000001</v>
      </c>
      <c r="M23" s="1">
        <f t="shared" si="13"/>
        <v>8.056635634997493E-2</v>
      </c>
      <c r="N23" s="1">
        <f t="shared" si="14"/>
        <v>6.2258759837585866E-2</v>
      </c>
      <c r="O23" s="2">
        <f>ABS(N23/M23)</f>
        <v>0.77276375224340454</v>
      </c>
      <c r="P23" s="9">
        <f t="shared" si="12"/>
        <v>1.295731531219315E-2</v>
      </c>
    </row>
    <row r="24" spans="10:16" x14ac:dyDescent="0.25">
      <c r="J24" t="s">
        <v>12</v>
      </c>
      <c r="K24" s="5">
        <f>K23*(1+M24)</f>
        <v>27.508234003738558</v>
      </c>
      <c r="L24" s="4">
        <v>10</v>
      </c>
      <c r="M24" s="1">
        <f>N24*O24</f>
        <v>1.3058033532052438</v>
      </c>
      <c r="N24" s="1">
        <f t="shared" si="14"/>
        <v>0.31677325557651942</v>
      </c>
      <c r="O24" s="2">
        <f>MEDIAN(O20:O23)</f>
        <v>4.1222020174295153</v>
      </c>
      <c r="P24" s="9">
        <f>MEDIAN(P20:P23)</f>
        <v>1.5958383873389936E-2</v>
      </c>
    </row>
    <row r="26" spans="10:16" x14ac:dyDescent="0.25">
      <c r="J26" s="6" t="s">
        <v>13</v>
      </c>
      <c r="K26" s="8">
        <v>23</v>
      </c>
    </row>
    <row r="27" spans="10:16" x14ac:dyDescent="0.25">
      <c r="J27" t="s">
        <v>14</v>
      </c>
      <c r="K27" s="5">
        <v>24.69</v>
      </c>
    </row>
    <row r="28" spans="10:16" x14ac:dyDescent="0.25">
      <c r="J28" t="s">
        <v>15</v>
      </c>
      <c r="K28" s="5">
        <v>29.66</v>
      </c>
    </row>
    <row r="29" spans="10:16" x14ac:dyDescent="0.25">
      <c r="J29" t="s">
        <v>16</v>
      </c>
      <c r="K29" s="5">
        <v>27.57</v>
      </c>
    </row>
    <row r="30" spans="10:16" x14ac:dyDescent="0.25">
      <c r="J30" s="6" t="s">
        <v>17</v>
      </c>
      <c r="K30" s="8">
        <f>AVERAGE(K26:K29)</f>
        <v>26.229999999999997</v>
      </c>
    </row>
    <row r="31" spans="10:16" x14ac:dyDescent="0.25">
      <c r="J31" t="s">
        <v>24</v>
      </c>
      <c r="K31" s="5">
        <v>18.37</v>
      </c>
    </row>
    <row r="32" spans="10:16" x14ac:dyDescent="0.25">
      <c r="J32" s="6" t="s">
        <v>25</v>
      </c>
      <c r="K32" s="7">
        <f>K30/K31-1</f>
        <v>0.42787152966793651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Rodriguez Walton</dc:creator>
  <cp:lastModifiedBy>Samuel Rodriguez Walton</cp:lastModifiedBy>
  <dcterms:created xsi:type="dcterms:W3CDTF">2025-03-24T02:42:56Z</dcterms:created>
  <dcterms:modified xsi:type="dcterms:W3CDTF">2025-04-06T03:55:38Z</dcterms:modified>
</cp:coreProperties>
</file>