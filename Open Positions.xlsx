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78192D40-48C9-45AA-91FF-EF1520505E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1" l="1"/>
  <c r="O38" i="1" s="1"/>
  <c r="L38" i="1"/>
  <c r="N38" i="1" s="1"/>
  <c r="P38" i="1" s="1"/>
  <c r="J38" i="1"/>
  <c r="G38" i="1"/>
  <c r="M37" i="1"/>
  <c r="O37" i="1" s="1"/>
  <c r="L37" i="1"/>
  <c r="N37" i="1" s="1"/>
  <c r="J37" i="1"/>
  <c r="G37" i="1"/>
  <c r="M36" i="1"/>
  <c r="O36" i="1" s="1"/>
  <c r="L36" i="1"/>
  <c r="N36" i="1" s="1"/>
  <c r="J36" i="1"/>
  <c r="G36" i="1"/>
  <c r="M35" i="1"/>
  <c r="O35" i="1" s="1"/>
  <c r="L35" i="1"/>
  <c r="N35" i="1" s="1"/>
  <c r="J35" i="1"/>
  <c r="G35" i="1"/>
  <c r="L6" i="1"/>
  <c r="N6" i="1" s="1"/>
  <c r="L9" i="1"/>
  <c r="N9" i="1" s="1"/>
  <c r="J9" i="1"/>
  <c r="G9" i="1"/>
  <c r="M23" i="1"/>
  <c r="O23" i="1" s="1"/>
  <c r="G23" i="1"/>
  <c r="H25" i="1"/>
  <c r="L25" i="1" s="1"/>
  <c r="N25" i="1" s="1"/>
  <c r="L27" i="1"/>
  <c r="N27" i="1" s="1"/>
  <c r="L16" i="1"/>
  <c r="N16" i="1" s="1"/>
  <c r="M24" i="1"/>
  <c r="O24" i="1" s="1"/>
  <c r="H20" i="1"/>
  <c r="L20" i="1" s="1"/>
  <c r="N20" i="1" s="1"/>
  <c r="H22" i="1"/>
  <c r="J22" i="1" s="1"/>
  <c r="M26" i="1"/>
  <c r="O26" i="1" s="1"/>
  <c r="H2" i="1"/>
  <c r="J2" i="1" s="1"/>
  <c r="H4" i="1"/>
  <c r="L4" i="1" s="1"/>
  <c r="N4" i="1" s="1"/>
  <c r="M29" i="1"/>
  <c r="O29" i="1" s="1"/>
  <c r="J19" i="1"/>
  <c r="H14" i="1"/>
  <c r="M14" i="1" s="1"/>
  <c r="O14" i="1" s="1"/>
  <c r="L21" i="1"/>
  <c r="N21" i="1" s="1"/>
  <c r="L11" i="1"/>
  <c r="N11" i="1" s="1"/>
  <c r="M32" i="1"/>
  <c r="O32" i="1" s="1"/>
  <c r="M28" i="1"/>
  <c r="O28" i="1" s="1"/>
  <c r="L28" i="1"/>
  <c r="N28" i="1" s="1"/>
  <c r="J28" i="1"/>
  <c r="G28" i="1"/>
  <c r="D28" i="1"/>
  <c r="M34" i="1"/>
  <c r="O34" i="1" s="1"/>
  <c r="L34" i="1"/>
  <c r="N34" i="1" s="1"/>
  <c r="J34" i="1"/>
  <c r="G34" i="1"/>
  <c r="J31" i="1"/>
  <c r="M31" i="1"/>
  <c r="O31" i="1" s="1"/>
  <c r="N31" i="1"/>
  <c r="G31" i="1"/>
  <c r="M30" i="1"/>
  <c r="O30" i="1" s="1"/>
  <c r="L30" i="1"/>
  <c r="N30" i="1" s="1"/>
  <c r="J30" i="1"/>
  <c r="G30" i="1"/>
  <c r="L33" i="1"/>
  <c r="N33" i="1" s="1"/>
  <c r="M33" i="1"/>
  <c r="O33" i="1" s="1"/>
  <c r="L12" i="1"/>
  <c r="N12" i="1" s="1"/>
  <c r="M12" i="1"/>
  <c r="O12" i="1" s="1"/>
  <c r="L13" i="1"/>
  <c r="N13" i="1" s="1"/>
  <c r="M13" i="1"/>
  <c r="O13" i="1" s="1"/>
  <c r="L17" i="1"/>
  <c r="N17" i="1" s="1"/>
  <c r="M17" i="1"/>
  <c r="O17" i="1" s="1"/>
  <c r="M25" i="1"/>
  <c r="O25" i="1" s="1"/>
  <c r="L3" i="1"/>
  <c r="N3" i="1" s="1"/>
  <c r="M3" i="1"/>
  <c r="O3" i="1" s="1"/>
  <c r="L5" i="1"/>
  <c r="N5" i="1" s="1"/>
  <c r="M5" i="1"/>
  <c r="O5" i="1" s="1"/>
  <c r="L7" i="1"/>
  <c r="N7" i="1" s="1"/>
  <c r="M7" i="1"/>
  <c r="O7" i="1" s="1"/>
  <c r="L15" i="1"/>
  <c r="N15" i="1" s="1"/>
  <c r="M15" i="1"/>
  <c r="O15" i="1" s="1"/>
  <c r="M4" i="1"/>
  <c r="O4" i="1" s="1"/>
  <c r="L8" i="1"/>
  <c r="N8" i="1" s="1"/>
  <c r="M8" i="1"/>
  <c r="O8" i="1" s="1"/>
  <c r="L10" i="1"/>
  <c r="N10" i="1" s="1"/>
  <c r="M10" i="1"/>
  <c r="O10" i="1" s="1"/>
  <c r="J33" i="1"/>
  <c r="J12" i="1"/>
  <c r="J13" i="1"/>
  <c r="J17" i="1"/>
  <c r="J3" i="1"/>
  <c r="J5" i="1"/>
  <c r="J7" i="1"/>
  <c r="J15" i="1"/>
  <c r="J4" i="1"/>
  <c r="J8" i="1"/>
  <c r="J10" i="1"/>
  <c r="G15" i="1"/>
  <c r="G13" i="1"/>
  <c r="G32" i="1"/>
  <c r="G29" i="1"/>
  <c r="G25" i="1"/>
  <c r="G27" i="1"/>
  <c r="G18" i="1"/>
  <c r="G24" i="1"/>
  <c r="G20" i="1"/>
  <c r="G26" i="1"/>
  <c r="G12" i="1"/>
  <c r="G33" i="1"/>
  <c r="G11" i="1"/>
  <c r="G22" i="1"/>
  <c r="G21" i="1"/>
  <c r="G17" i="1"/>
  <c r="G16" i="1"/>
  <c r="G6" i="1"/>
  <c r="G19" i="1"/>
  <c r="G2" i="1"/>
  <c r="G8" i="1"/>
  <c r="G14" i="1"/>
  <c r="G10" i="1"/>
  <c r="G5" i="1"/>
  <c r="G3" i="1"/>
  <c r="G7" i="1"/>
  <c r="G4" i="1"/>
  <c r="M16" i="1" l="1"/>
  <c r="O16" i="1" s="1"/>
  <c r="P16" i="1" s="1"/>
  <c r="P35" i="1"/>
  <c r="P37" i="1"/>
  <c r="P36" i="1"/>
  <c r="M9" i="1"/>
  <c r="O9" i="1" s="1"/>
  <c r="P9" i="1" s="1"/>
  <c r="L22" i="1"/>
  <c r="N22" i="1" s="1"/>
  <c r="P22" i="1" s="1"/>
  <c r="J16" i="1"/>
  <c r="J24" i="1"/>
  <c r="M22" i="1"/>
  <c r="O22" i="1" s="1"/>
  <c r="L26" i="1"/>
  <c r="N26" i="1" s="1"/>
  <c r="P26" i="1" s="1"/>
  <c r="J23" i="1"/>
  <c r="L23" i="1"/>
  <c r="N23" i="1" s="1"/>
  <c r="P23" i="1" s="1"/>
  <c r="M6" i="1"/>
  <c r="O6" i="1" s="1"/>
  <c r="P6" i="1" s="1"/>
  <c r="J6" i="1"/>
  <c r="L29" i="1"/>
  <c r="N29" i="1" s="1"/>
  <c r="P29" i="1" s="1"/>
  <c r="M2" i="1"/>
  <c r="O2" i="1" s="1"/>
  <c r="J25" i="1"/>
  <c r="J27" i="1"/>
  <c r="J26" i="1"/>
  <c r="M27" i="1"/>
  <c r="O27" i="1" s="1"/>
  <c r="P27" i="1" s="1"/>
  <c r="L19" i="1"/>
  <c r="N19" i="1" s="1"/>
  <c r="J29" i="1"/>
  <c r="L24" i="1"/>
  <c r="N24" i="1" s="1"/>
  <c r="P24" i="1" s="1"/>
  <c r="M19" i="1"/>
  <c r="O19" i="1" s="1"/>
  <c r="J20" i="1"/>
  <c r="L2" i="1"/>
  <c r="N2" i="1" s="1"/>
  <c r="M20" i="1"/>
  <c r="O20" i="1" s="1"/>
  <c r="P20" i="1" s="1"/>
  <c r="L14" i="1"/>
  <c r="N14" i="1" s="1"/>
  <c r="P14" i="1" s="1"/>
  <c r="J18" i="1"/>
  <c r="K36" i="1" s="1"/>
  <c r="M18" i="1"/>
  <c r="O18" i="1" s="1"/>
  <c r="L18" i="1"/>
  <c r="N18" i="1" s="1"/>
  <c r="J14" i="1"/>
  <c r="M11" i="1"/>
  <c r="O11" i="1" s="1"/>
  <c r="P11" i="1" s="1"/>
  <c r="J11" i="1"/>
  <c r="K37" i="1" s="1"/>
  <c r="J21" i="1"/>
  <c r="M21" i="1"/>
  <c r="O21" i="1" s="1"/>
  <c r="P21" i="1" s="1"/>
  <c r="L32" i="1"/>
  <c r="N32" i="1" s="1"/>
  <c r="P32" i="1" s="1"/>
  <c r="J32" i="1"/>
  <c r="P31" i="1"/>
  <c r="P28" i="1"/>
  <c r="P34" i="1"/>
  <c r="P30" i="1"/>
  <c r="P25" i="1"/>
  <c r="P7" i="1"/>
  <c r="P4" i="1"/>
  <c r="P12" i="1"/>
  <c r="P5" i="1"/>
  <c r="P13" i="1"/>
  <c r="P10" i="1"/>
  <c r="P17" i="1"/>
  <c r="P15" i="1"/>
  <c r="P3" i="1"/>
  <c r="P8" i="1"/>
  <c r="P33" i="1"/>
  <c r="K9" i="1" l="1"/>
  <c r="K38" i="1"/>
  <c r="K35" i="1"/>
  <c r="K18" i="1"/>
  <c r="K23" i="1"/>
  <c r="K12" i="1"/>
  <c r="P19" i="1"/>
  <c r="P2" i="1"/>
  <c r="K5" i="1"/>
  <c r="P18" i="1"/>
  <c r="Q32" i="1" s="1"/>
  <c r="K19" i="1"/>
  <c r="K7" i="1"/>
  <c r="K21" i="1"/>
  <c r="K27" i="1"/>
  <c r="K13" i="1"/>
  <c r="K17" i="1"/>
  <c r="K29" i="1"/>
  <c r="K22" i="1"/>
  <c r="K11" i="1"/>
  <c r="K24" i="1"/>
  <c r="K15" i="1"/>
  <c r="K14" i="1"/>
  <c r="K4" i="1"/>
  <c r="K8" i="1"/>
  <c r="K16" i="1"/>
  <c r="K26" i="1"/>
  <c r="K2" i="1"/>
  <c r="K31" i="1"/>
  <c r="K6" i="1"/>
  <c r="K3" i="1"/>
  <c r="K28" i="1"/>
  <c r="K30" i="1"/>
  <c r="K20" i="1"/>
  <c r="K25" i="1"/>
  <c r="K10" i="1"/>
  <c r="K33" i="1"/>
  <c r="K34" i="1"/>
  <c r="K32" i="1"/>
  <c r="Q37" i="1" l="1"/>
  <c r="Q9" i="1"/>
  <c r="Q38" i="1"/>
  <c r="Q35" i="1"/>
  <c r="Q36" i="1"/>
  <c r="Q33" i="1"/>
  <c r="Q23" i="1"/>
  <c r="Q3" i="1"/>
  <c r="Q18" i="1"/>
  <c r="Q24" i="1"/>
  <c r="Q20" i="1"/>
  <c r="Q6" i="1"/>
  <c r="Q34" i="1"/>
  <c r="Q25" i="1"/>
  <c r="Q30" i="1"/>
  <c r="Q5" i="1"/>
  <c r="Q17" i="1"/>
  <c r="Q2" i="1"/>
  <c r="Q22" i="1"/>
  <c r="Q28" i="1"/>
  <c r="Q27" i="1"/>
  <c r="Q7" i="1"/>
  <c r="Q19" i="1"/>
  <c r="Q29" i="1"/>
  <c r="Q15" i="1"/>
  <c r="Q21" i="1"/>
  <c r="Q13" i="1"/>
  <c r="Q14" i="1"/>
  <c r="Q31" i="1"/>
  <c r="Q16" i="1"/>
  <c r="Q8" i="1"/>
  <c r="Q26" i="1"/>
  <c r="Q12" i="1"/>
  <c r="Q11" i="1"/>
  <c r="Q4" i="1"/>
  <c r="Q10" i="1"/>
  <c r="S38" i="1" l="1"/>
  <c r="R38" i="1"/>
  <c r="S37" i="1"/>
  <c r="R37" i="1"/>
  <c r="R36" i="1"/>
  <c r="S36" i="1"/>
  <c r="S35" i="1"/>
  <c r="R35" i="1"/>
  <c r="R9" i="1"/>
  <c r="S9" i="1"/>
  <c r="R32" i="1"/>
  <c r="R18" i="1"/>
  <c r="R10" i="1"/>
  <c r="R2" i="1"/>
  <c r="R20" i="1"/>
  <c r="S21" i="1"/>
  <c r="R29" i="1"/>
  <c r="R30" i="1"/>
  <c r="R5" i="1"/>
  <c r="R7" i="1"/>
  <c r="R4" i="1"/>
  <c r="R31" i="1"/>
  <c r="R33" i="1"/>
  <c r="R15" i="1"/>
  <c r="R16" i="1"/>
  <c r="R6" i="1"/>
  <c r="R12" i="1"/>
  <c r="R8" i="1"/>
  <c r="S16" i="1"/>
  <c r="R14" i="1"/>
  <c r="S31" i="1"/>
  <c r="R19" i="1"/>
  <c r="S30" i="1"/>
  <c r="R28" i="1"/>
  <c r="R17" i="1"/>
  <c r="S33" i="1"/>
  <c r="R34" i="1"/>
  <c r="S24" i="1"/>
  <c r="R24" i="1"/>
  <c r="R27" i="1"/>
  <c r="R23" i="1"/>
  <c r="S11" i="1"/>
  <c r="R22" i="1"/>
  <c r="R25" i="1"/>
  <c r="S32" i="1"/>
  <c r="R3" i="1"/>
  <c r="R13" i="1"/>
  <c r="S14" i="1"/>
  <c r="S18" i="1"/>
  <c r="S2" i="1"/>
  <c r="S25" i="1"/>
  <c r="S12" i="1"/>
  <c r="S8" i="1"/>
  <c r="S34" i="1"/>
  <c r="S5" i="1"/>
  <c r="S19" i="1"/>
  <c r="S27" i="1"/>
  <c r="S3" i="1"/>
  <c r="R11" i="1"/>
  <c r="S28" i="1"/>
  <c r="R26" i="1"/>
  <c r="S13" i="1"/>
  <c r="R21" i="1"/>
  <c r="S23" i="1"/>
  <c r="S26" i="1"/>
  <c r="S20" i="1"/>
  <c r="S4" i="1"/>
  <c r="S22" i="1"/>
  <c r="S29" i="1"/>
  <c r="S7" i="1"/>
  <c r="S15" i="1"/>
  <c r="S6" i="1"/>
  <c r="S10" i="1"/>
  <c r="S17" i="1"/>
</calcChain>
</file>

<file path=xl/sharedStrings.xml><?xml version="1.0" encoding="utf-8"?>
<sst xmlns="http://schemas.openxmlformats.org/spreadsheetml/2006/main" count="130" uniqueCount="98">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</sst>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tabSelected="1" workbookViewId="0">
      <selection activeCell="H39" sqref="H39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84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97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83</v>
      </c>
      <c r="S1" s="16" t="s">
        <v>72</v>
      </c>
    </row>
    <row r="2" spans="1:19" x14ac:dyDescent="0.25">
      <c r="A2" t="s">
        <v>36</v>
      </c>
      <c r="B2" s="3" t="s">
        <v>21</v>
      </c>
      <c r="C2" t="s">
        <v>22</v>
      </c>
      <c r="D2" s="8">
        <v>45484</v>
      </c>
      <c r="E2" s="2">
        <v>0.33389999999999997</v>
      </c>
      <c r="F2" s="1">
        <v>188.53</v>
      </c>
      <c r="G2" s="1">
        <f>E2*F2</f>
        <v>62.950166999999993</v>
      </c>
      <c r="H2" s="11">
        <f>227.4/F2-1</f>
        <v>0.20617408370020684</v>
      </c>
      <c r="I2" s="11">
        <v>0.37</v>
      </c>
      <c r="J2" s="9">
        <f>IFERROR(H2/I2,"")</f>
        <v>0.55722725324380229</v>
      </c>
      <c r="K2" s="9">
        <f>IFERROR(J2/SUBTOTAL(9,$J$2:$J$1048576),"")</f>
        <v>3.6612204034604294E-2</v>
      </c>
      <c r="L2" s="12">
        <f>F2/(1-(F2*(1+H2)-F2)/(F2*(1+H2)))</f>
        <v>227.4</v>
      </c>
      <c r="M2" s="12">
        <f>F2/(1+I2-H2)</f>
        <v>161.9915808365931</v>
      </c>
      <c r="N2" s="12">
        <f>L2-F2</f>
        <v>38.870000000000005</v>
      </c>
      <c r="O2" s="12">
        <f>0.5*(M2-F2)</f>
        <v>-13.26920958170345</v>
      </c>
      <c r="P2" s="15">
        <f>N2+O2</f>
        <v>25.600790418296555</v>
      </c>
      <c r="Q2" s="12">
        <f>MAX($P$2:$P$280)-P2</f>
        <v>78.027719610356769</v>
      </c>
      <c r="R2" s="9">
        <f>IFERROR((SUBTOTAL(109,$Q$2:$Q$1048576)/Q2)/SUBTOTAL(109,$Q$2:$Q$1048576),0)</f>
        <v>1.2815958290126271E-2</v>
      </c>
      <c r="S2" s="9">
        <f>Q2/MAX($Q$2:$Q$28)</f>
        <v>0.35277709242954441</v>
      </c>
    </row>
    <row r="3" spans="1:19" x14ac:dyDescent="0.25">
      <c r="A3" t="s">
        <v>36</v>
      </c>
      <c r="B3" s="3" t="s">
        <v>11</v>
      </c>
      <c r="C3" t="s">
        <v>12</v>
      </c>
      <c r="D3" s="8">
        <v>45574</v>
      </c>
      <c r="E3" s="2">
        <v>0.13370000000000001</v>
      </c>
      <c r="F3" s="1">
        <v>423.77</v>
      </c>
      <c r="G3" s="1">
        <f>E3*F3</f>
        <v>56.658049000000005</v>
      </c>
      <c r="H3" s="11">
        <v>0.15</v>
      </c>
      <c r="I3" s="11">
        <v>0.1963</v>
      </c>
      <c r="J3" s="9">
        <f>IFERROR(H3/I3,"")</f>
        <v>0.76413652572592972</v>
      </c>
      <c r="K3" s="9">
        <f>IFERROR(J3/SUBTOTAL(9,$J$2:$J$1048576),"")</f>
        <v>5.0207024561899537E-2</v>
      </c>
      <c r="L3" s="12">
        <f>F3/(1-(F3*(1+H3)-F3)/(F3*(1+H3)))</f>
        <v>487.33549999999991</v>
      </c>
      <c r="M3" s="12">
        <f>F3/(1+I3-H3)</f>
        <v>405.01768135334032</v>
      </c>
      <c r="N3" s="12">
        <f>L3-F3</f>
        <v>63.565499999999929</v>
      </c>
      <c r="O3" s="12">
        <f>0.5*(M3-F3)</f>
        <v>-9.3761593233298299</v>
      </c>
      <c r="P3" s="15">
        <f>N3+O3</f>
        <v>54.189340676670099</v>
      </c>
      <c r="Q3" s="12">
        <f>MAX($P$2:$P$280)-P3</f>
        <v>49.439169351983224</v>
      </c>
      <c r="R3" s="9">
        <f>IFERROR((SUBTOTAL(109,$Q$2:$Q$1048576)/Q3)/SUBTOTAL(109,$Q$2:$Q$1048576),0)</f>
        <v>2.0226877051280505E-2</v>
      </c>
      <c r="S3" s="9">
        <f>Q3/MAX($Q$2:$Q$28)</f>
        <v>0.22352321076687609</v>
      </c>
    </row>
    <row r="4" spans="1:19" x14ac:dyDescent="0.25">
      <c r="A4" t="s">
        <v>38</v>
      </c>
      <c r="B4" s="5" t="s">
        <v>6</v>
      </c>
      <c r="C4" t="s">
        <v>5</v>
      </c>
      <c r="D4" s="8">
        <v>45553</v>
      </c>
      <c r="E4" s="2">
        <v>1.0751999999999999</v>
      </c>
      <c r="F4" s="1">
        <v>51.15</v>
      </c>
      <c r="G4" s="1">
        <f>E4*F4</f>
        <v>54.996479999999998</v>
      </c>
      <c r="H4" s="11">
        <f>16.68%+7%/4</f>
        <v>0.18430000000000002</v>
      </c>
      <c r="I4" s="11">
        <v>0.19980000000000001</v>
      </c>
      <c r="J4" s="9">
        <f>IFERROR(H4/I4,"")</f>
        <v>0.92242242242242245</v>
      </c>
      <c r="K4" s="9">
        <f>IFERROR(J4/SUBTOTAL(9,$J$2:$J$1048576),"")</f>
        <v>6.0607082189943672E-2</v>
      </c>
      <c r="L4" s="12">
        <f>F4/(1-(F4*(1+H4)-F4)/(F4*(1+H4)))</f>
        <v>60.576944999999995</v>
      </c>
      <c r="M4" s="12">
        <f>F4/(1+I4-H4)</f>
        <v>50.369276218611525</v>
      </c>
      <c r="N4" s="12">
        <f>L4-F4</f>
        <v>9.4269449999999964</v>
      </c>
      <c r="O4" s="12">
        <f>0.5*(M4-F4)</f>
        <v>-0.39036189069423699</v>
      </c>
      <c r="P4" s="15">
        <f>N4+O4</f>
        <v>9.0365831093057594</v>
      </c>
      <c r="Q4" s="12">
        <f>MAX($P$2:$P$280)-P4</f>
        <v>94.591926919347571</v>
      </c>
      <c r="R4" s="9">
        <f>IFERROR((SUBTOTAL(109,$Q$2:$Q$1048576)/Q4)/SUBTOTAL(109,$Q$2:$Q$1048576),0)</f>
        <v>1.0571726706155752E-2</v>
      </c>
      <c r="S4" s="9">
        <f>Q4/MAX($Q$2:$Q$28)</f>
        <v>0.42766679729399837</v>
      </c>
    </row>
    <row r="5" spans="1:19" x14ac:dyDescent="0.25">
      <c r="A5" t="s">
        <v>36</v>
      </c>
      <c r="B5" s="3" t="s">
        <v>14</v>
      </c>
      <c r="C5" t="s">
        <v>13</v>
      </c>
      <c r="D5" s="8">
        <v>45482</v>
      </c>
      <c r="E5" s="2">
        <v>0.18820000000000001</v>
      </c>
      <c r="F5" s="1">
        <v>227.38</v>
      </c>
      <c r="G5" s="1">
        <f>E5*F5</f>
        <v>42.792915999999998</v>
      </c>
      <c r="H5" s="11">
        <v>0.15</v>
      </c>
      <c r="I5" s="11">
        <v>0.2271</v>
      </c>
      <c r="J5" s="9">
        <f>IFERROR(H5/I5,"")</f>
        <v>0.66050198150594452</v>
      </c>
      <c r="K5" s="9">
        <f>IFERROR(J5/SUBTOTAL(9,$J$2:$J$1048576),"")</f>
        <v>4.3397793577722936E-2</v>
      </c>
      <c r="L5" s="12">
        <f>F5/(1-(F5*(1+H5)-F5)/(F5*(1+H5)))</f>
        <v>261.48699999999997</v>
      </c>
      <c r="M5" s="12">
        <f>F5/(1+I5-H5)</f>
        <v>211.10389007520189</v>
      </c>
      <c r="N5" s="12">
        <f>L5-F5</f>
        <v>34.106999999999971</v>
      </c>
      <c r="O5" s="12">
        <f>0.5*(M5-F5)</f>
        <v>-8.1380549623990532</v>
      </c>
      <c r="P5" s="15">
        <f>N5+O5</f>
        <v>25.968945037600918</v>
      </c>
      <c r="Q5" s="12">
        <f>MAX($P$2:$P$280)-P5</f>
        <v>77.659564991052406</v>
      </c>
      <c r="R5" s="9">
        <f>IFERROR((SUBTOTAL(109,$Q$2:$Q$1048576)/Q5)/SUBTOTAL(109,$Q$2:$Q$1048576),0)</f>
        <v>1.2876713900151458E-2</v>
      </c>
      <c r="S5" s="9">
        <f>Q5/MAX($Q$2:$Q$28)</f>
        <v>0.35111260041553638</v>
      </c>
    </row>
    <row r="6" spans="1:19" x14ac:dyDescent="0.25">
      <c r="A6" t="s">
        <v>37</v>
      </c>
      <c r="B6" s="4" t="s">
        <v>7</v>
      </c>
      <c r="C6" t="s">
        <v>25</v>
      </c>
      <c r="D6" s="8">
        <v>45511</v>
      </c>
      <c r="E6" s="2">
        <v>0.14610000000000001</v>
      </c>
      <c r="F6" s="1">
        <v>273.45999999999998</v>
      </c>
      <c r="G6" s="1">
        <f>E6*F6</f>
        <v>39.952506</v>
      </c>
      <c r="H6" s="11">
        <v>0.25</v>
      </c>
      <c r="I6" s="11">
        <v>0.26</v>
      </c>
      <c r="J6" s="9">
        <f>IFERROR(H6/I6,"")</f>
        <v>0.96153846153846145</v>
      </c>
      <c r="K6" s="9">
        <f>IFERROR(J6/SUBTOTAL(9,$J$2:$J$1048576),"")</f>
        <v>6.3177172573723572E-2</v>
      </c>
      <c r="L6" s="12">
        <f>F6/(1-(F6*(1+H6)-F6)/(F6*(1+H6)))</f>
        <v>341.82499999999999</v>
      </c>
      <c r="M6" s="12">
        <f>F6/(1+I6-H6)</f>
        <v>270.75247524752473</v>
      </c>
      <c r="N6" s="12">
        <f>L6-F6</f>
        <v>68.365000000000009</v>
      </c>
      <c r="O6" s="12">
        <f>0.5*(M6-F6)</f>
        <v>-1.3537623762376256</v>
      </c>
      <c r="P6" s="15">
        <f>N6+O6</f>
        <v>67.011237623762383</v>
      </c>
      <c r="Q6" s="12">
        <f>MAX($P$2:$P$280)-P6</f>
        <v>36.61727240489094</v>
      </c>
      <c r="R6" s="9">
        <f>IFERROR((SUBTOTAL(109,$Q$2:$Q$1048576)/Q6)/SUBTOTAL(109,$Q$2:$Q$1048576),0)</f>
        <v>2.7309516365463388E-2</v>
      </c>
      <c r="S6" s="9">
        <f>Q6/MAX($Q$2:$Q$28)</f>
        <v>0.1655531515749106</v>
      </c>
    </row>
    <row r="7" spans="1:19" x14ac:dyDescent="0.25">
      <c r="A7" t="s">
        <v>36</v>
      </c>
      <c r="B7" s="3" t="s">
        <v>10</v>
      </c>
      <c r="C7" t="s">
        <v>9</v>
      </c>
      <c r="D7" s="8">
        <v>45544</v>
      </c>
      <c r="E7" s="2">
        <v>0.1928</v>
      </c>
      <c r="F7" s="1">
        <v>188.12</v>
      </c>
      <c r="G7" s="1">
        <f>E7*F7</f>
        <v>36.269536000000002</v>
      </c>
      <c r="H7" s="11">
        <v>0.15</v>
      </c>
      <c r="I7" s="11">
        <v>0.37780000000000002</v>
      </c>
      <c r="J7" s="9">
        <f>IFERROR(H7/I7,"")</f>
        <v>0.39703546850185278</v>
      </c>
      <c r="K7" s="9">
        <f>IFERROR(J7/SUBTOTAL(9,$J$2:$J$1048576),"")</f>
        <v>2.6086921443887974E-2</v>
      </c>
      <c r="L7" s="12">
        <f>F7/(1-(F7*(1+H7)-F7)/(F7*(1+H7)))</f>
        <v>216.33799999999999</v>
      </c>
      <c r="M7" s="12">
        <f>F7/(1+I7-H7)</f>
        <v>153.21713634142367</v>
      </c>
      <c r="N7" s="12">
        <f>L7-F7</f>
        <v>28.217999999999989</v>
      </c>
      <c r="O7" s="12">
        <f>0.5*(M7-F7)</f>
        <v>-17.451431829288168</v>
      </c>
      <c r="P7" s="15">
        <f>N7+O7</f>
        <v>10.766568170711821</v>
      </c>
      <c r="Q7" s="12">
        <f>MAX($P$2:$P$280)-P7</f>
        <v>92.861941857941503</v>
      </c>
      <c r="R7" s="9">
        <f>IFERROR((SUBTOTAL(109,$Q$2:$Q$1048576)/Q7)/SUBTOTAL(109,$Q$2:$Q$1048576),0)</f>
        <v>1.0768674227486882E-2</v>
      </c>
      <c r="S7" s="9">
        <f>Q7/MAX($Q$2:$Q$28)</f>
        <v>0.41984522948505815</v>
      </c>
    </row>
    <row r="8" spans="1:19" x14ac:dyDescent="0.25">
      <c r="A8" t="s">
        <v>38</v>
      </c>
      <c r="B8" s="5" t="s">
        <v>19</v>
      </c>
      <c r="C8" t="s">
        <v>20</v>
      </c>
      <c r="D8" s="8">
        <v>45544</v>
      </c>
      <c r="E8" s="2">
        <v>0.35149999999999998</v>
      </c>
      <c r="F8" s="1">
        <v>142.78</v>
      </c>
      <c r="G8" s="1">
        <f>E8*F8</f>
        <v>50.187169999999995</v>
      </c>
      <c r="H8" s="11">
        <v>7.0000000000000007E-2</v>
      </c>
      <c r="I8" s="11">
        <v>0.18340000000000001</v>
      </c>
      <c r="J8" s="9">
        <f>IFERROR(H8/I8,"")</f>
        <v>0.38167938931297712</v>
      </c>
      <c r="K8" s="9">
        <f>IFERROR(J8/SUBTOTAL(9,$J$2:$J$1048576),"")</f>
        <v>2.5077961632317756E-2</v>
      </c>
      <c r="L8" s="12">
        <f>F8/(1-(F8*(1+H8)-F8)/(F8*(1+H8)))</f>
        <v>152.77460000000002</v>
      </c>
      <c r="M8" s="12">
        <f>F8/(1+I8-H8)</f>
        <v>128.23783007005568</v>
      </c>
      <c r="N8" s="12">
        <f>L8-F8</f>
        <v>9.9946000000000197</v>
      </c>
      <c r="O8" s="12">
        <f>0.5*(M8-F8)</f>
        <v>-7.2710849649721609</v>
      </c>
      <c r="P8" s="15">
        <f>N8+O8</f>
        <v>2.7235150350278587</v>
      </c>
      <c r="Q8" s="12">
        <f>MAX($P$2:$P$280)-P8</f>
        <v>100.90499499362546</v>
      </c>
      <c r="R8" s="9">
        <f>IFERROR((SUBTOTAL(109,$Q$2:$Q$1048576)/Q8)/SUBTOTAL(109,$Q$2:$Q$1048576),0)</f>
        <v>9.9103121709997969E-3</v>
      </c>
      <c r="S8" s="9">
        <f>Q8/MAX($Q$2:$Q$28)</f>
        <v>0.45620929232877483</v>
      </c>
    </row>
    <row r="9" spans="1:19" x14ac:dyDescent="0.25">
      <c r="A9" t="s">
        <v>37</v>
      </c>
      <c r="B9" s="4" t="s">
        <v>87</v>
      </c>
      <c r="C9" t="s">
        <v>88</v>
      </c>
      <c r="D9" s="8">
        <v>45623</v>
      </c>
      <c r="E9" s="2">
        <v>1.9595</v>
      </c>
      <c r="F9" s="1">
        <v>15.3</v>
      </c>
      <c r="G9" s="1">
        <f>E9*F9</f>
        <v>29.980350000000001</v>
      </c>
      <c r="H9" s="11">
        <v>0.35</v>
      </c>
      <c r="I9" s="11">
        <v>0.39532299999999998</v>
      </c>
      <c r="J9" s="9">
        <f>IFERROR(H9/I9,"")</f>
        <v>0.88535197800279775</v>
      </c>
      <c r="K9" s="9">
        <f>IFERROR(J9/SUBTOTAL(9,$J$2:$J$1048576),"")</f>
        <v>5.8171396090881088E-2</v>
      </c>
      <c r="L9" s="12">
        <f>F9/(1-(F9*(1+H9)-F9)/(F9*(1+H9)))</f>
        <v>20.655000000000001</v>
      </c>
      <c r="M9" s="12">
        <f>F9/(1+I9-H9)</f>
        <v>14.636624277854791</v>
      </c>
      <c r="N9" s="12">
        <f>L9-F9</f>
        <v>5.3550000000000004</v>
      </c>
      <c r="O9" s="12">
        <f>0.5*(M9-F9)</f>
        <v>-0.33168786107260484</v>
      </c>
      <c r="P9" s="15">
        <f>N9+O9</f>
        <v>5.0233121389273956</v>
      </c>
      <c r="Q9" s="12">
        <f>MAX($P$2:$P$280)-P9</f>
        <v>98.605197889725929</v>
      </c>
      <c r="R9" s="9">
        <f>IFERROR((SUBTOTAL(109,$Q$2:$Q$1048576)/Q9)/SUBTOTAL(109,$Q$2:$Q$1048576),0)</f>
        <v>1.0141453203291975E-2</v>
      </c>
      <c r="S9" s="9">
        <f>Q9/MAX($Q$2:$Q$28)</f>
        <v>0.44581150370259182</v>
      </c>
    </row>
    <row r="10" spans="1:19" x14ac:dyDescent="0.25">
      <c r="A10" t="s">
        <v>38</v>
      </c>
      <c r="B10" s="5" t="s">
        <v>15</v>
      </c>
      <c r="C10" t="s">
        <v>16</v>
      </c>
      <c r="D10" s="8">
        <v>45460</v>
      </c>
      <c r="E10" s="2">
        <v>0.2727</v>
      </c>
      <c r="F10" s="1">
        <v>164.91</v>
      </c>
      <c r="G10" s="1">
        <f>E10*F10</f>
        <v>44.970956999999999</v>
      </c>
      <c r="H10" s="11">
        <v>6.7199999999999996E-2</v>
      </c>
      <c r="I10" s="11">
        <v>0.16439999999999999</v>
      </c>
      <c r="J10" s="9">
        <f>IFERROR(H10/I10,"")</f>
        <v>0.40875912408759124</v>
      </c>
      <c r="K10" s="9">
        <f>IFERROR(J10/SUBTOTAL(9,$J$2:$J$1048576),"")</f>
        <v>2.6857215552508477E-2</v>
      </c>
      <c r="L10" s="12">
        <f>F10/(1-(F10*(1+H10)-F10)/(F10*(1+H10)))</f>
        <v>175.991952</v>
      </c>
      <c r="M10" s="12">
        <f>F10/(1+I10-H10)</f>
        <v>150.30076558512576</v>
      </c>
      <c r="N10" s="12">
        <f>L10-F10</f>
        <v>11.081952000000001</v>
      </c>
      <c r="O10" s="12">
        <f>0.5*(M10-F10)</f>
        <v>-7.3046172074371185</v>
      </c>
      <c r="P10" s="15">
        <f>N10+O10</f>
        <v>3.7773347925628826</v>
      </c>
      <c r="Q10" s="12">
        <f>MAX($P$2:$P$280)-P10</f>
        <v>99.851175236090441</v>
      </c>
      <c r="R10" s="9">
        <f>IFERROR((SUBTOTAL(109,$Q$2:$Q$1048576)/Q10)/SUBTOTAL(109,$Q$2:$Q$1048576),0)</f>
        <v>1.0014904658213353E-2</v>
      </c>
      <c r="S10" s="9">
        <f>Q10/MAX($Q$2:$Q$28)</f>
        <v>0.45144478720335951</v>
      </c>
    </row>
    <row r="11" spans="1:19" x14ac:dyDescent="0.25">
      <c r="A11" t="s">
        <v>39</v>
      </c>
      <c r="B11" s="6" t="s">
        <v>33</v>
      </c>
      <c r="C11" t="s">
        <v>34</v>
      </c>
      <c r="D11" s="8">
        <v>45562</v>
      </c>
      <c r="E11" s="2">
        <v>4.0300000000000002E-2</v>
      </c>
      <c r="F11" s="1">
        <v>668.82</v>
      </c>
      <c r="G11" s="1">
        <f>E11*F11</f>
        <v>26.953446000000003</v>
      </c>
      <c r="H11" s="11">
        <v>0.05</v>
      </c>
      <c r="I11" s="11">
        <v>0.28000000000000003</v>
      </c>
      <c r="J11" s="9">
        <f>IFERROR(H11/I11,"")</f>
        <v>0.17857142857142858</v>
      </c>
      <c r="K11" s="9">
        <f>IFERROR(J11/SUBTOTAL(9,$J$2:$J$1048576),"")</f>
        <v>1.1732903477977237E-2</v>
      </c>
      <c r="L11" s="12">
        <f>F11/(1-(F11*(1+H11)-F11)/(F11*(1+H11)))</f>
        <v>702.26100000000008</v>
      </c>
      <c r="M11" s="12">
        <f>F11/(1+I11-H11)</f>
        <v>543.7560975609756</v>
      </c>
      <c r="N11" s="12">
        <f>L11-F11</f>
        <v>33.441000000000031</v>
      </c>
      <c r="O11" s="12">
        <f>0.5*(M11-F11)</f>
        <v>-62.531951219512223</v>
      </c>
      <c r="P11" s="15">
        <f>N11+O11</f>
        <v>-29.090951219512192</v>
      </c>
      <c r="Q11" s="12">
        <f>MAX($P$2:$P$280)-P11</f>
        <v>132.71946124816552</v>
      </c>
      <c r="R11" s="9">
        <f>IFERROR((SUBTOTAL(109,$Q$2:$Q$1048576)/Q11)/SUBTOTAL(109,$Q$2:$Q$1048576),0)</f>
        <v>7.5346900190481469E-3</v>
      </c>
      <c r="S11" s="9">
        <f>Q11/MAX($Q$2:$Q$28)</f>
        <v>0.60004810959166965</v>
      </c>
    </row>
    <row r="12" spans="1:19" x14ac:dyDescent="0.25">
      <c r="A12" t="s">
        <v>39</v>
      </c>
      <c r="B12" s="6" t="s">
        <v>42</v>
      </c>
      <c r="C12" t="s">
        <v>43</v>
      </c>
      <c r="D12" s="8">
        <v>45580</v>
      </c>
      <c r="E12" s="2">
        <v>0.19139999999999999</v>
      </c>
      <c r="F12" s="1">
        <v>135.82</v>
      </c>
      <c r="G12" s="1">
        <f>E12*F12</f>
        <v>25.995947999999999</v>
      </c>
      <c r="H12" s="11">
        <v>0.1202</v>
      </c>
      <c r="I12" s="11">
        <v>0.33710000000000001</v>
      </c>
      <c r="J12" s="9">
        <f>IFERROR(H12/I12,"")</f>
        <v>0.35657075051913378</v>
      </c>
      <c r="K12" s="9">
        <f>IFERROR(J12/SUBTOTAL(9,$J$2:$J$1048576),"")</f>
        <v>2.3428217113901029E-2</v>
      </c>
      <c r="L12" s="12">
        <f>F12/(1-(F12*(1+H12)-F12)/(F12*(1+H12)))</f>
        <v>152.14556400000001</v>
      </c>
      <c r="M12" s="12">
        <f>F12/(1+I12-H12)</f>
        <v>111.61147177253677</v>
      </c>
      <c r="N12" s="12">
        <f>L12-F12</f>
        <v>16.325564000000014</v>
      </c>
      <c r="O12" s="12">
        <f>0.5*(M12-F12)</f>
        <v>-12.10426411373161</v>
      </c>
      <c r="P12" s="15">
        <f>N12+O12</f>
        <v>4.2212998862684046</v>
      </c>
      <c r="Q12" s="12">
        <f>MAX($P$2:$P$280)-P12</f>
        <v>99.407210142384912</v>
      </c>
      <c r="R12" s="9">
        <f>IFERROR((SUBTOTAL(109,$Q$2:$Q$1048576)/Q12)/SUBTOTAL(109,$Q$2:$Q$1048576),0)</f>
        <v>1.0059632481061084E-2</v>
      </c>
      <c r="S12" s="9">
        <f>Q12/MAX($Q$2:$Q$28)</f>
        <v>0.44943754265386154</v>
      </c>
    </row>
    <row r="13" spans="1:19" x14ac:dyDescent="0.25">
      <c r="A13" t="s">
        <v>39</v>
      </c>
      <c r="B13" s="6" t="s">
        <v>60</v>
      </c>
      <c r="C13" t="s">
        <v>61</v>
      </c>
      <c r="D13" s="8">
        <v>45580</v>
      </c>
      <c r="E13" s="2">
        <v>0.18010000000000001</v>
      </c>
      <c r="F13" s="1">
        <v>133.19999999999999</v>
      </c>
      <c r="G13" s="1">
        <f>E13*F13</f>
        <v>23.989319999999999</v>
      </c>
      <c r="H13" s="11">
        <v>7.0000000000000007E-2</v>
      </c>
      <c r="I13" s="11">
        <v>0.1623</v>
      </c>
      <c r="J13" s="9">
        <f>IFERROR(H13/I13,"")</f>
        <v>0.43130006161429457</v>
      </c>
      <c r="K13" s="9">
        <f>IFERROR(J13/SUBTOTAL(9,$J$2:$J$1048576),"")</f>
        <v>2.8338251160610457E-2</v>
      </c>
      <c r="L13" s="12">
        <f>F13/(1-(F13*(1+H13)-F13)/(F13*(1+H13)))</f>
        <v>142.524</v>
      </c>
      <c r="M13" s="12">
        <f>F13/(1+I13-H13)</f>
        <v>121.94452073606151</v>
      </c>
      <c r="N13" s="12">
        <f>L13-F13</f>
        <v>9.3240000000000123</v>
      </c>
      <c r="O13" s="12">
        <f>0.5*(M13-F13)</f>
        <v>-5.6277396319692414</v>
      </c>
      <c r="P13" s="15">
        <f>N13+O13</f>
        <v>3.6962603680307708</v>
      </c>
      <c r="Q13" s="12">
        <f>MAX($P$2:$P$280)-P13</f>
        <v>99.932249660622546</v>
      </c>
      <c r="R13" s="9">
        <f>IFERROR((SUBTOTAL(109,$Q$2:$Q$1048576)/Q13)/SUBTOTAL(109,$Q$2:$Q$1048576),0)</f>
        <v>1.0006779627158154E-2</v>
      </c>
      <c r="S13" s="9">
        <f>Q13/MAX($Q$2:$Q$28)</f>
        <v>0.45181133898649067</v>
      </c>
    </row>
    <row r="14" spans="1:19" x14ac:dyDescent="0.25">
      <c r="A14" t="s">
        <v>36</v>
      </c>
      <c r="B14" s="3" t="s">
        <v>18</v>
      </c>
      <c r="C14" t="s">
        <v>17</v>
      </c>
      <c r="D14" s="8">
        <v>45483</v>
      </c>
      <c r="E14" s="2">
        <v>0.1195</v>
      </c>
      <c r="F14" s="1">
        <v>167.24</v>
      </c>
      <c r="G14" s="1">
        <f>E14*F14</f>
        <v>19.98518</v>
      </c>
      <c r="H14" s="11">
        <f>190.41/F14-1</f>
        <v>0.13854341066730447</v>
      </c>
      <c r="I14" s="11">
        <v>0.26790000000000003</v>
      </c>
      <c r="J14" s="9">
        <f>IFERROR(H14/I14,"")</f>
        <v>0.51714598979956872</v>
      </c>
      <c r="K14" s="9">
        <f>IFERROR(J14/SUBTOTAL(9,$J$2:$J$1048576),"")</f>
        <v>3.3978694301111501E-2</v>
      </c>
      <c r="L14" s="12">
        <f>F14/(1-(F14*(1+H14)-F14)/(F14*(1+H14)))</f>
        <v>190.41</v>
      </c>
      <c r="M14" s="12">
        <f>F14/(1+I14-H14)</f>
        <v>148.08431772538498</v>
      </c>
      <c r="N14" s="12">
        <f>L14-F14</f>
        <v>23.169999999999987</v>
      </c>
      <c r="O14" s="12">
        <f>0.5*(M14-F14)</f>
        <v>-9.5778411373075159</v>
      </c>
      <c r="P14" s="15">
        <f>N14+O14</f>
        <v>13.592158862692472</v>
      </c>
      <c r="Q14" s="12">
        <f>MAX($P$2:$P$280)-P14</f>
        <v>90.036351165960852</v>
      </c>
      <c r="R14" s="9">
        <f>IFERROR((SUBTOTAL(109,$Q$2:$Q$1048576)/Q14)/SUBTOTAL(109,$Q$2:$Q$1048576),0)</f>
        <v>1.1106625124742505E-2</v>
      </c>
      <c r="S14" s="9">
        <f>Q14/MAX($Q$2:$Q$28)</f>
        <v>0.40707023524338853</v>
      </c>
    </row>
    <row r="15" spans="1:19" x14ac:dyDescent="0.25">
      <c r="A15" t="s">
        <v>36</v>
      </c>
      <c r="B15" s="3" t="s">
        <v>62</v>
      </c>
      <c r="C15" t="s">
        <v>62</v>
      </c>
      <c r="D15" s="8">
        <v>45481</v>
      </c>
      <c r="E15" s="2">
        <v>2.8500000000000001E-2</v>
      </c>
      <c r="F15" s="1">
        <v>700.32</v>
      </c>
      <c r="G15" s="1">
        <f>E15*F15</f>
        <v>19.959120000000002</v>
      </c>
      <c r="H15" s="11">
        <v>0.1</v>
      </c>
      <c r="I15" s="11">
        <v>0.45340000000000003</v>
      </c>
      <c r="J15" s="9">
        <f>IFERROR(H15/I15,"")</f>
        <v>0.22055580061755625</v>
      </c>
      <c r="K15" s="9">
        <f>IFERROR(J15/SUBTOTAL(9,$J$2:$J$1048576),"")</f>
        <v>1.4491455552861165E-2</v>
      </c>
      <c r="L15" s="12">
        <f>F15/(1-(F15*(1+H15)-F15)/(F15*(1+H15)))</f>
        <v>770.35200000000009</v>
      </c>
      <c r="M15" s="12">
        <f>F15/(1+I15-H15)</f>
        <v>517.45234224915032</v>
      </c>
      <c r="N15" s="12">
        <f>L15-F15</f>
        <v>70.032000000000039</v>
      </c>
      <c r="O15" s="12">
        <f>0.5*(M15-F15)</f>
        <v>-91.433828875424865</v>
      </c>
      <c r="P15" s="15">
        <f>N15+O15</f>
        <v>-21.401828875424826</v>
      </c>
      <c r="Q15" s="12">
        <f>MAX($P$2:$P$280)-P15</f>
        <v>125.03033890407815</v>
      </c>
      <c r="R15" s="9">
        <f>IFERROR((SUBTOTAL(109,$Q$2:$Q$1048576)/Q15)/SUBTOTAL(109,$Q$2:$Q$1048576),0)</f>
        <v>7.9980587812945834E-3</v>
      </c>
      <c r="S15" s="9">
        <f>Q15/MAX($Q$2:$Q$28)</f>
        <v>0.565284230326356</v>
      </c>
    </row>
    <row r="16" spans="1:19" x14ac:dyDescent="0.25">
      <c r="A16" t="s">
        <v>40</v>
      </c>
      <c r="B16" s="7" t="s">
        <v>26</v>
      </c>
      <c r="C16" t="s">
        <v>27</v>
      </c>
      <c r="D16" s="8">
        <v>45511</v>
      </c>
      <c r="E16" s="2">
        <v>0.45179999999999998</v>
      </c>
      <c r="F16" s="1">
        <v>77.430000000000007</v>
      </c>
      <c r="G16" s="1">
        <f>E16*F16</f>
        <v>34.982874000000002</v>
      </c>
      <c r="H16" s="11">
        <v>0.1</v>
      </c>
      <c r="I16" s="11">
        <v>0.25990000000000002</v>
      </c>
      <c r="J16" s="9">
        <f>IFERROR(H16/I16,"")</f>
        <v>0.38476337052712584</v>
      </c>
      <c r="K16" s="9">
        <f>IFERROR(J16/SUBTOTAL(9,$J$2:$J$1048576),"")</f>
        <v>2.5280592334233368E-2</v>
      </c>
      <c r="L16" s="12">
        <f>F16/(1-(F16*(1+H16)-F16)/(F16*(1+H16)))</f>
        <v>85.173000000000016</v>
      </c>
      <c r="M16" s="12">
        <f>F16/(1+I16-H16)</f>
        <v>66.755754806448849</v>
      </c>
      <c r="N16" s="12">
        <f>L16-F16</f>
        <v>7.7430000000000092</v>
      </c>
      <c r="O16" s="12">
        <f>0.5*(M16-F16)</f>
        <v>-5.3371225967755791</v>
      </c>
      <c r="P16" s="15">
        <f>N16+O16</f>
        <v>2.4058774032244301</v>
      </c>
      <c r="Q16" s="12">
        <f>MAX($P$2:$P$280)-P16</f>
        <v>101.2226326254289</v>
      </c>
      <c r="R16" s="9">
        <f>IFERROR((SUBTOTAL(109,$Q$2:$Q$1048576)/Q16)/SUBTOTAL(109,$Q$2:$Q$1048576),0)</f>
        <v>9.8792135124608719E-3</v>
      </c>
      <c r="S16" s="9">
        <f>Q16/MAX($Q$2:$Q$28)</f>
        <v>0.45764538812592725</v>
      </c>
    </row>
    <row r="17" spans="1:19" x14ac:dyDescent="0.25">
      <c r="A17" t="s">
        <v>37</v>
      </c>
      <c r="B17" s="4" t="s">
        <v>8</v>
      </c>
      <c r="C17" t="s">
        <v>28</v>
      </c>
      <c r="D17" s="8">
        <v>45511</v>
      </c>
      <c r="E17" s="2">
        <v>3.2899999999999999E-2</v>
      </c>
      <c r="F17" s="1">
        <v>455.4</v>
      </c>
      <c r="G17" s="1">
        <f>E17*F17</f>
        <v>14.982659999999999</v>
      </c>
      <c r="H17" s="11">
        <v>0.25</v>
      </c>
      <c r="I17" s="11">
        <v>0.29699999999999999</v>
      </c>
      <c r="J17" s="9">
        <f>IFERROR(H17/I17,"")</f>
        <v>0.84175084175084181</v>
      </c>
      <c r="K17" s="9">
        <f>IFERROR(J17/SUBTOTAL(9,$J$2:$J$1048576),"")</f>
        <v>5.5306615721104818E-2</v>
      </c>
      <c r="L17" s="12">
        <f>F17/(1-(F17*(1+H17)-F17)/(F17*(1+H17)))</f>
        <v>569.25</v>
      </c>
      <c r="M17" s="12">
        <f>F17/(1+I17-H17)</f>
        <v>434.95702005730658</v>
      </c>
      <c r="N17" s="12">
        <f>L17-F17</f>
        <v>113.85000000000002</v>
      </c>
      <c r="O17" s="12">
        <f>0.5*(M17-F17)</f>
        <v>-10.221489971346699</v>
      </c>
      <c r="P17" s="15">
        <f>N17+O17</f>
        <v>103.62851002865332</v>
      </c>
      <c r="Q17" s="12">
        <f>MAX($P$2:$P$280)-P17</f>
        <v>0</v>
      </c>
      <c r="R17" s="9">
        <f>IFERROR((SUBTOTAL(109,$Q$2:$Q$1048576)/Q17)/SUBTOTAL(109,$Q$2:$Q$1048576),0)</f>
        <v>0</v>
      </c>
      <c r="S17" s="9">
        <f>Q17/MAX($Q$2:$Q$28)</f>
        <v>0</v>
      </c>
    </row>
    <row r="18" spans="1:19" x14ac:dyDescent="0.25">
      <c r="A18" t="s">
        <v>40</v>
      </c>
      <c r="B18" s="7" t="s">
        <v>51</v>
      </c>
      <c r="C18" s="14" t="s">
        <v>50</v>
      </c>
      <c r="D18" s="8">
        <v>45511</v>
      </c>
      <c r="E18" s="2">
        <v>1</v>
      </c>
      <c r="F18" s="1">
        <v>10.92</v>
      </c>
      <c r="G18" s="1">
        <f>E18*F18</f>
        <v>10.92</v>
      </c>
      <c r="H18" s="11">
        <v>1</v>
      </c>
      <c r="I18" s="13">
        <v>1.8652</v>
      </c>
      <c r="J18" s="9">
        <f>IFERROR(H18/I18,"")</f>
        <v>0.53613553506326406</v>
      </c>
      <c r="K18" s="9">
        <f>IFERROR(J18/SUBTOTAL(9,$J$2:$J$1048576),"")</f>
        <v>3.5226388310461362E-2</v>
      </c>
      <c r="L18" s="12">
        <f>F18/(1-(F18*(1+H18)-F18)/(F18*(1+H18)))</f>
        <v>21.84</v>
      </c>
      <c r="M18" s="12">
        <f>F18/(1+I18-H18)</f>
        <v>5.8546000428908433</v>
      </c>
      <c r="N18" s="12">
        <f>L18-F18</f>
        <v>10.92</v>
      </c>
      <c r="O18" s="12">
        <f>0.5*(M18-F18)</f>
        <v>-2.5326999785545783</v>
      </c>
      <c r="P18" s="15">
        <f>N18+O18</f>
        <v>8.3873000214454212</v>
      </c>
      <c r="Q18" s="12">
        <f>MAX($P$2:$P$280)-P18</f>
        <v>95.241210007207897</v>
      </c>
      <c r="R18" s="9">
        <f>IFERROR((SUBTOTAL(109,$Q$2:$Q$1048576)/Q18)/SUBTOTAL(109,$Q$2:$Q$1048576),0)</f>
        <v>1.0499656607935993E-2</v>
      </c>
      <c r="S18" s="9">
        <f>Q18/MAX($Q$2:$Q$28)</f>
        <v>0.43060232073416616</v>
      </c>
    </row>
    <row r="19" spans="1:19" x14ac:dyDescent="0.25">
      <c r="A19" t="s">
        <v>36</v>
      </c>
      <c r="B19" s="3" t="s">
        <v>23</v>
      </c>
      <c r="C19" t="s">
        <v>24</v>
      </c>
      <c r="D19" s="8">
        <v>45482</v>
      </c>
      <c r="E19" s="2">
        <v>9.9999999999999998E-20</v>
      </c>
      <c r="F19" s="1">
        <v>147.01</v>
      </c>
      <c r="G19" s="1">
        <f>E19*F19</f>
        <v>1.4700999999999999E-17</v>
      </c>
      <c r="H19" s="11">
        <v>0.15</v>
      </c>
      <c r="I19" s="11">
        <v>0.52380000000000004</v>
      </c>
      <c r="J19" s="9">
        <f>IFERROR(H19/I19,"")</f>
        <v>0.28636884306987398</v>
      </c>
      <c r="K19" s="9">
        <f>IFERROR(J19/SUBTOTAL(9,$J$2:$J$1048576),"")</f>
        <v>1.8815652771097514E-2</v>
      </c>
      <c r="L19" s="12">
        <f>F19/(1-(F19*(1+H19)-F19)/(F19*(1+H19)))</f>
        <v>169.06149999999997</v>
      </c>
      <c r="M19" s="12">
        <f>F19/(1+I19-H19)</f>
        <v>107.00975396709855</v>
      </c>
      <c r="N19" s="12">
        <f>L19-F19</f>
        <v>22.051499999999976</v>
      </c>
      <c r="O19" s="12">
        <f>0.5*(M19-F19)</f>
        <v>-20.000123016450722</v>
      </c>
      <c r="P19" s="15">
        <f>N19+O19</f>
        <v>2.0513769835492539</v>
      </c>
      <c r="Q19" s="12">
        <f>MAX($P$2:$P$280)-P19</f>
        <v>101.57713304510406</v>
      </c>
      <c r="R19" s="9">
        <f>IFERROR((SUBTOTAL(109,$Q$2:$Q$1048576)/Q19)/SUBTOTAL(109,$Q$2:$Q$1048576),0)</f>
        <v>9.8447354244184312E-3</v>
      </c>
      <c r="S19" s="9">
        <f>Q19/MAX($Q$2:$Q$28)</f>
        <v>0.45924814709341422</v>
      </c>
    </row>
    <row r="20" spans="1:19" x14ac:dyDescent="0.25">
      <c r="A20" t="s">
        <v>40</v>
      </c>
      <c r="B20" s="7" t="s">
        <v>47</v>
      </c>
      <c r="C20" t="s">
        <v>46</v>
      </c>
      <c r="D20" s="8">
        <v>45511</v>
      </c>
      <c r="E20" s="2">
        <v>1E-22</v>
      </c>
      <c r="F20" s="1">
        <v>187.36</v>
      </c>
      <c r="G20" s="1">
        <f>E20*F20</f>
        <v>1.8736000000000003E-20</v>
      </c>
      <c r="H20" s="11">
        <f>196.02/F20-1</f>
        <v>4.6221178479931568E-2</v>
      </c>
      <c r="I20" s="11">
        <v>0.52980000000000005</v>
      </c>
      <c r="J20" s="9">
        <f>IFERROR(H20/I20,"")</f>
        <v>8.7242692487602053E-2</v>
      </c>
      <c r="K20" s="9">
        <f>IFERROR(J20/SUBTOTAL(9,$J$2:$J$1048576),"")</f>
        <v>5.7322165046489537E-3</v>
      </c>
      <c r="L20" s="12">
        <f>F20/(1-(F20*(1+H20)-F20)/(F20*(1+H20)))</f>
        <v>196.01999999999998</v>
      </c>
      <c r="M20" s="12">
        <f>F20/(1+I20-H20)</f>
        <v>126.28921179127629</v>
      </c>
      <c r="N20" s="12">
        <f>L20-F20</f>
        <v>8.6599999999999682</v>
      </c>
      <c r="O20" s="12">
        <f>0.5*(M20-F20)</f>
        <v>-30.535394104361863</v>
      </c>
      <c r="P20" s="15">
        <f>N20+O20</f>
        <v>-21.875394104361895</v>
      </c>
      <c r="Q20" s="12">
        <f>MAX($P$2:$P$280)-P20</f>
        <v>125.50390413301523</v>
      </c>
      <c r="R20" s="9">
        <f>IFERROR((SUBTOTAL(109,$Q$2:$Q$1048576)/Q20)/SUBTOTAL(109,$Q$2:$Q$1048576),0)</f>
        <v>7.9678796202240099E-3</v>
      </c>
      <c r="S20" s="9">
        <f>Q20/MAX($Q$2:$Q$28)</f>
        <v>0.5674253023117275</v>
      </c>
    </row>
    <row r="21" spans="1:19" x14ac:dyDescent="0.25">
      <c r="A21" t="s">
        <v>36</v>
      </c>
      <c r="B21" s="3" t="s">
        <v>29</v>
      </c>
      <c r="C21" t="s">
        <v>30</v>
      </c>
      <c r="D21" s="8">
        <v>45481</v>
      </c>
      <c r="E21" s="2">
        <v>1E-22</v>
      </c>
      <c r="F21" s="1">
        <v>169.34</v>
      </c>
      <c r="G21" s="1">
        <f>E21*F21</f>
        <v>1.6934000000000002E-20</v>
      </c>
      <c r="H21" s="11">
        <v>0.1</v>
      </c>
      <c r="I21" s="11">
        <v>0.4259</v>
      </c>
      <c r="J21" s="9">
        <f>IFERROR(H21/I21,"")</f>
        <v>0.23479690068091102</v>
      </c>
      <c r="K21" s="9">
        <f>IFERROR(J21/SUBTOTAL(9,$J$2:$J$1048576),"")</f>
        <v>1.5427156486657085E-2</v>
      </c>
      <c r="L21" s="12">
        <f>F21/(1-(F21*(1+H21)-F21)/(F21*(1+H21)))</f>
        <v>186.27400000000003</v>
      </c>
      <c r="M21" s="12">
        <f>F21/(1+I21-H21)</f>
        <v>127.71702239987934</v>
      </c>
      <c r="N21" s="12">
        <f>L21-F21</f>
        <v>16.934000000000026</v>
      </c>
      <c r="O21" s="12">
        <f>0.5*(M21-F21)</f>
        <v>-20.811488800060332</v>
      </c>
      <c r="P21" s="15">
        <f>N21+O21</f>
        <v>-3.8774888000603056</v>
      </c>
      <c r="Q21" s="12">
        <f>MAX($P$2:$P$280)-P21</f>
        <v>107.50599882871363</v>
      </c>
      <c r="R21" s="9">
        <f>IFERROR((SUBTOTAL(109,$Q$2:$Q$1048576)/Q21)/SUBTOTAL(109,$Q$2:$Q$1048576),0)</f>
        <v>9.3018065121488955E-3</v>
      </c>
      <c r="S21" s="9">
        <f>Q21/MAX($Q$2:$Q$28)</f>
        <v>0.48605359575949542</v>
      </c>
    </row>
    <row r="22" spans="1:19" x14ac:dyDescent="0.25">
      <c r="A22" t="s">
        <v>40</v>
      </c>
      <c r="B22" s="7" t="s">
        <v>31</v>
      </c>
      <c r="C22" s="14" t="s">
        <v>32</v>
      </c>
      <c r="D22" s="8">
        <v>45511</v>
      </c>
      <c r="E22" s="2">
        <v>1E-22</v>
      </c>
      <c r="F22" s="1">
        <v>113.58</v>
      </c>
      <c r="G22" s="1">
        <f>E22*F22</f>
        <v>1.1358E-20</v>
      </c>
      <c r="H22" s="11">
        <f>121.15/F22-1</f>
        <v>6.664905793273479E-2</v>
      </c>
      <c r="I22" s="11">
        <v>0.16439999999999999</v>
      </c>
      <c r="J22" s="9">
        <f>IFERROR(H22/I22,"")</f>
        <v>0.40540789496797319</v>
      </c>
      <c r="K22" s="9">
        <f>IFERROR(J22/SUBTOTAL(9,$J$2:$J$1048576),"")</f>
        <v>2.6637025524867311E-2</v>
      </c>
      <c r="L22" s="12">
        <f>F22/(1-(F22*(1+H22)-F22)/(F22*(1+H22)))</f>
        <v>121.15000000000002</v>
      </c>
      <c r="M22" s="12">
        <f>F22/(1+I22-H22)</f>
        <v>103.46609203186667</v>
      </c>
      <c r="N22" s="12">
        <f>L22-F22</f>
        <v>7.5700000000000216</v>
      </c>
      <c r="O22" s="12">
        <f>0.5*(M22-F22)</f>
        <v>-5.0569539840666664</v>
      </c>
      <c r="P22" s="15">
        <f>N22+O22</f>
        <v>2.5130460159333552</v>
      </c>
      <c r="Q22" s="12">
        <f>MAX($P$2:$P$280)-P22</f>
        <v>101.11546401271997</v>
      </c>
      <c r="R22" s="9">
        <f>IFERROR((SUBTOTAL(109,$Q$2:$Q$1048576)/Q22)/SUBTOTAL(109,$Q$2:$Q$1048576),0)</f>
        <v>9.8896841325299516E-3</v>
      </c>
      <c r="S22" s="9">
        <f>Q22/MAX($Q$2:$Q$28)</f>
        <v>0.45716085991236471</v>
      </c>
    </row>
    <row r="23" spans="1:19" x14ac:dyDescent="0.25">
      <c r="A23" t="s">
        <v>36</v>
      </c>
      <c r="B23" s="3" t="s">
        <v>85</v>
      </c>
      <c r="C23" t="s">
        <v>86</v>
      </c>
      <c r="D23" s="8">
        <v>45481</v>
      </c>
      <c r="E23" s="2">
        <v>1E-22</v>
      </c>
      <c r="F23" s="1">
        <v>64.349999999999994</v>
      </c>
      <c r="G23" s="1">
        <f>E23*F23</f>
        <v>6.4349999999999995E-21</v>
      </c>
      <c r="H23" s="11">
        <v>0.15</v>
      </c>
      <c r="I23" s="11">
        <v>0.67300000000000004</v>
      </c>
      <c r="J23" s="9">
        <f>IFERROR(H23/I23,"")</f>
        <v>0.22288261515601782</v>
      </c>
      <c r="K23" s="9">
        <f>IFERROR(J23/SUBTOTAL(9,$J$2:$J$1048576),"")</f>
        <v>1.4644337179050337E-2</v>
      </c>
      <c r="L23" s="12">
        <f>F23/(1-(F23*(1+H23)-F23)/(F23*(1+H23)))</f>
        <v>74.002499999999984</v>
      </c>
      <c r="M23" s="12">
        <f>F23/(1+I23-H23)</f>
        <v>42.252133946158892</v>
      </c>
      <c r="N23" s="12">
        <f>L23-F23</f>
        <v>9.6524999999999892</v>
      </c>
      <c r="O23" s="12">
        <f>0.5*(M23-F23)</f>
        <v>-11.048933026920551</v>
      </c>
      <c r="P23" s="15">
        <f>N23+O23</f>
        <v>-1.3964330269205618</v>
      </c>
      <c r="Q23" s="12">
        <f>MAX($P$2:$P$280)-P23</f>
        <v>105.02494305557389</v>
      </c>
      <c r="R23" s="9">
        <f>IFERROR((SUBTOTAL(109,$Q$2:$Q$1048576)/Q23)/SUBTOTAL(109,$Q$2:$Q$1048576),0)</f>
        <v>9.5215476524548141E-3</v>
      </c>
      <c r="S23" s="9">
        <f>Q23/MAX($Q$2:$Q$28)</f>
        <v>0.47483630469710741</v>
      </c>
    </row>
    <row r="24" spans="1:19" x14ac:dyDescent="0.25">
      <c r="A24" t="s">
        <v>40</v>
      </c>
      <c r="B24" s="7" t="s">
        <v>49</v>
      </c>
      <c r="C24" s="14" t="s">
        <v>48</v>
      </c>
      <c r="D24" s="8">
        <v>45511</v>
      </c>
      <c r="E24" s="2">
        <v>1E-22</v>
      </c>
      <c r="F24" s="1">
        <v>20.82</v>
      </c>
      <c r="G24" s="1">
        <f>E24*F24</f>
        <v>2.0820000000000001E-21</v>
      </c>
      <c r="H24" s="13">
        <v>0.05</v>
      </c>
      <c r="I24" s="11">
        <v>0.7389</v>
      </c>
      <c r="J24" s="9">
        <f>IFERROR(H24/I24,"")</f>
        <v>6.7668155366084726E-2</v>
      </c>
      <c r="K24" s="9">
        <f>IFERROR(J24/SUBTOTAL(9,$J$2:$J$1048576),"")</f>
        <v>4.4460860384810206E-3</v>
      </c>
      <c r="L24" s="12">
        <f>F24/(1-(F24*(1+H24)-F24)/(F24*(1+H24)))</f>
        <v>21.861000000000001</v>
      </c>
      <c r="M24" s="12">
        <f>F24/(1+I24-H24)</f>
        <v>12.327550476641601</v>
      </c>
      <c r="N24" s="12">
        <f>L24-F24</f>
        <v>1.0410000000000004</v>
      </c>
      <c r="O24" s="12">
        <f>0.5*(M24-F24)</f>
        <v>-4.2462247616791995</v>
      </c>
      <c r="P24" s="15">
        <f>N24+O24</f>
        <v>-3.2052247616791991</v>
      </c>
      <c r="Q24" s="12">
        <f>MAX($P$2:$P$280)-P24</f>
        <v>106.83373479033253</v>
      </c>
      <c r="R24" s="9">
        <f>IFERROR((SUBTOTAL(109,$Q$2:$Q$1048576)/Q24)/SUBTOTAL(109,$Q$2:$Q$1048576),0)</f>
        <v>9.3603392408077718E-3</v>
      </c>
      <c r="S24" s="9">
        <f>Q24/MAX($Q$2:$Q$28)</f>
        <v>0.48301417138583286</v>
      </c>
    </row>
    <row r="25" spans="1:19" x14ac:dyDescent="0.25">
      <c r="A25" t="s">
        <v>40</v>
      </c>
      <c r="B25" s="7" t="s">
        <v>54</v>
      </c>
      <c r="C25" t="s">
        <v>55</v>
      </c>
      <c r="D25" s="8">
        <v>45511</v>
      </c>
      <c r="E25" s="2">
        <v>1E-22</v>
      </c>
      <c r="F25" s="1">
        <v>13.04</v>
      </c>
      <c r="G25" s="1">
        <f>E25*F25</f>
        <v>1.304E-21</v>
      </c>
      <c r="H25" s="11">
        <f>13.72/F25-1</f>
        <v>5.2147239263803824E-2</v>
      </c>
      <c r="I25" s="11">
        <v>0.30159999999999998</v>
      </c>
      <c r="J25" s="9">
        <f>IFERROR(H25/I25,"")</f>
        <v>0.17290198694895167</v>
      </c>
      <c r="K25" s="9">
        <f>IFERROR(J25/SUBTOTAL(9,$J$2:$J$1048576),"")</f>
        <v>1.1360397014526166E-2</v>
      </c>
      <c r="L25" s="12">
        <f>F25/(1-(F25*(1+H25)-F25)/(F25*(1+H25)))</f>
        <v>13.72</v>
      </c>
      <c r="M25" s="12">
        <f>F25/(1+I25-H25)</f>
        <v>10.436569040286594</v>
      </c>
      <c r="N25" s="12">
        <f>L25-F25</f>
        <v>0.68000000000000149</v>
      </c>
      <c r="O25" s="12">
        <f>0.5*(M25-F25)</f>
        <v>-1.3017154798567026</v>
      </c>
      <c r="P25" s="15">
        <f>N25+O25</f>
        <v>-0.62171547985670106</v>
      </c>
      <c r="Q25" s="12">
        <f>MAX($P$2:$P$280)-P25</f>
        <v>104.25022550851003</v>
      </c>
      <c r="R25" s="9">
        <f>IFERROR((SUBTOTAL(109,$Q$2:$Q$1048576)/Q25)/SUBTOTAL(109,$Q$2:$Q$1048576),0)</f>
        <v>9.5923053894820514E-3</v>
      </c>
      <c r="S25" s="9">
        <f>Q25/MAX($Q$2:$Q$28)</f>
        <v>0.47133366992741127</v>
      </c>
    </row>
    <row r="26" spans="1:19" x14ac:dyDescent="0.25">
      <c r="A26" t="s">
        <v>40</v>
      </c>
      <c r="B26" s="7" t="s">
        <v>45</v>
      </c>
      <c r="C26" t="s">
        <v>44</v>
      </c>
      <c r="D26" s="8">
        <v>45511</v>
      </c>
      <c r="E26" s="2">
        <v>1E-22</v>
      </c>
      <c r="F26" s="1">
        <v>11.05</v>
      </c>
      <c r="G26" s="1">
        <f>E26*F26</f>
        <v>1.1050000000000002E-21</v>
      </c>
      <c r="H26" s="11">
        <v>0.05</v>
      </c>
      <c r="I26" s="11">
        <v>0.72170000000000001</v>
      </c>
      <c r="J26" s="9">
        <f>IFERROR(H26/I26,"")</f>
        <v>6.9280864625190522E-2</v>
      </c>
      <c r="K26" s="9">
        <f>IFERROR(J26/SUBTOTAL(9,$J$2:$J$1048576),"")</f>
        <v>4.5520479061017406E-3</v>
      </c>
      <c r="L26" s="12">
        <f>F26/(1-(F26*(1+H26)-F26)/(F26*(1+H26)))</f>
        <v>11.602500000000001</v>
      </c>
      <c r="M26" s="12">
        <f>F26/(1+I26-H26)</f>
        <v>6.6100376861877139</v>
      </c>
      <c r="N26" s="12">
        <f>L26-F26</f>
        <v>0.55250000000000021</v>
      </c>
      <c r="O26" s="12">
        <f>0.5*(M26-F26)</f>
        <v>-2.2199811569061434</v>
      </c>
      <c r="P26" s="15">
        <f>N26+O26</f>
        <v>-1.6674811569061432</v>
      </c>
      <c r="Q26" s="12">
        <f>MAX($P$2:$P$280)-P26</f>
        <v>105.29599118555947</v>
      </c>
      <c r="R26" s="9">
        <f>IFERROR((SUBTOTAL(109,$Q$2:$Q$1048576)/Q26)/SUBTOTAL(109,$Q$2:$Q$1048576),0)</f>
        <v>9.4970377194867252E-3</v>
      </c>
      <c r="S26" s="9">
        <f>Q26/MAX($Q$2:$Q$28)</f>
        <v>0.47606176113338761</v>
      </c>
    </row>
    <row r="27" spans="1:19" x14ac:dyDescent="0.25">
      <c r="A27" t="s">
        <v>40</v>
      </c>
      <c r="B27" s="7" t="s">
        <v>53</v>
      </c>
      <c r="C27" t="s">
        <v>52</v>
      </c>
      <c r="D27" s="8">
        <v>45511</v>
      </c>
      <c r="E27" s="2">
        <v>1E-22</v>
      </c>
      <c r="F27" s="1">
        <v>10.47</v>
      </c>
      <c r="G27" s="1">
        <f>E27*F27</f>
        <v>1.0470000000000001E-21</v>
      </c>
      <c r="H27" s="11">
        <v>0.05</v>
      </c>
      <c r="I27" s="11">
        <v>0.85599999999999998</v>
      </c>
      <c r="J27" s="9">
        <f>IFERROR(H27/I27,"")</f>
        <v>5.8411214953271035E-2</v>
      </c>
      <c r="K27" s="9">
        <f>IFERROR(J27/SUBTOTAL(9,$J$2:$J$1048576),"")</f>
        <v>3.837865623637414E-3</v>
      </c>
      <c r="L27" s="12">
        <f>F27/(1-(F27*(1+H27)-F27)/(F27*(1+H27)))</f>
        <v>10.993500000000001</v>
      </c>
      <c r="M27" s="12">
        <f>F27/(1+I27-H27)</f>
        <v>5.7973421926910307</v>
      </c>
      <c r="N27" s="12">
        <f>L27-F27</f>
        <v>0.5235000000000003</v>
      </c>
      <c r="O27" s="12">
        <f>0.5*(M27-F27)</f>
        <v>-2.336328903654485</v>
      </c>
      <c r="P27" s="15">
        <f>N27+O27</f>
        <v>-1.8128289036544847</v>
      </c>
      <c r="Q27" s="12">
        <f>MAX($P$2:$P$280)-P27</f>
        <v>105.44133893230781</v>
      </c>
      <c r="R27" s="9">
        <f>IFERROR((SUBTOTAL(109,$Q$2:$Q$1048576)/Q27)/SUBTOTAL(109,$Q$2:$Q$1048576),0)</f>
        <v>9.4839463357155301E-3</v>
      </c>
      <c r="S27" s="9">
        <f>Q27/MAX($Q$2:$Q$28)</f>
        <v>0.47671890395064692</v>
      </c>
    </row>
    <row r="28" spans="1:19" x14ac:dyDescent="0.25">
      <c r="A28" t="s">
        <v>76</v>
      </c>
      <c r="B28" s="7" t="s">
        <v>81</v>
      </c>
      <c r="C28" s="14" t="s">
        <v>82</v>
      </c>
      <c r="D28" s="8">
        <f ca="1">TODAY()-20</f>
        <v>45608</v>
      </c>
      <c r="E28" s="2">
        <v>1E-35</v>
      </c>
      <c r="F28" s="1">
        <v>2742.9</v>
      </c>
      <c r="G28" s="1">
        <f>E28*F28</f>
        <v>2.7429E-32</v>
      </c>
      <c r="H28" s="11">
        <v>0.1</v>
      </c>
      <c r="I28" s="11">
        <v>0.5</v>
      </c>
      <c r="J28" s="9">
        <f>IFERROR(H28/I28,"")</f>
        <v>0.2</v>
      </c>
      <c r="K28" s="9">
        <f>IFERROR(J28/SUBTOTAL(9,$J$2:$J$1048576),"")</f>
        <v>1.3140851895334505E-2</v>
      </c>
      <c r="L28" s="12">
        <f>F28/(1-(F28*(1+H28)-F28)/(F28*(1+H28)))</f>
        <v>3017.1900000000005</v>
      </c>
      <c r="M28" s="12">
        <f>F28/(1+I28-H28)</f>
        <v>1959.214285714286</v>
      </c>
      <c r="N28" s="12">
        <f>L28-F28</f>
        <v>274.29000000000042</v>
      </c>
      <c r="O28" s="12">
        <f>0.5*(M28-F28)</f>
        <v>-391.84285714285704</v>
      </c>
      <c r="P28" s="15">
        <f>N28+O28</f>
        <v>-117.55285714285662</v>
      </c>
      <c r="Q28" s="12">
        <f>MAX($P$2:$P$280)-P28</f>
        <v>221.18136717150995</v>
      </c>
      <c r="R28" s="9">
        <f>IFERROR((SUBTOTAL(109,$Q$2:$Q$1048576)/Q28)/SUBTOTAL(109,$Q$2:$Q$1048576),0)</f>
        <v>4.5211765022890619E-3</v>
      </c>
      <c r="S28" s="9">
        <f>Q28/MAX($Q$2:$Q$28)</f>
        <v>1</v>
      </c>
    </row>
    <row r="29" spans="1:19" x14ac:dyDescent="0.25">
      <c r="A29" t="s">
        <v>38</v>
      </c>
      <c r="B29" s="5" t="s">
        <v>56</v>
      </c>
      <c r="C29" t="s">
        <v>57</v>
      </c>
      <c r="D29" s="8">
        <v>45505</v>
      </c>
      <c r="E29" s="2">
        <v>1E-35</v>
      </c>
      <c r="F29" s="1">
        <v>86.6</v>
      </c>
      <c r="G29" s="1">
        <f>E29*F29</f>
        <v>8.6599999999999988E-34</v>
      </c>
      <c r="H29" s="11">
        <v>7.0000000000000007E-2</v>
      </c>
      <c r="I29" s="11">
        <v>0.17249999999999999</v>
      </c>
      <c r="J29" s="9">
        <f>IFERROR(H29/I29,"")</f>
        <v>0.40579710144927544</v>
      </c>
      <c r="K29" s="9">
        <f>IFERROR(J29/SUBTOTAL(9,$J$2:$J$1048576),"")</f>
        <v>2.6662598048504797E-2</v>
      </c>
      <c r="L29" s="12">
        <f>F29/(1-(F29*(1+H29)-F29)/(F29*(1+H29)))</f>
        <v>92.662000000000006</v>
      </c>
      <c r="M29" s="12">
        <f>F29/(1+I29-H29)</f>
        <v>78.548752834467123</v>
      </c>
      <c r="N29" s="12">
        <f>L29-F29</f>
        <v>6.0620000000000118</v>
      </c>
      <c r="O29" s="12">
        <f>0.5*(M29-F29)</f>
        <v>-4.0256235827664355</v>
      </c>
      <c r="P29" s="15">
        <f>N29+O29</f>
        <v>2.0363764172335763</v>
      </c>
      <c r="Q29" s="12">
        <f>MAX($P$2:$P$280)-P29</f>
        <v>101.59213361141974</v>
      </c>
      <c r="R29" s="9">
        <f>IFERROR((SUBTOTAL(109,$Q$2:$Q$1048576)/Q29)/SUBTOTAL(109,$Q$2:$Q$1048576),0)</f>
        <v>9.8432818019641658E-3</v>
      </c>
      <c r="S29" s="9">
        <f>Q29/MAX($Q$2:$Q$28)</f>
        <v>0.45931596730136171</v>
      </c>
    </row>
    <row r="30" spans="1:19" x14ac:dyDescent="0.25">
      <c r="A30" t="s">
        <v>73</v>
      </c>
      <c r="B30" s="5" t="s">
        <v>74</v>
      </c>
      <c r="C30" t="s">
        <v>75</v>
      </c>
      <c r="D30" s="8">
        <v>45562</v>
      </c>
      <c r="E30" s="2">
        <v>1E-35</v>
      </c>
      <c r="F30" s="1">
        <v>56</v>
      </c>
      <c r="G30" s="1">
        <f>E30*F30</f>
        <v>5.5999999999999999E-34</v>
      </c>
      <c r="H30" s="11">
        <v>7.0000000000000007E-2</v>
      </c>
      <c r="I30" s="11">
        <v>0.19</v>
      </c>
      <c r="J30" s="9">
        <f>IFERROR(H30/I30,"")</f>
        <v>0.36842105263157898</v>
      </c>
      <c r="K30" s="9">
        <f>IFERROR(J30/SUBTOTAL(9,$J$2:$J$1048576),"")</f>
        <v>2.4206832438774088E-2</v>
      </c>
      <c r="L30" s="12">
        <f>F30/(1-(F30*(1+H30)-F30)/(F30*(1+H30)))</f>
        <v>59.92</v>
      </c>
      <c r="M30" s="12">
        <f>F30/(1+I30-H30)</f>
        <v>50.000000000000007</v>
      </c>
      <c r="N30" s="12">
        <f>L30-F30</f>
        <v>3.9200000000000017</v>
      </c>
      <c r="O30" s="12">
        <f>0.5*(M30-F30)</f>
        <v>-2.9999999999999964</v>
      </c>
      <c r="P30" s="15">
        <f>N30+O30</f>
        <v>0.92000000000000526</v>
      </c>
      <c r="Q30" s="12">
        <f>MAX($P$2:$P$280)-P30</f>
        <v>102.70851002865332</v>
      </c>
      <c r="R30" s="9">
        <f>IFERROR((SUBTOTAL(109,$Q$2:$Q$1048576)/Q30)/SUBTOTAL(109,$Q$2:$Q$1048576),0)</f>
        <v>9.7362915665023548E-3</v>
      </c>
      <c r="S30" s="9">
        <f>Q30/MAX($Q$2:$Q$28)</f>
        <v>0.46436330212666782</v>
      </c>
    </row>
    <row r="31" spans="1:19" x14ac:dyDescent="0.25">
      <c r="A31" t="s">
        <v>76</v>
      </c>
      <c r="B31" s="5" t="s">
        <v>77</v>
      </c>
      <c r="C31" t="s">
        <v>78</v>
      </c>
      <c r="D31" s="8">
        <v>45580</v>
      </c>
      <c r="E31" s="2">
        <v>1E-35</v>
      </c>
      <c r="F31" s="1">
        <v>20.399999999999999</v>
      </c>
      <c r="G31" s="1">
        <f>E31*F31</f>
        <v>2.0399999999999999E-34</v>
      </c>
      <c r="H31" s="11">
        <v>0.1</v>
      </c>
      <c r="I31" s="11">
        <v>0.15</v>
      </c>
      <c r="J31" s="9">
        <f>IFERROR(H31/I31,"")</f>
        <v>0.66666666666666674</v>
      </c>
      <c r="K31" s="9">
        <f>IFERROR(J31/SUBTOTAL(9,$J$2:$J$1048576),"")</f>
        <v>4.3802839651115019E-2</v>
      </c>
      <c r="L31" s="12">
        <v>21.2</v>
      </c>
      <c r="M31" s="12">
        <f>F31/(1+I31-H31)</f>
        <v>19.428571428571431</v>
      </c>
      <c r="N31" s="12">
        <f>L31-F31</f>
        <v>0.80000000000000071</v>
      </c>
      <c r="O31" s="12">
        <f>0.5*(M31-F31)</f>
        <v>-0.48571428571428399</v>
      </c>
      <c r="P31" s="15">
        <f>N31+O31</f>
        <v>0.31428571428571672</v>
      </c>
      <c r="Q31" s="12">
        <f>MAX($P$2:$P$280)-P31</f>
        <v>103.31422431436761</v>
      </c>
      <c r="R31" s="9">
        <f>IFERROR((SUBTOTAL(109,$Q$2:$Q$1048576)/Q31)/SUBTOTAL(109,$Q$2:$Q$1048576),0)</f>
        <v>9.6792092921993977E-3</v>
      </c>
      <c r="S31" s="9">
        <f>Q31/MAX($Q$2:$Q$28)</f>
        <v>0.46710184332234006</v>
      </c>
    </row>
    <row r="32" spans="1:19" x14ac:dyDescent="0.25">
      <c r="A32" t="s">
        <v>39</v>
      </c>
      <c r="B32" s="6" t="s">
        <v>59</v>
      </c>
      <c r="C32" t="s">
        <v>58</v>
      </c>
      <c r="D32" s="8">
        <v>45574</v>
      </c>
      <c r="E32" s="2">
        <v>9.9999999999999998E-46</v>
      </c>
      <c r="F32" s="1">
        <v>47.42</v>
      </c>
      <c r="G32" s="1">
        <f>E32*F32</f>
        <v>4.7420000000000006E-44</v>
      </c>
      <c r="H32" s="11">
        <v>7.0000000000000007E-2</v>
      </c>
      <c r="I32" s="11">
        <v>0.4</v>
      </c>
      <c r="J32" s="9">
        <f>IFERROR(H32/I32,"")</f>
        <v>0.17500000000000002</v>
      </c>
      <c r="K32" s="9">
        <f>IFERROR(J32/SUBTOTAL(9,$J$2:$J$1048576),"")</f>
        <v>1.1498245408417693E-2</v>
      </c>
      <c r="L32" s="12">
        <f>F32/(1-(F32*(1+H32)-F32)/(F32*(1+H32)))</f>
        <v>50.739400000000003</v>
      </c>
      <c r="M32" s="12">
        <f>F32/(1+I32-H32)</f>
        <v>35.654135338345867</v>
      </c>
      <c r="N32" s="12">
        <f>L32-F32</f>
        <v>3.3194000000000017</v>
      </c>
      <c r="O32" s="12">
        <f>0.5*(M32-F32)</f>
        <v>-5.8829323308270673</v>
      </c>
      <c r="P32" s="15">
        <f>N32+O32</f>
        <v>-2.5635323308270657</v>
      </c>
      <c r="Q32" s="12">
        <f>MAX($P$2:$P$280)-P32</f>
        <v>106.19204235948038</v>
      </c>
      <c r="R32" s="9">
        <f>IFERROR((SUBTOTAL(109,$Q$2:$Q$1048576)/Q32)/SUBTOTAL(109,$Q$2:$Q$1048576),0)</f>
        <v>9.4169014719088714E-3</v>
      </c>
      <c r="S32" s="9">
        <f>Q32/MAX($Q$2:$Q$28)</f>
        <v>0.48011296664576736</v>
      </c>
    </row>
    <row r="33" spans="1:19" x14ac:dyDescent="0.25">
      <c r="A33" t="s">
        <v>39</v>
      </c>
      <c r="B33" s="6" t="s">
        <v>42</v>
      </c>
      <c r="C33" t="s">
        <v>41</v>
      </c>
      <c r="D33" s="8">
        <v>45507</v>
      </c>
      <c r="E33" s="2">
        <v>9.9999999999999998E-46</v>
      </c>
      <c r="F33" s="1">
        <v>41.8</v>
      </c>
      <c r="G33" s="1">
        <f>E33*F33</f>
        <v>4.1799999999999994E-44</v>
      </c>
      <c r="H33" s="11">
        <v>7.0000000000000007E-2</v>
      </c>
      <c r="I33" s="11">
        <v>0.4</v>
      </c>
      <c r="J33" s="9">
        <f>IFERROR(H33/I33,"")</f>
        <v>0.17500000000000002</v>
      </c>
      <c r="K33" s="9">
        <f>IFERROR(J33/SUBTOTAL(9,$J$2:$J$1048576),"")</f>
        <v>1.1498245408417693E-2</v>
      </c>
      <c r="L33" s="12">
        <f>F33/(1-(F33*(1+H33)-F33)/(F33*(1+H33)))</f>
        <v>44.725999999999999</v>
      </c>
      <c r="M33" s="12">
        <f>F33/(1+I33-H33)</f>
        <v>31.428571428571431</v>
      </c>
      <c r="N33" s="12">
        <f>L33-F33</f>
        <v>2.9260000000000019</v>
      </c>
      <c r="O33" s="12">
        <f>0.5*(M33-F33)</f>
        <v>-5.1857142857142833</v>
      </c>
      <c r="P33" s="15">
        <f>N33+O33</f>
        <v>-2.2597142857142813</v>
      </c>
      <c r="Q33" s="12">
        <f>MAX($P$2:$P$280)-P33</f>
        <v>105.8882243143676</v>
      </c>
      <c r="R33" s="9">
        <f>IFERROR((SUBTOTAL(109,$Q$2:$Q$1048576)/Q33)/SUBTOTAL(109,$Q$2:$Q$1048576),0)</f>
        <v>9.4439207614922058E-3</v>
      </c>
      <c r="S33" s="9">
        <f>Q33/MAX($Q$2:$Q$28)</f>
        <v>0.47873935163923209</v>
      </c>
    </row>
    <row r="34" spans="1:19" x14ac:dyDescent="0.25">
      <c r="A34" t="s">
        <v>76</v>
      </c>
      <c r="B34" s="7" t="s">
        <v>79</v>
      </c>
      <c r="C34" t="s">
        <v>80</v>
      </c>
      <c r="D34" s="8">
        <v>45574</v>
      </c>
      <c r="E34" s="2">
        <v>0</v>
      </c>
      <c r="F34" s="1">
        <v>153.7552</v>
      </c>
      <c r="G34" s="1">
        <f>E34*F34</f>
        <v>0</v>
      </c>
      <c r="H34" s="11">
        <v>7.0000000000000007E-2</v>
      </c>
      <c r="I34" s="11">
        <v>0.19</v>
      </c>
      <c r="J34" s="9">
        <f>IFERROR(H34/I34,"")</f>
        <v>0.36842105263157898</v>
      </c>
      <c r="K34" s="9">
        <f>IFERROR(J34/SUBTOTAL(9,$J$2:$J$1048576),"")</f>
        <v>2.4206832438774088E-2</v>
      </c>
      <c r="L34" s="12">
        <f>F34/(1-(F34*(1+H34)-F34)/(F34*(1+H34)))</f>
        <v>164.51806400000001</v>
      </c>
      <c r="M34" s="12">
        <f>F34/(1+I34-H34)</f>
        <v>137.28142857142859</v>
      </c>
      <c r="N34" s="12">
        <f>L34-F34</f>
        <v>10.762864000000008</v>
      </c>
      <c r="O34" s="12">
        <f>0.5*(M34-F34)</f>
        <v>-8.2368857142857053</v>
      </c>
      <c r="P34" s="15">
        <f>N34+O34</f>
        <v>2.5259782857143023</v>
      </c>
      <c r="Q34" s="12">
        <f>MAX($P$2:$P$280)-P34</f>
        <v>101.10253174293902</v>
      </c>
      <c r="R34" s="9">
        <f>IFERROR((SUBTOTAL(109,$Q$2:$Q$1048576)/Q34)/SUBTOTAL(109,$Q$2:$Q$1048576),0)</f>
        <v>9.8909491459875307E-3</v>
      </c>
      <c r="S34" s="9">
        <f>Q34/MAX($Q$2:$Q$28)</f>
        <v>0.45710239083810988</v>
      </c>
    </row>
    <row r="35" spans="1:19" x14ac:dyDescent="0.25">
      <c r="A35" t="s">
        <v>89</v>
      </c>
      <c r="B35" t="s">
        <v>90</v>
      </c>
      <c r="C35" t="s">
        <v>91</v>
      </c>
      <c r="D35" s="8">
        <v>45627</v>
      </c>
      <c r="E35" s="2">
        <v>0</v>
      </c>
      <c r="F35" s="1">
        <v>133.53</v>
      </c>
      <c r="G35" s="1">
        <f>E35*F35</f>
        <v>0</v>
      </c>
      <c r="H35" s="11">
        <v>7.0000000000000007E-2</v>
      </c>
      <c r="I35" s="11">
        <v>0.2</v>
      </c>
      <c r="J35" s="9">
        <f>IFERROR(H35/I35,"")</f>
        <v>0.35000000000000003</v>
      </c>
      <c r="K35" s="9">
        <f>IFERROR(J35/SUBTOTAL(9,$J$2:$J$1048576),"")</f>
        <v>2.2996490816835385E-2</v>
      </c>
      <c r="L35" s="12">
        <f>F35/(1-(F35*(1+H35)-F35)/(F35*(1+H35)))</f>
        <v>142.87710000000001</v>
      </c>
      <c r="M35" s="12">
        <f>F35/(1+I35-H35)</f>
        <v>118.16814159292036</v>
      </c>
      <c r="N35" s="12">
        <f>L35-F35</f>
        <v>9.3471000000000117</v>
      </c>
      <c r="O35" s="12">
        <f>0.5*(M35-F35)</f>
        <v>-7.6809292035398187</v>
      </c>
      <c r="P35" s="15">
        <f>N35+O35</f>
        <v>1.6661707964601931</v>
      </c>
      <c r="Q35" s="12">
        <f>MAX($P$2:$P$280)-P35</f>
        <v>101.96233923219313</v>
      </c>
      <c r="R35" s="9">
        <f>IFERROR((SUBTOTAL(109,$Q$2:$Q$1048576)/Q35)/SUBTOTAL(109,$Q$2:$Q$1048576),0)</f>
        <v>9.8075427410777224E-3</v>
      </c>
      <c r="S35" s="9">
        <f>Q35/MAX($Q$2:$Q$28)</f>
        <v>0.46098973225501771</v>
      </c>
    </row>
    <row r="36" spans="1:19" x14ac:dyDescent="0.25">
      <c r="A36" t="s">
        <v>40</v>
      </c>
      <c r="B36" s="7" t="s">
        <v>92</v>
      </c>
      <c r="C36" t="s">
        <v>93</v>
      </c>
      <c r="D36" s="8">
        <v>45627</v>
      </c>
      <c r="E36" s="2">
        <v>0</v>
      </c>
      <c r="F36" s="1">
        <v>39.56</v>
      </c>
      <c r="G36" s="1">
        <f>E36*F36</f>
        <v>0</v>
      </c>
      <c r="H36" s="11">
        <v>0.1</v>
      </c>
      <c r="I36" s="11">
        <v>0.2</v>
      </c>
      <c r="J36" s="9">
        <f>IFERROR(H36/I36,"")</f>
        <v>0.5</v>
      </c>
      <c r="K36" s="9">
        <f>IFERROR(J36/SUBTOTAL(9,$J$2:$J$1048576),"")</f>
        <v>3.2852129738336261E-2</v>
      </c>
      <c r="L36" s="12">
        <f>F36/(1-(F36*(1+H36)-F36)/(F36*(1+H36)))</f>
        <v>43.516000000000005</v>
      </c>
      <c r="M36" s="12">
        <f>F36/(1+I36-H36)</f>
        <v>35.963636363636368</v>
      </c>
      <c r="N36" s="12">
        <f>L36-F36</f>
        <v>3.9560000000000031</v>
      </c>
      <c r="O36" s="12">
        <f>0.5*(M36-F36)</f>
        <v>-1.798181818181817</v>
      </c>
      <c r="P36" s="15">
        <f>N36+O36</f>
        <v>2.1578181818181861</v>
      </c>
      <c r="Q36" s="12">
        <f>MAX($P$2:$P$280)-P36</f>
        <v>101.47069184683514</v>
      </c>
      <c r="R36" s="9">
        <f>IFERROR((SUBTOTAL(109,$Q$2:$Q$1048576)/Q36)/SUBTOTAL(109,$Q$2:$Q$1048576),0)</f>
        <v>9.8550624007713392E-3</v>
      </c>
      <c r="S36" s="9">
        <f>Q36/MAX($Q$2:$Q$28)</f>
        <v>0.4587669076489253</v>
      </c>
    </row>
    <row r="37" spans="1:19" x14ac:dyDescent="0.25">
      <c r="A37" t="s">
        <v>40</v>
      </c>
      <c r="B37" s="7" t="s">
        <v>95</v>
      </c>
      <c r="C37" t="s">
        <v>94</v>
      </c>
      <c r="D37" s="8">
        <v>45627</v>
      </c>
      <c r="E37" s="2">
        <v>0</v>
      </c>
      <c r="F37" s="1">
        <v>26.63</v>
      </c>
      <c r="G37" s="1">
        <f>E37*F37</f>
        <v>0</v>
      </c>
      <c r="H37" s="11">
        <v>0.1</v>
      </c>
      <c r="I37" s="11">
        <v>0.2</v>
      </c>
      <c r="J37" s="9">
        <f>IFERROR(H37/I37,"")</f>
        <v>0.5</v>
      </c>
      <c r="K37" s="9">
        <f>IFERROR(J37/SUBTOTAL(9,$J$2:$J$1048576),"")</f>
        <v>3.2852129738336261E-2</v>
      </c>
      <c r="L37" s="12">
        <f>F37/(1-(F37*(1+H37)-F37)/(F37*(1+H37)))</f>
        <v>29.293000000000003</v>
      </c>
      <c r="M37" s="12">
        <f>F37/(1+I37-H37)</f>
        <v>24.209090909090911</v>
      </c>
      <c r="N37" s="12">
        <f>L37-F37</f>
        <v>2.6630000000000038</v>
      </c>
      <c r="O37" s="12">
        <f>0.5*(M37-F37)</f>
        <v>-1.2104545454545441</v>
      </c>
      <c r="P37" s="15">
        <f>N37+O37</f>
        <v>1.4525454545454597</v>
      </c>
      <c r="Q37" s="12">
        <f>MAX($P$2:$P$280)-P37</f>
        <v>102.17596457410787</v>
      </c>
      <c r="R37" s="9">
        <f>IFERROR((SUBTOTAL(109,$Q$2:$Q$1048576)/Q37)/SUBTOTAL(109,$Q$2:$Q$1048576),0)</f>
        <v>9.7870375304820682E-3</v>
      </c>
      <c r="S37" s="9">
        <f>Q37/MAX($Q$2:$Q$28)</f>
        <v>0.46195557013117605</v>
      </c>
    </row>
    <row r="38" spans="1:19" x14ac:dyDescent="0.25">
      <c r="A38" t="s">
        <v>40</v>
      </c>
      <c r="B38" s="7" t="s">
        <v>96</v>
      </c>
      <c r="C38" t="s">
        <v>96</v>
      </c>
      <c r="D38" s="8">
        <v>45627</v>
      </c>
      <c r="E38" s="2">
        <v>0</v>
      </c>
      <c r="F38" s="1">
        <v>22.65</v>
      </c>
      <c r="G38" s="1">
        <f>E38*F38</f>
        <v>0</v>
      </c>
      <c r="H38" s="11">
        <v>0.1</v>
      </c>
      <c r="I38" s="11">
        <v>0.2</v>
      </c>
      <c r="J38" s="9">
        <f>IFERROR(H38/I38,"")</f>
        <v>0.5</v>
      </c>
      <c r="K38" s="9">
        <f>IFERROR(J38/SUBTOTAL(9,$J$2:$J$1048576),"")</f>
        <v>3.2852129738336261E-2</v>
      </c>
      <c r="L38" s="12">
        <f>F38/(1-(F38*(1+H38)-F38)/(F38*(1+H38)))</f>
        <v>24.914999999999999</v>
      </c>
      <c r="M38" s="12">
        <f>F38/(1+I38-H38)</f>
        <v>20.590909090909093</v>
      </c>
      <c r="N38" s="12">
        <f>L38-F38</f>
        <v>2.2650000000000006</v>
      </c>
      <c r="O38" s="12">
        <f>0.5*(M38-F38)</f>
        <v>-1.0295454545454525</v>
      </c>
      <c r="P38" s="15">
        <f>N38+O38</f>
        <v>1.235454545454548</v>
      </c>
      <c r="Q38" s="12">
        <f>MAX($P$2:$P$280)-P38</f>
        <v>102.39305548319878</v>
      </c>
      <c r="R38" s="9">
        <f>IFERROR((SUBTOTAL(109,$Q$2:$Q$1048576)/Q38)/SUBTOTAL(109,$Q$2:$Q$1048576),0)</f>
        <v>9.7662873256486194E-3</v>
      </c>
      <c r="S38" s="9">
        <f>Q38/MAX($Q$2:$Q$28)</f>
        <v>0.46293707644821847</v>
      </c>
    </row>
  </sheetData>
  <autoFilter ref="A1:S33" xr:uid="{00000000-0001-0000-0000-000000000000}">
    <sortState xmlns:xlrd2="http://schemas.microsoft.com/office/spreadsheetml/2017/richdata2" ref="A2:S38">
      <sortCondition descending="1" ref="G1:G33"/>
    </sortState>
  </autoFilter>
  <conditionalFormatting sqref="R2:R3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2024-12-03T03:22:35Z</dcterms:modified>
</cp:coreProperties>
</file>