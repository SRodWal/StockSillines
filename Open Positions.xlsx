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D:\Professional_WorkTools\Github\RodWal-Portfolio\"/>
    </mc:Choice>
  </mc:AlternateContent>
  <xr:revisionPtr revIDLastSave="0" documentId="13_ncr:1_{C550248E-F68A-456F-B0DD-568EDE7F7AA6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Positions" sheetId="1" r:id="rId1"/>
    <sheet name="Sheet1" sheetId="2" r:id="rId2"/>
  </sheets>
  <definedNames>
    <definedName name="_xlnm._FilterDatabase" localSheetId="0" hidden="1">Positions!$A$1:$S$32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2" i="1" l="1"/>
  <c r="O32" i="1" s="1"/>
  <c r="L32" i="1"/>
  <c r="N32" i="1" s="1"/>
  <c r="J32" i="1"/>
  <c r="G32" i="1"/>
  <c r="D32" i="1"/>
  <c r="M31" i="1"/>
  <c r="O31" i="1" s="1"/>
  <c r="L31" i="1"/>
  <c r="N31" i="1" s="1"/>
  <c r="J31" i="1"/>
  <c r="G31" i="1"/>
  <c r="J19" i="1"/>
  <c r="M19" i="1"/>
  <c r="O19" i="1" s="1"/>
  <c r="L19" i="1"/>
  <c r="N19" i="1" s="1"/>
  <c r="G19" i="1"/>
  <c r="M16" i="1"/>
  <c r="O16" i="1" s="1"/>
  <c r="L16" i="1"/>
  <c r="N16" i="1" s="1"/>
  <c r="J16" i="1"/>
  <c r="G16" i="1"/>
  <c r="L2" i="1"/>
  <c r="N2" i="1" s="1"/>
  <c r="M2" i="1"/>
  <c r="O2" i="1" s="1"/>
  <c r="L10" i="1"/>
  <c r="N10" i="1" s="1"/>
  <c r="M10" i="1"/>
  <c r="O10" i="1" s="1"/>
  <c r="L3" i="1"/>
  <c r="N3" i="1" s="1"/>
  <c r="M3" i="1"/>
  <c r="O3" i="1" s="1"/>
  <c r="L20" i="1"/>
  <c r="N20" i="1" s="1"/>
  <c r="M20" i="1"/>
  <c r="O20" i="1" s="1"/>
  <c r="L9" i="1"/>
  <c r="N9" i="1" s="1"/>
  <c r="M9" i="1"/>
  <c r="O9" i="1" s="1"/>
  <c r="L14" i="1"/>
  <c r="N14" i="1" s="1"/>
  <c r="M14" i="1"/>
  <c r="O14" i="1" s="1"/>
  <c r="L11" i="1"/>
  <c r="N11" i="1" s="1"/>
  <c r="M11" i="1"/>
  <c r="O11" i="1" s="1"/>
  <c r="L4" i="1"/>
  <c r="N4" i="1" s="1"/>
  <c r="M4" i="1"/>
  <c r="O4" i="1" s="1"/>
  <c r="L5" i="1"/>
  <c r="N5" i="1" s="1"/>
  <c r="M5" i="1"/>
  <c r="O5" i="1" s="1"/>
  <c r="L6" i="1"/>
  <c r="N6" i="1" s="1"/>
  <c r="M6" i="1"/>
  <c r="O6" i="1" s="1"/>
  <c r="L30" i="1"/>
  <c r="N30" i="1" s="1"/>
  <c r="M30" i="1"/>
  <c r="O30" i="1" s="1"/>
  <c r="L28" i="1"/>
  <c r="N28" i="1" s="1"/>
  <c r="M28" i="1"/>
  <c r="O28" i="1" s="1"/>
  <c r="L7" i="1"/>
  <c r="N7" i="1" s="1"/>
  <c r="M7" i="1"/>
  <c r="O7" i="1" s="1"/>
  <c r="L8" i="1"/>
  <c r="N8" i="1" s="1"/>
  <c r="M8" i="1"/>
  <c r="O8" i="1" s="1"/>
  <c r="L18" i="1"/>
  <c r="N18" i="1" s="1"/>
  <c r="M18" i="1"/>
  <c r="O18" i="1" s="1"/>
  <c r="L25" i="1"/>
  <c r="N25" i="1" s="1"/>
  <c r="M25" i="1"/>
  <c r="O25" i="1" s="1"/>
  <c r="L13" i="1"/>
  <c r="N13" i="1" s="1"/>
  <c r="M13" i="1"/>
  <c r="O13" i="1" s="1"/>
  <c r="L12" i="1"/>
  <c r="N12" i="1" s="1"/>
  <c r="M12" i="1"/>
  <c r="O12" i="1" s="1"/>
  <c r="L15" i="1"/>
  <c r="N15" i="1" s="1"/>
  <c r="M15" i="1"/>
  <c r="O15" i="1" s="1"/>
  <c r="L24" i="1"/>
  <c r="N24" i="1" s="1"/>
  <c r="M24" i="1"/>
  <c r="O24" i="1" s="1"/>
  <c r="L26" i="1"/>
  <c r="N26" i="1" s="1"/>
  <c r="M26" i="1"/>
  <c r="O26" i="1" s="1"/>
  <c r="L29" i="1"/>
  <c r="N29" i="1" s="1"/>
  <c r="M29" i="1"/>
  <c r="O29" i="1" s="1"/>
  <c r="L22" i="1"/>
  <c r="N22" i="1" s="1"/>
  <c r="M22" i="1"/>
  <c r="O22" i="1" s="1"/>
  <c r="L23" i="1"/>
  <c r="N23" i="1" s="1"/>
  <c r="M23" i="1"/>
  <c r="O23" i="1" s="1"/>
  <c r="L21" i="1"/>
  <c r="N21" i="1" s="1"/>
  <c r="M21" i="1"/>
  <c r="O21" i="1" s="1"/>
  <c r="L17" i="1"/>
  <c r="N17" i="1" s="1"/>
  <c r="M17" i="1"/>
  <c r="O17" i="1" s="1"/>
  <c r="L27" i="1"/>
  <c r="N27" i="1" s="1"/>
  <c r="M27" i="1"/>
  <c r="O27" i="1" s="1"/>
  <c r="J2" i="1"/>
  <c r="J10" i="1"/>
  <c r="J3" i="1"/>
  <c r="J20" i="1"/>
  <c r="J9" i="1"/>
  <c r="J14" i="1"/>
  <c r="J11" i="1"/>
  <c r="J4" i="1"/>
  <c r="J5" i="1"/>
  <c r="J6" i="1"/>
  <c r="J30" i="1"/>
  <c r="J28" i="1"/>
  <c r="J7" i="1"/>
  <c r="J8" i="1"/>
  <c r="J18" i="1"/>
  <c r="J25" i="1"/>
  <c r="J13" i="1"/>
  <c r="J12" i="1"/>
  <c r="J15" i="1"/>
  <c r="J24" i="1"/>
  <c r="J26" i="1"/>
  <c r="J29" i="1"/>
  <c r="J22" i="1"/>
  <c r="J23" i="1"/>
  <c r="J21" i="1"/>
  <c r="J17" i="1"/>
  <c r="J27" i="1"/>
  <c r="G29" i="1"/>
  <c r="G20" i="1"/>
  <c r="G3" i="1"/>
  <c r="G17" i="1"/>
  <c r="G8" i="1"/>
  <c r="G7" i="1"/>
  <c r="G28" i="1"/>
  <c r="G30" i="1"/>
  <c r="G6" i="1"/>
  <c r="G5" i="1"/>
  <c r="G10" i="1"/>
  <c r="G2" i="1"/>
  <c r="G27" i="1"/>
  <c r="G4" i="1"/>
  <c r="G26" i="1"/>
  <c r="G14" i="1"/>
  <c r="G11" i="1"/>
  <c r="G9" i="1"/>
  <c r="G12" i="1"/>
  <c r="G13" i="1"/>
  <c r="G23" i="1"/>
  <c r="G25" i="1"/>
  <c r="G21" i="1"/>
  <c r="G15" i="1"/>
  <c r="G18" i="1"/>
  <c r="G24" i="1"/>
  <c r="G22" i="1"/>
  <c r="P19" i="1" l="1"/>
  <c r="K31" i="1"/>
  <c r="K32" i="1"/>
  <c r="P32" i="1"/>
  <c r="P31" i="1"/>
  <c r="K19" i="1"/>
  <c r="P16" i="1"/>
  <c r="K16" i="1"/>
  <c r="P8" i="1"/>
  <c r="P24" i="1"/>
  <c r="P28" i="1"/>
  <c r="P17" i="1"/>
  <c r="P22" i="1"/>
  <c r="P10" i="1"/>
  <c r="P9" i="1"/>
  <c r="P15" i="1"/>
  <c r="P20" i="1"/>
  <c r="P11" i="1"/>
  <c r="P25" i="1"/>
  <c r="P21" i="1"/>
  <c r="P5" i="1"/>
  <c r="P30" i="1"/>
  <c r="P14" i="1"/>
  <c r="P29" i="1"/>
  <c r="P13" i="1"/>
  <c r="P3" i="1"/>
  <c r="P18" i="1"/>
  <c r="P23" i="1"/>
  <c r="P12" i="1"/>
  <c r="P26" i="1"/>
  <c r="P6" i="1"/>
  <c r="P2" i="1"/>
  <c r="P7" i="1"/>
  <c r="P4" i="1"/>
  <c r="P27" i="1"/>
  <c r="Q2" i="1" s="1"/>
  <c r="K17" i="1"/>
  <c r="K10" i="1"/>
  <c r="K28" i="1"/>
  <c r="K2" i="1"/>
  <c r="K18" i="1"/>
  <c r="K11" i="1"/>
  <c r="K14" i="1"/>
  <c r="K25" i="1"/>
  <c r="K29" i="1"/>
  <c r="K30" i="1"/>
  <c r="K26" i="1"/>
  <c r="K24" i="1"/>
  <c r="K27" i="1"/>
  <c r="K4" i="1"/>
  <c r="K7" i="1"/>
  <c r="K15" i="1"/>
  <c r="K12" i="1"/>
  <c r="K21" i="1"/>
  <c r="K9" i="1"/>
  <c r="K23" i="1"/>
  <c r="K22" i="1"/>
  <c r="K8" i="1"/>
  <c r="K6" i="1"/>
  <c r="K3" i="1"/>
  <c r="K20" i="1"/>
  <c r="K13" i="1"/>
  <c r="K5" i="1"/>
  <c r="Q3" i="1" l="1"/>
  <c r="Q15" i="1"/>
  <c r="Q27" i="1"/>
  <c r="Q19" i="1"/>
  <c r="Q20" i="1"/>
  <c r="Q23" i="1"/>
  <c r="Q24" i="1"/>
  <c r="Q13" i="1"/>
  <c r="Q14" i="1"/>
  <c r="Q4" i="1"/>
  <c r="Q16" i="1"/>
  <c r="Q28" i="1"/>
  <c r="Q8" i="1"/>
  <c r="Q21" i="1"/>
  <c r="Q10" i="1"/>
  <c r="Q5" i="1"/>
  <c r="Q17" i="1"/>
  <c r="Q29" i="1"/>
  <c r="Q31" i="1"/>
  <c r="Q9" i="1"/>
  <c r="Q6" i="1"/>
  <c r="Q18" i="1"/>
  <c r="Q30" i="1"/>
  <c r="Q7" i="1"/>
  <c r="Q32" i="1"/>
  <c r="Q22" i="1"/>
  <c r="Q11" i="1"/>
  <c r="Q25" i="1"/>
  <c r="Q26" i="1"/>
  <c r="Q12" i="1"/>
  <c r="R27" i="1" l="1"/>
  <c r="R3" i="1"/>
  <c r="R15" i="1"/>
  <c r="R7" i="1"/>
  <c r="R25" i="1"/>
  <c r="R14" i="1"/>
  <c r="R4" i="1"/>
  <c r="R16" i="1"/>
  <c r="R28" i="1"/>
  <c r="R23" i="1"/>
  <c r="R26" i="1"/>
  <c r="R5" i="1"/>
  <c r="R17" i="1"/>
  <c r="R29" i="1"/>
  <c r="R19" i="1"/>
  <c r="R24" i="1"/>
  <c r="R6" i="1"/>
  <c r="R18" i="1"/>
  <c r="R30" i="1"/>
  <c r="R31" i="1"/>
  <c r="R8" i="1"/>
  <c r="R20" i="1"/>
  <c r="R32" i="1"/>
  <c r="R21" i="1"/>
  <c r="R12" i="1"/>
  <c r="R9" i="1"/>
  <c r="R2" i="1"/>
  <c r="R10" i="1"/>
  <c r="R22" i="1"/>
  <c r="R11" i="1"/>
  <c r="R13" i="1"/>
  <c r="S3" i="1"/>
  <c r="S16" i="1"/>
  <c r="S26" i="1"/>
  <c r="S9" i="1"/>
  <c r="S13" i="1"/>
  <c r="S18" i="1"/>
  <c r="S12" i="1"/>
  <c r="S24" i="1"/>
  <c r="S23" i="1"/>
  <c r="S27" i="1"/>
  <c r="S25" i="1"/>
  <c r="S8" i="1"/>
  <c r="S30" i="1"/>
  <c r="S14" i="1"/>
  <c r="S6" i="1"/>
  <c r="S20" i="1"/>
  <c r="S32" i="1"/>
  <c r="S19" i="1"/>
  <c r="S11" i="1"/>
  <c r="S31" i="1"/>
  <c r="S17" i="1"/>
  <c r="S10" i="1"/>
  <c r="S4" i="1"/>
  <c r="S22" i="1"/>
  <c r="S2" i="1"/>
  <c r="S21" i="1"/>
  <c r="S5" i="1"/>
  <c r="S29" i="1"/>
  <c r="S28" i="1"/>
  <c r="S7" i="1"/>
  <c r="S15" i="1"/>
</calcChain>
</file>

<file path=xl/sharedStrings.xml><?xml version="1.0" encoding="utf-8"?>
<sst xmlns="http://schemas.openxmlformats.org/spreadsheetml/2006/main" count="112" uniqueCount="86">
  <si>
    <t>Name</t>
  </si>
  <si>
    <t>Ticket</t>
  </si>
  <si>
    <t>Date</t>
  </si>
  <si>
    <t>Volume</t>
  </si>
  <si>
    <t>Price</t>
  </si>
  <si>
    <t>Value</t>
  </si>
  <si>
    <t>MO</t>
  </si>
  <si>
    <t>Altaria</t>
  </si>
  <si>
    <t>Visa</t>
  </si>
  <si>
    <t>Master Card</t>
  </si>
  <si>
    <t>QCOM</t>
  </si>
  <si>
    <t>QualComm2</t>
  </si>
  <si>
    <t>Microsoft</t>
  </si>
  <si>
    <t>MSFT</t>
  </si>
  <si>
    <t>AAPL</t>
  </si>
  <si>
    <t>Apple2</t>
  </si>
  <si>
    <t>Pepsi</t>
  </si>
  <si>
    <t>PEP</t>
  </si>
  <si>
    <t>GOOGL</t>
  </si>
  <si>
    <t>Google</t>
  </si>
  <si>
    <t>Kimberly Clark</t>
  </si>
  <si>
    <t>KMB</t>
  </si>
  <si>
    <t>TSMC</t>
  </si>
  <si>
    <t>TSM</t>
  </si>
  <si>
    <t>Nvidia</t>
  </si>
  <si>
    <t>NVDA</t>
  </si>
  <si>
    <t>V</t>
  </si>
  <si>
    <t>NextEra Energy</t>
  </si>
  <si>
    <t>NEE</t>
  </si>
  <si>
    <t>MA</t>
  </si>
  <si>
    <t>Applied Material</t>
  </si>
  <si>
    <t>AMAT</t>
  </si>
  <si>
    <t>Duke Energy</t>
  </si>
  <si>
    <t>DUK</t>
  </si>
  <si>
    <t>LVMH</t>
  </si>
  <si>
    <t>MC.PA</t>
  </si>
  <si>
    <t>Chapter</t>
  </si>
  <si>
    <t>Tech</t>
  </si>
  <si>
    <t>Banking</t>
  </si>
  <si>
    <t>US Consumer</t>
  </si>
  <si>
    <t>Asia Consumer</t>
  </si>
  <si>
    <t>Energy</t>
  </si>
  <si>
    <t>DAR</t>
  </si>
  <si>
    <t>MSG</t>
  </si>
  <si>
    <t>INGR</t>
  </si>
  <si>
    <t>CSIQ</t>
  </si>
  <si>
    <t>Canadian Solar</t>
  </si>
  <si>
    <t>FSLR</t>
  </si>
  <si>
    <t>First Solar</t>
  </si>
  <si>
    <t>JKS</t>
  </si>
  <si>
    <t>Jinko Solar</t>
  </si>
  <si>
    <t>MAXN</t>
  </si>
  <si>
    <t>Maxeon Solar</t>
  </si>
  <si>
    <t>SEDG</t>
  </si>
  <si>
    <t>SolarEdge</t>
  </si>
  <si>
    <t>SolarWinds</t>
  </si>
  <si>
    <t>SWI</t>
  </si>
  <si>
    <t>Walmart</t>
  </si>
  <si>
    <t>WMT</t>
  </si>
  <si>
    <t>YUMC</t>
  </si>
  <si>
    <t>Yum China Holding</t>
  </si>
  <si>
    <t>Yum! Brands</t>
  </si>
  <si>
    <t>YUM</t>
  </si>
  <si>
    <t>ASML</t>
  </si>
  <si>
    <t>Volatility</t>
  </si>
  <si>
    <t>Ranking</t>
  </si>
  <si>
    <t>Mix %</t>
  </si>
  <si>
    <t>Target Price</t>
  </si>
  <si>
    <t>Tolerance</t>
  </si>
  <si>
    <t>Expected Return QoQ%</t>
  </si>
  <si>
    <t>Unit Profit</t>
  </si>
  <si>
    <t>Unit Half Loss</t>
  </si>
  <si>
    <t>Balance Risk</t>
  </si>
  <si>
    <t>Normalized Risk</t>
  </si>
  <si>
    <t>Normalized Risk %</t>
  </si>
  <si>
    <t>Automotive</t>
  </si>
  <si>
    <t>Aptive Autoparts</t>
  </si>
  <si>
    <t>APTV</t>
  </si>
  <si>
    <t>Forex</t>
  </si>
  <si>
    <t>Mexican Peso</t>
  </si>
  <si>
    <t>USDMXN=X</t>
  </si>
  <si>
    <t>Japan Yen</t>
  </si>
  <si>
    <t>USDJPY=X</t>
  </si>
  <si>
    <t>Gold</t>
  </si>
  <si>
    <t>GC=F</t>
  </si>
  <si>
    <t>Risk Mix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</si>
</sst>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4" formatCode="0.0000"/>
    <numFmt numFmtId="165" formatCode="[$-F800]dddd\,\ mmmm\ dd\,\ yyyy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0">
    <xf numFmtId="0" fontId="0" fillId="0" borderId="0" xfId="0"/>
    <xf numFmtId="44" fontId="0" fillId="0" borderId="0" xfId="1" applyFont="1"/>
    <xf numFmtId="164" fontId="0" fillId="0" borderId="0" xfId="1" applyNumberFormat="1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165" fontId="0" fillId="0" borderId="0" xfId="0" applyNumberFormat="1" applyAlignment="1">
      <alignment horizontal="left"/>
    </xf>
    <xf numFmtId="9" fontId="0" fillId="0" borderId="0" xfId="2" applyFont="1" applyAlignment="1">
      <alignment horizontal="center" vertical="center"/>
    </xf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44" fontId="0" fillId="0" borderId="0" xfId="0" applyNumberFormat="1"/>
    <xf numFmtId="10" fontId="0" fillId="0" borderId="0" xfId="0" applyNumberFormat="1" applyAlignment="1">
      <alignment horizontal="center" vertical="center"/>
    </xf>
    <xf numFmtId="0" fontId="0" fillId="7" borderId="0" xfId="0" applyFill="1"/>
    <xf numFmtId="44" fontId="0" fillId="0" borderId="0" xfId="2" applyNumberFormat="1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4" fontId="0" fillId="0" borderId="0" xfId="1" applyNumberFormat="1" applyFont="1" applyAlignment="1">
      <alignment horizontal="center" vertical="center" wrapText="1"/>
    </xf>
    <xf numFmtId="44" fontId="0" fillId="0" borderId="0" xfId="1" applyFont="1" applyAlignment="1">
      <alignment horizontal="center" vertical="center" wrapText="1"/>
    </xf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2"/>
  <sheetViews>
    <sheetView tabSelected="1" topLeftCell="A2" workbookViewId="0">
      <selection activeCell="L27" sqref="L27"/>
    </sheetView>
  </sheetViews>
  <sheetFormatPr defaultRowHeight="15" x14ac:dyDescent="0.25"/>
  <cols>
    <col min="1" max="1" width="14.28515625" bestFit="1" customWidth="1"/>
    <col min="2" max="2" width="17.85546875" bestFit="1" customWidth="1"/>
    <col min="3" max="3" width="11" bestFit="1" customWidth="1"/>
    <col min="4" max="4" width="30.42578125" style="8" bestFit="1" customWidth="1"/>
    <col min="5" max="5" width="9.42578125" style="2" bestFit="1" customWidth="1"/>
    <col min="6" max="6" width="10.5703125" style="1" bestFit="1" customWidth="1"/>
    <col min="7" max="7" width="9" style="1" bestFit="1" customWidth="1"/>
    <col min="8" max="8" width="9.85546875" style="10" bestFit="1" customWidth="1"/>
    <col min="9" max="9" width="11.42578125" style="10" bestFit="1" customWidth="1"/>
    <col min="10" max="10" width="9.140625" style="10"/>
    <col min="11" max="11" width="7.5703125" style="10" customWidth="1"/>
    <col min="12" max="12" width="11.42578125" bestFit="1" customWidth="1"/>
    <col min="13" max="13" width="14.28515625" bestFit="1" customWidth="1"/>
    <col min="14" max="14" width="10.5703125" bestFit="1" customWidth="1"/>
    <col min="15" max="15" width="13.28515625" bestFit="1" customWidth="1"/>
    <col min="16" max="16" width="12.42578125" bestFit="1" customWidth="1"/>
    <col min="17" max="17" width="14.7109375" bestFit="1" customWidth="1"/>
    <col min="18" max="18" width="12.85546875" bestFit="1" customWidth="1"/>
    <col min="19" max="19" width="15.85546875" bestFit="1" customWidth="1"/>
  </cols>
  <sheetData>
    <row r="1" spans="1:19" ht="45" customHeight="1" x14ac:dyDescent="0.25">
      <c r="A1" s="16" t="s">
        <v>36</v>
      </c>
      <c r="B1" s="16" t="s">
        <v>0</v>
      </c>
      <c r="C1" s="16" t="s">
        <v>1</v>
      </c>
      <c r="D1" s="17" t="s">
        <v>2</v>
      </c>
      <c r="E1" s="18" t="s">
        <v>3</v>
      </c>
      <c r="F1" s="19" t="s">
        <v>4</v>
      </c>
      <c r="G1" s="19" t="s">
        <v>5</v>
      </c>
      <c r="H1" s="16" t="s">
        <v>69</v>
      </c>
      <c r="I1" s="16" t="s">
        <v>64</v>
      </c>
      <c r="J1" s="16" t="s">
        <v>65</v>
      </c>
      <c r="K1" s="16" t="s">
        <v>66</v>
      </c>
      <c r="L1" s="16" t="s">
        <v>67</v>
      </c>
      <c r="M1" s="16" t="s">
        <v>68</v>
      </c>
      <c r="N1" s="16" t="s">
        <v>70</v>
      </c>
      <c r="O1" s="16" t="s">
        <v>71</v>
      </c>
      <c r="P1" s="16" t="s">
        <v>72</v>
      </c>
      <c r="Q1" s="16" t="s">
        <v>73</v>
      </c>
      <c r="R1" s="16" t="s">
        <v>85</v>
      </c>
      <c r="S1" s="16" t="s">
        <v>74</v>
      </c>
    </row>
    <row r="2" spans="1:19" x14ac:dyDescent="0.25">
      <c r="A2" t="s">
        <v>40</v>
      </c>
      <c r="B2" s="6" t="s">
        <v>43</v>
      </c>
      <c r="C2" t="s">
        <v>42</v>
      </c>
      <c r="D2" s="8">
        <v>45507</v>
      </c>
      <c r="E2" s="2">
        <v>9.9999999999999998E-46</v>
      </c>
      <c r="F2" s="1">
        <v>63.3</v>
      </c>
      <c r="G2" s="1">
        <f t="shared" ref="G2:G31" si="0">E2*F2</f>
        <v>6.3299999999999997E-44</v>
      </c>
      <c r="J2" s="9" t="str">
        <f t="shared" ref="J2:J31" si="1">IFERROR(H2/I2,"")</f>
        <v/>
      </c>
      <c r="K2" s="9" t="str">
        <f t="shared" ref="K2:K32" si="2">IFERROR(J2/SUBTOTAL(9,$J$2:$J$1048576),"")</f>
        <v/>
      </c>
      <c r="L2" s="12">
        <f t="shared" ref="L2:L31" si="3">F2/(1-(F2*(1+H2)-F2)/(F2*(1+H2)))</f>
        <v>63.3</v>
      </c>
      <c r="M2" s="12">
        <f t="shared" ref="M2:M31" si="4">F2/(1+I2-H2)</f>
        <v>63.3</v>
      </c>
      <c r="N2" s="12">
        <f t="shared" ref="N2:N31" si="5">L2-F2</f>
        <v>0</v>
      </c>
      <c r="O2" s="12">
        <f t="shared" ref="O2:O31" si="6">0.5*(M2-F2)</f>
        <v>0</v>
      </c>
      <c r="P2" s="15">
        <f t="shared" ref="P2:P31" si="7">N2+O2</f>
        <v>0</v>
      </c>
      <c r="Q2" s="12">
        <f>MAX($P$2:$P$280)-P2</f>
        <v>38.33801960784308</v>
      </c>
      <c r="R2" s="9">
        <f>IFERROR((SUBTOTAL(109,$Q$2:$Q$1048576)/Q2)/SUBTOTAL(109,$Q$2:$Q$1048576),0)</f>
        <v>2.6083767764452363E-2</v>
      </c>
      <c r="S2" s="9">
        <f t="shared" ref="S2:S32" si="8">Q2/MAX($Q$2:$Q$28)</f>
        <v>0.88019658171881077</v>
      </c>
    </row>
    <row r="3" spans="1:19" x14ac:dyDescent="0.25">
      <c r="A3" t="s">
        <v>40</v>
      </c>
      <c r="B3" s="6" t="s">
        <v>60</v>
      </c>
      <c r="C3" t="s">
        <v>59</v>
      </c>
      <c r="D3" s="8">
        <v>45574</v>
      </c>
      <c r="E3" s="2">
        <v>9.9999999999999998E-46</v>
      </c>
      <c r="F3" s="1">
        <v>46.53</v>
      </c>
      <c r="G3" s="1">
        <f t="shared" si="0"/>
        <v>4.6529999999999999E-44</v>
      </c>
      <c r="J3" s="9" t="str">
        <f t="shared" si="1"/>
        <v/>
      </c>
      <c r="K3" s="9" t="str">
        <f t="shared" si="2"/>
        <v/>
      </c>
      <c r="L3" s="12">
        <f t="shared" si="3"/>
        <v>46.53</v>
      </c>
      <c r="M3" s="12">
        <f t="shared" si="4"/>
        <v>46.53</v>
      </c>
      <c r="N3" s="12">
        <f t="shared" si="5"/>
        <v>0</v>
      </c>
      <c r="O3" s="12">
        <f t="shared" si="6"/>
        <v>0</v>
      </c>
      <c r="P3" s="15">
        <f t="shared" si="7"/>
        <v>0</v>
      </c>
      <c r="Q3" s="12">
        <f t="shared" ref="Q3:Q32" si="9">MAX($P$2:$P$280)-P3</f>
        <v>38.33801960784308</v>
      </c>
      <c r="R3" s="9">
        <f t="shared" ref="R3:R32" si="10">IFERROR((SUBTOTAL(109,$Q$2:$Q$1048576)/Q3)/SUBTOTAL(109,$Q$2:$Q$1048576),0)</f>
        <v>2.6083767764452363E-2</v>
      </c>
      <c r="S3" s="9">
        <f t="shared" si="8"/>
        <v>0.88019658171881077</v>
      </c>
    </row>
    <row r="4" spans="1:19" x14ac:dyDescent="0.25">
      <c r="A4" t="s">
        <v>41</v>
      </c>
      <c r="B4" s="7" t="s">
        <v>32</v>
      </c>
      <c r="C4" s="14" t="s">
        <v>33</v>
      </c>
      <c r="D4" s="8">
        <v>45511</v>
      </c>
      <c r="E4" s="2">
        <v>1E-22</v>
      </c>
      <c r="F4" s="1">
        <v>113.48</v>
      </c>
      <c r="G4" s="1">
        <f t="shared" si="0"/>
        <v>1.1348000000000001E-20</v>
      </c>
      <c r="J4" s="9" t="str">
        <f t="shared" si="1"/>
        <v/>
      </c>
      <c r="K4" s="9" t="str">
        <f t="shared" si="2"/>
        <v/>
      </c>
      <c r="L4" s="12">
        <f t="shared" si="3"/>
        <v>113.48</v>
      </c>
      <c r="M4" s="12">
        <f t="shared" si="4"/>
        <v>113.48</v>
      </c>
      <c r="N4" s="12">
        <f t="shared" si="5"/>
        <v>0</v>
      </c>
      <c r="O4" s="12">
        <f t="shared" si="6"/>
        <v>0</v>
      </c>
      <c r="P4" s="15">
        <f t="shared" si="7"/>
        <v>0</v>
      </c>
      <c r="Q4" s="12">
        <f t="shared" si="9"/>
        <v>38.33801960784308</v>
      </c>
      <c r="R4" s="9">
        <f t="shared" si="10"/>
        <v>2.6083767764452363E-2</v>
      </c>
      <c r="S4" s="9">
        <f t="shared" si="8"/>
        <v>0.88019658171881077</v>
      </c>
    </row>
    <row r="5" spans="1:19" x14ac:dyDescent="0.25">
      <c r="A5" t="s">
        <v>41</v>
      </c>
      <c r="B5" s="7" t="s">
        <v>46</v>
      </c>
      <c r="C5" t="s">
        <v>45</v>
      </c>
      <c r="D5" s="8">
        <v>45511</v>
      </c>
      <c r="E5" s="2">
        <v>1E-22</v>
      </c>
      <c r="F5" s="1">
        <v>15.74</v>
      </c>
      <c r="G5" s="1">
        <f t="shared" si="0"/>
        <v>1.5740000000000001E-21</v>
      </c>
      <c r="J5" s="9" t="str">
        <f t="shared" si="1"/>
        <v/>
      </c>
      <c r="K5" s="9" t="str">
        <f t="shared" si="2"/>
        <v/>
      </c>
      <c r="L5" s="12">
        <f t="shared" si="3"/>
        <v>15.74</v>
      </c>
      <c r="M5" s="12">
        <f t="shared" si="4"/>
        <v>15.74</v>
      </c>
      <c r="N5" s="12">
        <f t="shared" si="5"/>
        <v>0</v>
      </c>
      <c r="O5" s="12">
        <f t="shared" si="6"/>
        <v>0</v>
      </c>
      <c r="P5" s="15">
        <f t="shared" si="7"/>
        <v>0</v>
      </c>
      <c r="Q5" s="12">
        <f t="shared" si="9"/>
        <v>38.33801960784308</v>
      </c>
      <c r="R5" s="9">
        <f t="shared" si="10"/>
        <v>2.6083767764452363E-2</v>
      </c>
      <c r="S5" s="9">
        <f t="shared" si="8"/>
        <v>0.88019658171881077</v>
      </c>
    </row>
    <row r="6" spans="1:19" x14ac:dyDescent="0.25">
      <c r="A6" t="s">
        <v>41</v>
      </c>
      <c r="B6" s="7" t="s">
        <v>48</v>
      </c>
      <c r="C6" t="s">
        <v>47</v>
      </c>
      <c r="D6" s="8">
        <v>45511</v>
      </c>
      <c r="E6" s="2">
        <v>1E-22</v>
      </c>
      <c r="F6" s="1">
        <v>230.91</v>
      </c>
      <c r="G6" s="1">
        <f t="shared" si="0"/>
        <v>2.3091E-20</v>
      </c>
      <c r="J6" s="9" t="str">
        <f t="shared" si="1"/>
        <v/>
      </c>
      <c r="K6" s="9" t="str">
        <f t="shared" si="2"/>
        <v/>
      </c>
      <c r="L6" s="12">
        <f t="shared" si="3"/>
        <v>230.91</v>
      </c>
      <c r="M6" s="12">
        <f t="shared" si="4"/>
        <v>230.91</v>
      </c>
      <c r="N6" s="12">
        <f t="shared" si="5"/>
        <v>0</v>
      </c>
      <c r="O6" s="12">
        <f t="shared" si="6"/>
        <v>0</v>
      </c>
      <c r="P6" s="15">
        <f t="shared" si="7"/>
        <v>0</v>
      </c>
      <c r="Q6" s="12">
        <f t="shared" si="9"/>
        <v>38.33801960784308</v>
      </c>
      <c r="R6" s="9">
        <f t="shared" si="10"/>
        <v>2.6083767764452363E-2</v>
      </c>
      <c r="S6" s="9">
        <f t="shared" si="8"/>
        <v>0.88019658171881077</v>
      </c>
    </row>
    <row r="7" spans="1:19" x14ac:dyDescent="0.25">
      <c r="A7" t="s">
        <v>41</v>
      </c>
      <c r="B7" s="7" t="s">
        <v>54</v>
      </c>
      <c r="C7" t="s">
        <v>53</v>
      </c>
      <c r="D7" s="8">
        <v>45511</v>
      </c>
      <c r="E7" s="2">
        <v>1E-22</v>
      </c>
      <c r="F7" s="1">
        <v>20.11</v>
      </c>
      <c r="G7" s="1">
        <f t="shared" si="0"/>
        <v>2.0110000000000001E-21</v>
      </c>
      <c r="J7" s="9" t="str">
        <f t="shared" si="1"/>
        <v/>
      </c>
      <c r="K7" s="9" t="str">
        <f t="shared" si="2"/>
        <v/>
      </c>
      <c r="L7" s="12">
        <f t="shared" si="3"/>
        <v>20.11</v>
      </c>
      <c r="M7" s="12">
        <f t="shared" si="4"/>
        <v>20.11</v>
      </c>
      <c r="N7" s="12">
        <f t="shared" si="5"/>
        <v>0</v>
      </c>
      <c r="O7" s="12">
        <f t="shared" si="6"/>
        <v>0</v>
      </c>
      <c r="P7" s="15">
        <f t="shared" si="7"/>
        <v>0</v>
      </c>
      <c r="Q7" s="12">
        <f t="shared" si="9"/>
        <v>38.33801960784308</v>
      </c>
      <c r="R7" s="9">
        <f t="shared" si="10"/>
        <v>2.6083767764452363E-2</v>
      </c>
      <c r="S7" s="9">
        <f t="shared" si="8"/>
        <v>0.88019658171881077</v>
      </c>
    </row>
    <row r="8" spans="1:19" x14ac:dyDescent="0.25">
      <c r="A8" t="s">
        <v>41</v>
      </c>
      <c r="B8" s="7" t="s">
        <v>55</v>
      </c>
      <c r="C8" t="s">
        <v>56</v>
      </c>
      <c r="D8" s="8">
        <v>45511</v>
      </c>
      <c r="E8" s="2">
        <v>1E-22</v>
      </c>
      <c r="F8" s="1">
        <v>12.8</v>
      </c>
      <c r="G8" s="1">
        <f t="shared" si="0"/>
        <v>1.2800000000000001E-21</v>
      </c>
      <c r="J8" s="9" t="str">
        <f t="shared" si="1"/>
        <v/>
      </c>
      <c r="K8" s="9" t="str">
        <f t="shared" si="2"/>
        <v/>
      </c>
      <c r="L8" s="12">
        <f t="shared" si="3"/>
        <v>12.8</v>
      </c>
      <c r="M8" s="12">
        <f t="shared" si="4"/>
        <v>12.8</v>
      </c>
      <c r="N8" s="12">
        <f t="shared" si="5"/>
        <v>0</v>
      </c>
      <c r="O8" s="12">
        <f t="shared" si="6"/>
        <v>0</v>
      </c>
      <c r="P8" s="15">
        <f t="shared" si="7"/>
        <v>0</v>
      </c>
      <c r="Q8" s="12">
        <f t="shared" si="9"/>
        <v>38.33801960784308</v>
      </c>
      <c r="R8" s="9">
        <f t="shared" si="10"/>
        <v>2.6083767764452363E-2</v>
      </c>
      <c r="S8" s="9">
        <f t="shared" si="8"/>
        <v>0.88019658171881077</v>
      </c>
    </row>
    <row r="9" spans="1:19" x14ac:dyDescent="0.25">
      <c r="A9" t="s">
        <v>38</v>
      </c>
      <c r="B9" s="4" t="s">
        <v>8</v>
      </c>
      <c r="C9" t="s">
        <v>26</v>
      </c>
      <c r="D9" s="8">
        <v>45511</v>
      </c>
      <c r="E9" s="2">
        <v>0.14610000000000001</v>
      </c>
      <c r="F9" s="1">
        <v>273.45999999999998</v>
      </c>
      <c r="G9" s="1">
        <f t="shared" si="0"/>
        <v>39.952506</v>
      </c>
      <c r="H9" s="11">
        <v>0.15</v>
      </c>
      <c r="I9" s="11">
        <v>0.17</v>
      </c>
      <c r="J9" s="9">
        <f t="shared" si="1"/>
        <v>0.88235294117647045</v>
      </c>
      <c r="K9" s="9">
        <f t="shared" si="2"/>
        <v>9.6518568995655959E-2</v>
      </c>
      <c r="L9" s="12">
        <f t="shared" si="3"/>
        <v>314.47899999999993</v>
      </c>
      <c r="M9" s="12">
        <f t="shared" si="4"/>
        <v>268.09803921568624</v>
      </c>
      <c r="N9" s="12">
        <f t="shared" si="5"/>
        <v>41.018999999999949</v>
      </c>
      <c r="O9" s="12">
        <f t="shared" si="6"/>
        <v>-2.6809803921568687</v>
      </c>
      <c r="P9" s="15">
        <f t="shared" si="7"/>
        <v>38.33801960784308</v>
      </c>
      <c r="Q9" s="12">
        <f t="shared" si="9"/>
        <v>0</v>
      </c>
      <c r="R9" s="9">
        <f t="shared" si="10"/>
        <v>0</v>
      </c>
      <c r="S9" s="9">
        <f t="shared" si="8"/>
        <v>0</v>
      </c>
    </row>
    <row r="10" spans="1:19" x14ac:dyDescent="0.25">
      <c r="A10" t="s">
        <v>40</v>
      </c>
      <c r="B10" s="6" t="s">
        <v>43</v>
      </c>
      <c r="C10" t="s">
        <v>44</v>
      </c>
      <c r="D10" s="8">
        <v>45580</v>
      </c>
      <c r="E10" s="2">
        <v>0.19139999999999999</v>
      </c>
      <c r="F10" s="1">
        <v>135.82</v>
      </c>
      <c r="G10" s="1">
        <f t="shared" si="0"/>
        <v>25.995947999999999</v>
      </c>
      <c r="H10" s="11">
        <v>0.15</v>
      </c>
      <c r="I10" s="11">
        <v>0.22</v>
      </c>
      <c r="J10" s="9">
        <f t="shared" si="1"/>
        <v>0.68181818181818177</v>
      </c>
      <c r="K10" s="9">
        <f t="shared" si="2"/>
        <v>7.4582530587552348E-2</v>
      </c>
      <c r="L10" s="12">
        <f t="shared" si="3"/>
        <v>156.19299999999998</v>
      </c>
      <c r="M10" s="12">
        <f t="shared" si="4"/>
        <v>126.93457943925232</v>
      </c>
      <c r="N10" s="12">
        <f t="shared" si="5"/>
        <v>20.37299999999999</v>
      </c>
      <c r="O10" s="12">
        <f t="shared" si="6"/>
        <v>-4.4427102803738379</v>
      </c>
      <c r="P10" s="15">
        <f t="shared" si="7"/>
        <v>15.930289719626153</v>
      </c>
      <c r="Q10" s="12">
        <f t="shared" si="9"/>
        <v>22.407729888216927</v>
      </c>
      <c r="R10" s="9">
        <f t="shared" si="10"/>
        <v>4.4627456908334501E-2</v>
      </c>
      <c r="S10" s="9">
        <f t="shared" si="8"/>
        <v>0.51445555752316563</v>
      </c>
    </row>
    <row r="11" spans="1:19" x14ac:dyDescent="0.25">
      <c r="A11" t="s">
        <v>41</v>
      </c>
      <c r="B11" s="7" t="s">
        <v>27</v>
      </c>
      <c r="C11" t="s">
        <v>28</v>
      </c>
      <c r="D11" s="8">
        <v>45511</v>
      </c>
      <c r="E11" s="2">
        <v>0.1933</v>
      </c>
      <c r="F11" s="1">
        <v>77.53</v>
      </c>
      <c r="G11" s="1">
        <f t="shared" si="0"/>
        <v>14.986549</v>
      </c>
      <c r="H11" s="11">
        <v>0.15</v>
      </c>
      <c r="I11" s="11">
        <v>0.26</v>
      </c>
      <c r="J11" s="9">
        <f t="shared" si="1"/>
        <v>0.57692307692307687</v>
      </c>
      <c r="K11" s="9">
        <f t="shared" si="2"/>
        <v>6.3108295112544288E-2</v>
      </c>
      <c r="L11" s="12">
        <f t="shared" si="3"/>
        <v>89.159499999999994</v>
      </c>
      <c r="M11" s="12">
        <f t="shared" si="4"/>
        <v>69.846846846846844</v>
      </c>
      <c r="N11" s="12">
        <f t="shared" si="5"/>
        <v>11.629499999999993</v>
      </c>
      <c r="O11" s="12">
        <f t="shared" si="6"/>
        <v>-3.8415765765765784</v>
      </c>
      <c r="P11" s="15">
        <f t="shared" si="7"/>
        <v>7.7879234234234147</v>
      </c>
      <c r="Q11" s="12">
        <f t="shared" si="9"/>
        <v>30.550096184419665</v>
      </c>
      <c r="R11" s="9">
        <f t="shared" si="10"/>
        <v>3.2733121164770444E-2</v>
      </c>
      <c r="S11" s="9">
        <f t="shared" si="8"/>
        <v>0.70139486879510005</v>
      </c>
    </row>
    <row r="12" spans="1:19" x14ac:dyDescent="0.25">
      <c r="A12" t="s">
        <v>37</v>
      </c>
      <c r="B12" s="3" t="s">
        <v>24</v>
      </c>
      <c r="C12" t="s">
        <v>25</v>
      </c>
      <c r="D12" s="8">
        <v>45482</v>
      </c>
      <c r="E12" s="2">
        <v>0.15210000000000001</v>
      </c>
      <c r="F12" s="1">
        <v>131.38</v>
      </c>
      <c r="G12" s="1">
        <f t="shared" si="0"/>
        <v>19.982898000000002</v>
      </c>
      <c r="H12" s="11">
        <v>0.3</v>
      </c>
      <c r="I12" s="11">
        <v>0.52</v>
      </c>
      <c r="J12" s="9">
        <f t="shared" si="1"/>
        <v>0.57692307692307687</v>
      </c>
      <c r="K12" s="9">
        <f t="shared" si="2"/>
        <v>6.3108295112544288E-2</v>
      </c>
      <c r="L12" s="12">
        <f t="shared" si="3"/>
        <v>170.79400000000001</v>
      </c>
      <c r="M12" s="12">
        <f t="shared" si="4"/>
        <v>107.68852459016394</v>
      </c>
      <c r="N12" s="12">
        <f t="shared" si="5"/>
        <v>39.414000000000016</v>
      </c>
      <c r="O12" s="12">
        <f t="shared" si="6"/>
        <v>-11.845737704918029</v>
      </c>
      <c r="P12" s="15">
        <f t="shared" si="7"/>
        <v>27.568262295081986</v>
      </c>
      <c r="Q12" s="12">
        <f t="shared" si="9"/>
        <v>10.769757312761094</v>
      </c>
      <c r="R12" s="9">
        <f t="shared" si="10"/>
        <v>9.2852602984386592E-2</v>
      </c>
      <c r="S12" s="9">
        <f t="shared" si="8"/>
        <v>0.24726116971086817</v>
      </c>
    </row>
    <row r="13" spans="1:19" x14ac:dyDescent="0.25">
      <c r="A13" t="s">
        <v>37</v>
      </c>
      <c r="B13" s="3" t="s">
        <v>22</v>
      </c>
      <c r="C13" t="s">
        <v>23</v>
      </c>
      <c r="D13" s="8">
        <v>45484</v>
      </c>
      <c r="E13" s="2">
        <v>0.18179999999999999</v>
      </c>
      <c r="F13" s="1">
        <v>192.37</v>
      </c>
      <c r="G13" s="1">
        <f t="shared" si="0"/>
        <v>34.972865999999996</v>
      </c>
      <c r="H13" s="11">
        <v>0.2</v>
      </c>
      <c r="I13" s="11">
        <v>0.35</v>
      </c>
      <c r="J13" s="9">
        <f t="shared" si="1"/>
        <v>0.57142857142857151</v>
      </c>
      <c r="K13" s="9">
        <f t="shared" si="2"/>
        <v>6.2507263730520068E-2</v>
      </c>
      <c r="L13" s="12">
        <f t="shared" si="3"/>
        <v>230.84399999999999</v>
      </c>
      <c r="M13" s="12">
        <f t="shared" si="4"/>
        <v>167.2782608695652</v>
      </c>
      <c r="N13" s="12">
        <f t="shared" si="5"/>
        <v>38.47399999999999</v>
      </c>
      <c r="O13" s="12">
        <f t="shared" si="6"/>
        <v>-12.545869565217401</v>
      </c>
      <c r="P13" s="15">
        <f t="shared" si="7"/>
        <v>25.928130434782588</v>
      </c>
      <c r="Q13" s="12">
        <f t="shared" si="9"/>
        <v>12.409889173060492</v>
      </c>
      <c r="R13" s="9">
        <f t="shared" si="10"/>
        <v>8.058089690041792E-2</v>
      </c>
      <c r="S13" s="9">
        <f t="shared" si="8"/>
        <v>0.28491669995918356</v>
      </c>
    </row>
    <row r="14" spans="1:19" x14ac:dyDescent="0.25">
      <c r="A14" t="s">
        <v>38</v>
      </c>
      <c r="B14" s="4" t="s">
        <v>9</v>
      </c>
      <c r="C14" t="s">
        <v>29</v>
      </c>
      <c r="D14" s="8">
        <v>45511</v>
      </c>
      <c r="E14" s="2">
        <v>3.2899999999999999E-2</v>
      </c>
      <c r="F14" s="1">
        <v>455.4</v>
      </c>
      <c r="G14" s="1">
        <f t="shared" si="0"/>
        <v>14.982659999999999</v>
      </c>
      <c r="H14" s="11">
        <v>0.1</v>
      </c>
      <c r="I14" s="11">
        <v>0.18</v>
      </c>
      <c r="J14" s="9">
        <f t="shared" si="1"/>
        <v>0.55555555555555558</v>
      </c>
      <c r="K14" s="9">
        <f t="shared" si="2"/>
        <v>6.0770950849116732E-2</v>
      </c>
      <c r="L14" s="12">
        <f t="shared" si="3"/>
        <v>500.94</v>
      </c>
      <c r="M14" s="12">
        <f t="shared" si="4"/>
        <v>421.66666666666669</v>
      </c>
      <c r="N14" s="12">
        <f t="shared" si="5"/>
        <v>45.54000000000002</v>
      </c>
      <c r="O14" s="12">
        <f t="shared" si="6"/>
        <v>-16.866666666666646</v>
      </c>
      <c r="P14" s="15">
        <f t="shared" si="7"/>
        <v>28.673333333333375</v>
      </c>
      <c r="Q14" s="12">
        <f t="shared" si="9"/>
        <v>9.6646862745097053</v>
      </c>
      <c r="R14" s="9">
        <f t="shared" si="10"/>
        <v>0.10346947346210993</v>
      </c>
      <c r="S14" s="9">
        <f t="shared" si="8"/>
        <v>0.22189001699158839</v>
      </c>
    </row>
    <row r="15" spans="1:19" x14ac:dyDescent="0.25">
      <c r="A15" t="s">
        <v>37</v>
      </c>
      <c r="B15" s="3" t="s">
        <v>15</v>
      </c>
      <c r="C15" t="s">
        <v>14</v>
      </c>
      <c r="D15" s="8">
        <v>45482</v>
      </c>
      <c r="E15" s="2">
        <v>0.18820000000000001</v>
      </c>
      <c r="F15" s="1">
        <v>227.38</v>
      </c>
      <c r="G15" s="1">
        <f t="shared" si="0"/>
        <v>42.792915999999998</v>
      </c>
      <c r="H15" s="11">
        <v>0.1</v>
      </c>
      <c r="I15" s="13">
        <v>0.22500000000000001</v>
      </c>
      <c r="J15" s="9">
        <f t="shared" si="1"/>
        <v>0.44444444444444448</v>
      </c>
      <c r="K15" s="9">
        <f t="shared" si="2"/>
        <v>4.8616760679293387E-2</v>
      </c>
      <c r="L15" s="12">
        <f t="shared" si="3"/>
        <v>250.11800000000002</v>
      </c>
      <c r="M15" s="12">
        <f t="shared" si="4"/>
        <v>202.11555555555555</v>
      </c>
      <c r="N15" s="12">
        <f t="shared" si="5"/>
        <v>22.738000000000028</v>
      </c>
      <c r="O15" s="12">
        <f t="shared" si="6"/>
        <v>-12.632222222222225</v>
      </c>
      <c r="P15" s="15">
        <f t="shared" si="7"/>
        <v>10.105777777777803</v>
      </c>
      <c r="Q15" s="12">
        <f t="shared" si="9"/>
        <v>28.232241830065277</v>
      </c>
      <c r="R15" s="9">
        <f t="shared" si="10"/>
        <v>3.5420495687844132E-2</v>
      </c>
      <c r="S15" s="9">
        <f t="shared" si="8"/>
        <v>0.6481796140559789</v>
      </c>
    </row>
    <row r="16" spans="1:19" x14ac:dyDescent="0.25">
      <c r="A16" t="s">
        <v>75</v>
      </c>
      <c r="B16" s="5" t="s">
        <v>76</v>
      </c>
      <c r="C16" t="s">
        <v>77</v>
      </c>
      <c r="D16" s="8">
        <v>45562</v>
      </c>
      <c r="E16" s="2">
        <v>1E-35</v>
      </c>
      <c r="F16" s="1">
        <v>56</v>
      </c>
      <c r="G16" s="1">
        <f t="shared" si="0"/>
        <v>5.5999999999999999E-34</v>
      </c>
      <c r="H16" s="11">
        <v>0.08</v>
      </c>
      <c r="I16" s="11">
        <v>0.19</v>
      </c>
      <c r="J16" s="9">
        <f t="shared" si="1"/>
        <v>0.42105263157894735</v>
      </c>
      <c r="K16" s="9">
        <f t="shared" si="2"/>
        <v>4.6057983801435831E-2</v>
      </c>
      <c r="L16" s="12">
        <f t="shared" si="3"/>
        <v>60.480000000000004</v>
      </c>
      <c r="M16" s="12">
        <f t="shared" si="4"/>
        <v>50.450450450450454</v>
      </c>
      <c r="N16" s="12">
        <f t="shared" si="5"/>
        <v>4.480000000000004</v>
      </c>
      <c r="O16" s="12">
        <f t="shared" si="6"/>
        <v>-2.7747747747747731</v>
      </c>
      <c r="P16" s="15">
        <f t="shared" si="7"/>
        <v>1.7052252252252309</v>
      </c>
      <c r="Q16" s="12">
        <f t="shared" si="9"/>
        <v>36.632794382617845</v>
      </c>
      <c r="R16" s="9">
        <f t="shared" si="10"/>
        <v>2.7297944829305656E-2</v>
      </c>
      <c r="S16" s="9">
        <f t="shared" si="8"/>
        <v>0.8410465831102002</v>
      </c>
    </row>
    <row r="17" spans="1:19" x14ac:dyDescent="0.25">
      <c r="A17" t="s">
        <v>39</v>
      </c>
      <c r="B17" s="5" t="s">
        <v>57</v>
      </c>
      <c r="C17" t="s">
        <v>58</v>
      </c>
      <c r="D17" s="8">
        <v>45505</v>
      </c>
      <c r="E17" s="2">
        <v>1E-35</v>
      </c>
      <c r="F17" s="1">
        <v>82.17</v>
      </c>
      <c r="G17" s="1">
        <f t="shared" si="0"/>
        <v>8.2170000000000005E-34</v>
      </c>
      <c r="H17" s="11">
        <v>0.08</v>
      </c>
      <c r="I17" s="11">
        <v>0.19</v>
      </c>
      <c r="J17" s="9">
        <f t="shared" si="1"/>
        <v>0.42105263157894735</v>
      </c>
      <c r="K17" s="9">
        <f t="shared" si="2"/>
        <v>4.6057983801435831E-2</v>
      </c>
      <c r="L17" s="12">
        <f t="shared" si="3"/>
        <v>88.743600000000001</v>
      </c>
      <c r="M17" s="12">
        <f t="shared" si="4"/>
        <v>74.027027027027032</v>
      </c>
      <c r="N17" s="12">
        <f t="shared" si="5"/>
        <v>6.573599999999999</v>
      </c>
      <c r="O17" s="12">
        <f t="shared" si="6"/>
        <v>-4.071486486486485</v>
      </c>
      <c r="P17" s="15">
        <f t="shared" si="7"/>
        <v>2.502113513513514</v>
      </c>
      <c r="Q17" s="12">
        <f t="shared" si="9"/>
        <v>35.835906094329566</v>
      </c>
      <c r="R17" s="9">
        <f t="shared" si="10"/>
        <v>2.7904973223440644E-2</v>
      </c>
      <c r="S17" s="9">
        <f t="shared" si="8"/>
        <v>0.82275094983185515</v>
      </c>
    </row>
    <row r="18" spans="1:19" x14ac:dyDescent="0.25">
      <c r="A18" t="s">
        <v>37</v>
      </c>
      <c r="B18" s="3" t="s">
        <v>12</v>
      </c>
      <c r="C18" t="s">
        <v>13</v>
      </c>
      <c r="D18" s="8">
        <v>45574</v>
      </c>
      <c r="E18" s="2">
        <v>0.13370000000000001</v>
      </c>
      <c r="F18" s="1">
        <v>423.77</v>
      </c>
      <c r="G18" s="1">
        <f t="shared" si="0"/>
        <v>56.658049000000005</v>
      </c>
      <c r="H18" s="11">
        <v>7.0000000000000007E-2</v>
      </c>
      <c r="I18" s="11">
        <v>0.19</v>
      </c>
      <c r="J18" s="9">
        <f t="shared" si="1"/>
        <v>0.36842105263157898</v>
      </c>
      <c r="K18" s="9">
        <f t="shared" si="2"/>
        <v>4.0300735826256359E-2</v>
      </c>
      <c r="L18" s="12">
        <f t="shared" si="3"/>
        <v>453.43389999999999</v>
      </c>
      <c r="M18" s="12">
        <f t="shared" si="4"/>
        <v>378.36607142857144</v>
      </c>
      <c r="N18" s="12">
        <f t="shared" si="5"/>
        <v>29.663900000000012</v>
      </c>
      <c r="O18" s="12">
        <f t="shared" si="6"/>
        <v>-22.701964285714268</v>
      </c>
      <c r="P18" s="15">
        <f t="shared" si="7"/>
        <v>6.9619357142857439</v>
      </c>
      <c r="Q18" s="12">
        <f t="shared" si="9"/>
        <v>31.376083893557336</v>
      </c>
      <c r="R18" s="9">
        <f t="shared" si="10"/>
        <v>3.1871408917456927E-2</v>
      </c>
      <c r="S18" s="9">
        <f t="shared" si="8"/>
        <v>0.7203585911146535</v>
      </c>
    </row>
    <row r="19" spans="1:19" x14ac:dyDescent="0.25">
      <c r="A19" t="s">
        <v>78</v>
      </c>
      <c r="B19" s="5" t="s">
        <v>79</v>
      </c>
      <c r="C19" t="s">
        <v>80</v>
      </c>
      <c r="D19" s="8">
        <v>45580</v>
      </c>
      <c r="E19" s="2">
        <v>1E-35</v>
      </c>
      <c r="F19" s="1">
        <v>20.399999999999999</v>
      </c>
      <c r="G19" s="1">
        <f t="shared" si="0"/>
        <v>2.0399999999999999E-34</v>
      </c>
      <c r="H19" s="11">
        <v>0.05</v>
      </c>
      <c r="I19" s="11">
        <v>0.15</v>
      </c>
      <c r="J19" s="9">
        <f t="shared" si="1"/>
        <v>0.33333333333333337</v>
      </c>
      <c r="K19" s="9">
        <f t="shared" si="2"/>
        <v>3.6462570509470042E-2</v>
      </c>
      <c r="L19" s="12">
        <f t="shared" si="3"/>
        <v>21.419999999999998</v>
      </c>
      <c r="M19" s="12">
        <f t="shared" si="4"/>
        <v>18.545454545454547</v>
      </c>
      <c r="N19" s="12">
        <f t="shared" si="5"/>
        <v>1.0199999999999996</v>
      </c>
      <c r="O19" s="12">
        <f t="shared" si="6"/>
        <v>-0.92727272727272592</v>
      </c>
      <c r="P19" s="15">
        <f t="shared" si="7"/>
        <v>9.2727272727273657E-2</v>
      </c>
      <c r="Q19" s="12">
        <f t="shared" si="9"/>
        <v>38.245292335115806</v>
      </c>
      <c r="R19" s="9">
        <f t="shared" si="10"/>
        <v>2.6147008924333064E-2</v>
      </c>
      <c r="S19" s="9">
        <f t="shared" si="8"/>
        <v>0.87806767080161885</v>
      </c>
    </row>
    <row r="20" spans="1:19" x14ac:dyDescent="0.25">
      <c r="A20" t="s">
        <v>40</v>
      </c>
      <c r="B20" s="6" t="s">
        <v>61</v>
      </c>
      <c r="C20" t="s">
        <v>62</v>
      </c>
      <c r="D20" s="8">
        <v>45580</v>
      </c>
      <c r="E20" s="2">
        <v>0.18010000000000001</v>
      </c>
      <c r="F20" s="1">
        <v>133.19999999999999</v>
      </c>
      <c r="G20" s="1">
        <f t="shared" si="0"/>
        <v>23.989319999999999</v>
      </c>
      <c r="H20" s="11">
        <v>0.05</v>
      </c>
      <c r="I20" s="11">
        <v>0.16</v>
      </c>
      <c r="J20" s="9">
        <f t="shared" si="1"/>
        <v>0.3125</v>
      </c>
      <c r="K20" s="9">
        <f t="shared" si="2"/>
        <v>3.4183659852628161E-2</v>
      </c>
      <c r="L20" s="12">
        <f t="shared" si="3"/>
        <v>139.85999999999999</v>
      </c>
      <c r="M20" s="12">
        <f t="shared" si="4"/>
        <v>120</v>
      </c>
      <c r="N20" s="12">
        <f t="shared" si="5"/>
        <v>6.6599999999999966</v>
      </c>
      <c r="O20" s="12">
        <f t="shared" si="6"/>
        <v>-6.5999999999999943</v>
      </c>
      <c r="P20" s="15">
        <f t="shared" si="7"/>
        <v>6.0000000000002274E-2</v>
      </c>
      <c r="Q20" s="12">
        <f t="shared" si="9"/>
        <v>38.278019607843078</v>
      </c>
      <c r="R20" s="9">
        <f t="shared" si="10"/>
        <v>2.6124653528185725E-2</v>
      </c>
      <c r="S20" s="9">
        <f t="shared" si="8"/>
        <v>0.87881905112533354</v>
      </c>
    </row>
    <row r="21" spans="1:19" x14ac:dyDescent="0.25">
      <c r="A21" t="s">
        <v>39</v>
      </c>
      <c r="B21" s="5" t="s">
        <v>16</v>
      </c>
      <c r="C21" t="s">
        <v>17</v>
      </c>
      <c r="D21" s="8">
        <v>45460</v>
      </c>
      <c r="E21" s="2">
        <v>0.1807</v>
      </c>
      <c r="F21" s="1">
        <v>165.59</v>
      </c>
      <c r="G21" s="1">
        <f t="shared" si="0"/>
        <v>29.922113</v>
      </c>
      <c r="H21" s="11">
        <v>0.06</v>
      </c>
      <c r="I21" s="11">
        <v>0.21</v>
      </c>
      <c r="J21" s="9">
        <f t="shared" si="1"/>
        <v>0.2857142857142857</v>
      </c>
      <c r="K21" s="9">
        <f t="shared" si="2"/>
        <v>3.1253631865260027E-2</v>
      </c>
      <c r="L21" s="12">
        <f t="shared" si="3"/>
        <v>175.52540000000002</v>
      </c>
      <c r="M21" s="12">
        <f t="shared" si="4"/>
        <v>143.99130434782609</v>
      </c>
      <c r="N21" s="12">
        <f t="shared" si="5"/>
        <v>9.9354000000000156</v>
      </c>
      <c r="O21" s="12">
        <f t="shared" si="6"/>
        <v>-10.799347826086958</v>
      </c>
      <c r="P21" s="15">
        <f t="shared" si="7"/>
        <v>-0.86394782608694243</v>
      </c>
      <c r="Q21" s="12">
        <f t="shared" si="9"/>
        <v>39.201967433930022</v>
      </c>
      <c r="R21" s="9">
        <f t="shared" si="10"/>
        <v>2.5508923797903104E-2</v>
      </c>
      <c r="S21" s="9">
        <f t="shared" si="8"/>
        <v>0.90003182441219065</v>
      </c>
    </row>
    <row r="22" spans="1:19" x14ac:dyDescent="0.25">
      <c r="A22" t="s">
        <v>39</v>
      </c>
      <c r="B22" s="5" t="s">
        <v>7</v>
      </c>
      <c r="C22" t="s">
        <v>6</v>
      </c>
      <c r="D22" s="8">
        <v>45553</v>
      </c>
      <c r="E22" s="2">
        <v>1.0751999999999999</v>
      </c>
      <c r="F22" s="1">
        <v>51.15</v>
      </c>
      <c r="G22" s="1">
        <f t="shared" si="0"/>
        <v>54.996479999999998</v>
      </c>
      <c r="H22" s="11">
        <v>7.1999999999999995E-2</v>
      </c>
      <c r="I22" s="11">
        <v>0.251</v>
      </c>
      <c r="J22" s="9">
        <f t="shared" si="1"/>
        <v>0.28685258964143423</v>
      </c>
      <c r="K22" s="9">
        <f t="shared" si="2"/>
        <v>3.1378148326874612E-2</v>
      </c>
      <c r="L22" s="12">
        <f t="shared" si="3"/>
        <v>54.832799999999999</v>
      </c>
      <c r="M22" s="12">
        <f t="shared" si="4"/>
        <v>43.384223918575067</v>
      </c>
      <c r="N22" s="12">
        <f t="shared" si="5"/>
        <v>3.6828000000000003</v>
      </c>
      <c r="O22" s="12">
        <f t="shared" si="6"/>
        <v>-3.8828880407124657</v>
      </c>
      <c r="P22" s="15">
        <f t="shared" si="7"/>
        <v>-0.20008804071246544</v>
      </c>
      <c r="Q22" s="12">
        <f t="shared" si="9"/>
        <v>38.538107648555545</v>
      </c>
      <c r="R22" s="9">
        <f t="shared" si="10"/>
        <v>2.5948342070124485E-2</v>
      </c>
      <c r="S22" s="9">
        <f t="shared" si="8"/>
        <v>0.88479037167664931</v>
      </c>
    </row>
    <row r="23" spans="1:19" x14ac:dyDescent="0.25">
      <c r="A23" t="s">
        <v>39</v>
      </c>
      <c r="B23" s="5" t="s">
        <v>20</v>
      </c>
      <c r="C23" t="s">
        <v>21</v>
      </c>
      <c r="D23" s="8">
        <v>45544</v>
      </c>
      <c r="E23" s="2">
        <v>0.24390000000000001</v>
      </c>
      <c r="F23" s="1">
        <v>144.28</v>
      </c>
      <c r="G23" s="1">
        <f t="shared" si="0"/>
        <v>35.189892</v>
      </c>
      <c r="H23" s="11">
        <v>0.06</v>
      </c>
      <c r="I23" s="11">
        <v>0.21</v>
      </c>
      <c r="J23" s="9">
        <f t="shared" si="1"/>
        <v>0.2857142857142857</v>
      </c>
      <c r="K23" s="9">
        <f t="shared" si="2"/>
        <v>3.1253631865260027E-2</v>
      </c>
      <c r="L23" s="12">
        <f t="shared" si="3"/>
        <v>152.93680000000001</v>
      </c>
      <c r="M23" s="12">
        <f t="shared" si="4"/>
        <v>125.46086956521741</v>
      </c>
      <c r="N23" s="12">
        <f t="shared" si="5"/>
        <v>8.656800000000004</v>
      </c>
      <c r="O23" s="12">
        <f t="shared" si="6"/>
        <v>-9.4095652173912967</v>
      </c>
      <c r="P23" s="15">
        <f t="shared" si="7"/>
        <v>-0.75276521739129265</v>
      </c>
      <c r="Q23" s="12">
        <f t="shared" si="9"/>
        <v>39.090784825234373</v>
      </c>
      <c r="R23" s="9">
        <f t="shared" si="10"/>
        <v>2.5581476669521035E-2</v>
      </c>
      <c r="S23" s="9">
        <f t="shared" si="8"/>
        <v>0.89747920032984307</v>
      </c>
    </row>
    <row r="24" spans="1:19" x14ac:dyDescent="0.25">
      <c r="A24" t="s">
        <v>37</v>
      </c>
      <c r="B24" s="3" t="s">
        <v>11</v>
      </c>
      <c r="C24" t="s">
        <v>10</v>
      </c>
      <c r="D24" s="8">
        <v>45544</v>
      </c>
      <c r="E24" s="2">
        <v>0.1928</v>
      </c>
      <c r="F24" s="1">
        <v>188.12</v>
      </c>
      <c r="G24" s="1">
        <f t="shared" si="0"/>
        <v>36.269536000000002</v>
      </c>
      <c r="H24" s="11">
        <v>0.1</v>
      </c>
      <c r="I24" s="11">
        <v>0.37</v>
      </c>
      <c r="J24" s="9">
        <f t="shared" si="1"/>
        <v>0.27027027027027029</v>
      </c>
      <c r="K24" s="9">
        <f t="shared" si="2"/>
        <v>2.956424635902976E-2</v>
      </c>
      <c r="L24" s="12">
        <f t="shared" si="3"/>
        <v>206.93200000000002</v>
      </c>
      <c r="M24" s="12">
        <f t="shared" si="4"/>
        <v>148.1259842519685</v>
      </c>
      <c r="N24" s="12">
        <f t="shared" si="5"/>
        <v>18.812000000000012</v>
      </c>
      <c r="O24" s="12">
        <f t="shared" si="6"/>
        <v>-19.99700787401575</v>
      </c>
      <c r="P24" s="15">
        <f t="shared" si="7"/>
        <v>-1.1850078740157386</v>
      </c>
      <c r="Q24" s="12">
        <f t="shared" si="9"/>
        <v>39.523027481858819</v>
      </c>
      <c r="R24" s="9">
        <f t="shared" si="10"/>
        <v>2.5301705454092625E-2</v>
      </c>
      <c r="S24" s="9">
        <f t="shared" si="8"/>
        <v>0.90740299171827632</v>
      </c>
    </row>
    <row r="25" spans="1:19" x14ac:dyDescent="0.25">
      <c r="A25" t="s">
        <v>37</v>
      </c>
      <c r="B25" s="3" t="s">
        <v>19</v>
      </c>
      <c r="C25" t="s">
        <v>18</v>
      </c>
      <c r="D25" s="8">
        <v>45483</v>
      </c>
      <c r="E25" s="2">
        <v>9.9999999999999997E-29</v>
      </c>
      <c r="F25" s="1">
        <v>174.26</v>
      </c>
      <c r="G25" s="1">
        <f t="shared" si="0"/>
        <v>1.7425999999999999E-26</v>
      </c>
      <c r="H25" s="11">
        <v>7.0000000000000007E-2</v>
      </c>
      <c r="I25" s="11">
        <v>0.26</v>
      </c>
      <c r="J25" s="9">
        <f t="shared" si="1"/>
        <v>0.26923076923076927</v>
      </c>
      <c r="K25" s="9">
        <f t="shared" si="2"/>
        <v>2.945053771918734E-2</v>
      </c>
      <c r="L25" s="12">
        <f t="shared" si="3"/>
        <v>186.45820000000001</v>
      </c>
      <c r="M25" s="12">
        <f t="shared" si="4"/>
        <v>146.43697478991598</v>
      </c>
      <c r="N25" s="12">
        <f t="shared" si="5"/>
        <v>12.198200000000014</v>
      </c>
      <c r="O25" s="12">
        <f t="shared" si="6"/>
        <v>-13.911512605042006</v>
      </c>
      <c r="P25" s="15">
        <f t="shared" si="7"/>
        <v>-1.7133126050419918</v>
      </c>
      <c r="Q25" s="12">
        <f t="shared" si="9"/>
        <v>40.051332212885072</v>
      </c>
      <c r="R25" s="9">
        <f t="shared" si="10"/>
        <v>2.4967958485992287E-2</v>
      </c>
      <c r="S25" s="9">
        <f t="shared" si="8"/>
        <v>0.91953225721273213</v>
      </c>
    </row>
    <row r="26" spans="1:19" x14ac:dyDescent="0.25">
      <c r="A26" t="s">
        <v>37</v>
      </c>
      <c r="B26" s="3" t="s">
        <v>30</v>
      </c>
      <c r="C26" t="s">
        <v>31</v>
      </c>
      <c r="D26" s="8">
        <v>45481</v>
      </c>
      <c r="E26" s="2">
        <v>1E-22</v>
      </c>
      <c r="F26" s="1">
        <v>246</v>
      </c>
      <c r="G26" s="1">
        <f t="shared" si="0"/>
        <v>2.4600000000000001E-20</v>
      </c>
      <c r="H26" s="11">
        <v>0.1</v>
      </c>
      <c r="I26" s="11">
        <v>0.42</v>
      </c>
      <c r="J26" s="9">
        <f t="shared" si="1"/>
        <v>0.23809523809523811</v>
      </c>
      <c r="K26" s="9">
        <f t="shared" si="2"/>
        <v>2.6044693221050026E-2</v>
      </c>
      <c r="L26" s="12">
        <f t="shared" si="3"/>
        <v>270.60000000000002</v>
      </c>
      <c r="M26" s="12">
        <f t="shared" si="4"/>
        <v>186.36363636363637</v>
      </c>
      <c r="N26" s="12">
        <f t="shared" si="5"/>
        <v>24.600000000000023</v>
      </c>
      <c r="O26" s="12">
        <f t="shared" si="6"/>
        <v>-29.818181818181813</v>
      </c>
      <c r="P26" s="15">
        <f t="shared" si="7"/>
        <v>-5.2181818181817903</v>
      </c>
      <c r="Q26" s="12">
        <f t="shared" si="9"/>
        <v>43.55620142602487</v>
      </c>
      <c r="R26" s="9">
        <f t="shared" si="10"/>
        <v>2.2958843224618275E-2</v>
      </c>
      <c r="S26" s="9">
        <f t="shared" si="8"/>
        <v>1</v>
      </c>
    </row>
    <row r="27" spans="1:19" x14ac:dyDescent="0.25">
      <c r="A27" t="s">
        <v>40</v>
      </c>
      <c r="B27" s="6" t="s">
        <v>34</v>
      </c>
      <c r="C27" t="s">
        <v>35</v>
      </c>
      <c r="D27" s="8">
        <v>45562</v>
      </c>
      <c r="E27" s="2">
        <v>4.0300000000000002E-2</v>
      </c>
      <c r="F27" s="1">
        <v>668.82</v>
      </c>
      <c r="G27" s="1">
        <f t="shared" si="0"/>
        <v>26.953446000000003</v>
      </c>
      <c r="H27" s="11">
        <v>0.08</v>
      </c>
      <c r="I27" s="11">
        <v>0.28000000000000003</v>
      </c>
      <c r="J27" s="9">
        <f t="shared" si="1"/>
        <v>0.2857142857142857</v>
      </c>
      <c r="K27" s="9">
        <f t="shared" si="2"/>
        <v>3.1253631865260027E-2</v>
      </c>
      <c r="L27" s="12">
        <f t="shared" si="3"/>
        <v>722.32560000000012</v>
      </c>
      <c r="M27" s="12">
        <f t="shared" si="4"/>
        <v>557.35</v>
      </c>
      <c r="N27" s="12">
        <f t="shared" si="5"/>
        <v>53.505600000000072</v>
      </c>
      <c r="O27" s="12">
        <f t="shared" si="6"/>
        <v>-55.735000000000014</v>
      </c>
      <c r="P27" s="15">
        <f t="shared" si="7"/>
        <v>-2.2293999999999414</v>
      </c>
      <c r="Q27" s="12">
        <f t="shared" si="9"/>
        <v>40.567419607843021</v>
      </c>
      <c r="R27" s="9">
        <f t="shared" si="10"/>
        <v>2.4650323083567953E-2</v>
      </c>
      <c r="S27" s="9">
        <f t="shared" si="8"/>
        <v>0.93138102680377333</v>
      </c>
    </row>
    <row r="28" spans="1:19" x14ac:dyDescent="0.25">
      <c r="A28" t="s">
        <v>41</v>
      </c>
      <c r="B28" s="7" t="s">
        <v>52</v>
      </c>
      <c r="C28" s="14" t="s">
        <v>51</v>
      </c>
      <c r="D28" s="8">
        <v>45511</v>
      </c>
      <c r="E28" s="2">
        <v>1</v>
      </c>
      <c r="F28" s="1">
        <v>10.4</v>
      </c>
      <c r="G28" s="1">
        <f t="shared" si="0"/>
        <v>10.4</v>
      </c>
      <c r="H28" s="11">
        <v>0.2</v>
      </c>
      <c r="I28" s="13">
        <v>1.7672000000000001</v>
      </c>
      <c r="J28" s="9">
        <f t="shared" si="1"/>
        <v>0.11317338162064282</v>
      </c>
      <c r="K28" s="9">
        <f t="shared" si="2"/>
        <v>1.2379777221413547E-2</v>
      </c>
      <c r="L28" s="12">
        <f t="shared" si="3"/>
        <v>12.48</v>
      </c>
      <c r="M28" s="12">
        <f t="shared" si="4"/>
        <v>4.0511062636335309</v>
      </c>
      <c r="N28" s="12">
        <f t="shared" si="5"/>
        <v>2.08</v>
      </c>
      <c r="O28" s="12">
        <f t="shared" si="6"/>
        <v>-3.1744468681832347</v>
      </c>
      <c r="P28" s="15">
        <f t="shared" si="7"/>
        <v>-1.0944468681832347</v>
      </c>
      <c r="Q28" s="12">
        <f t="shared" si="9"/>
        <v>39.432466476026313</v>
      </c>
      <c r="R28" s="9">
        <f t="shared" si="10"/>
        <v>2.5359813609629724E-2</v>
      </c>
      <c r="S28" s="9">
        <f t="shared" si="8"/>
        <v>0.90532381578310406</v>
      </c>
    </row>
    <row r="29" spans="1:19" x14ac:dyDescent="0.25">
      <c r="A29" t="s">
        <v>37</v>
      </c>
      <c r="B29" s="3" t="s">
        <v>63</v>
      </c>
      <c r="C29" t="s">
        <v>63</v>
      </c>
      <c r="D29" s="8">
        <v>45481</v>
      </c>
      <c r="E29" s="2">
        <v>2.8500000000000001E-2</v>
      </c>
      <c r="F29" s="1">
        <v>700.32</v>
      </c>
      <c r="G29" s="1">
        <f t="shared" si="0"/>
        <v>19.959120000000002</v>
      </c>
      <c r="H29" s="11">
        <v>0.127</v>
      </c>
      <c r="I29" s="11">
        <v>0.44</v>
      </c>
      <c r="J29" s="9">
        <f t="shared" si="1"/>
        <v>0.28863636363636364</v>
      </c>
      <c r="K29" s="9">
        <f t="shared" si="2"/>
        <v>3.1573271282063824E-2</v>
      </c>
      <c r="L29" s="12">
        <f t="shared" si="3"/>
        <v>789.26064000000008</v>
      </c>
      <c r="M29" s="12">
        <f t="shared" si="4"/>
        <v>533.37395277989344</v>
      </c>
      <c r="N29" s="12">
        <f t="shared" si="5"/>
        <v>88.94064000000003</v>
      </c>
      <c r="O29" s="12">
        <f t="shared" si="6"/>
        <v>-83.473023610053303</v>
      </c>
      <c r="P29" s="15">
        <f t="shared" si="7"/>
        <v>5.4676163899467269</v>
      </c>
      <c r="Q29" s="12">
        <f t="shared" si="9"/>
        <v>32.870403217896353</v>
      </c>
      <c r="R29" s="9">
        <f t="shared" si="10"/>
        <v>3.0422504809905958E-2</v>
      </c>
      <c r="S29" s="9">
        <f t="shared" si="8"/>
        <v>0.7546664342096705</v>
      </c>
    </row>
    <row r="30" spans="1:19" x14ac:dyDescent="0.25">
      <c r="A30" t="s">
        <v>41</v>
      </c>
      <c r="B30" s="7" t="s">
        <v>50</v>
      </c>
      <c r="C30" s="14" t="s">
        <v>49</v>
      </c>
      <c r="D30" s="8">
        <v>45511</v>
      </c>
      <c r="E30" s="2">
        <v>1E-22</v>
      </c>
      <c r="F30" s="1">
        <v>29.94</v>
      </c>
      <c r="G30" s="1">
        <f t="shared" si="0"/>
        <v>2.9940000000000003E-21</v>
      </c>
      <c r="H30" s="13">
        <v>7.4999999999999997E-2</v>
      </c>
      <c r="I30" s="11">
        <v>0.72</v>
      </c>
      <c r="J30" s="9">
        <f t="shared" si="1"/>
        <v>0.10416666666666667</v>
      </c>
      <c r="K30" s="9">
        <f t="shared" si="2"/>
        <v>1.1394553284209387E-2</v>
      </c>
      <c r="L30" s="12">
        <f t="shared" si="3"/>
        <v>32.185499999999998</v>
      </c>
      <c r="M30" s="12">
        <f t="shared" si="4"/>
        <v>18.200607902735563</v>
      </c>
      <c r="N30" s="12">
        <f t="shared" si="5"/>
        <v>2.2454999999999963</v>
      </c>
      <c r="O30" s="12">
        <f t="shared" si="6"/>
        <v>-5.8696960486322194</v>
      </c>
      <c r="P30" s="15">
        <f t="shared" si="7"/>
        <v>-3.6241960486322231</v>
      </c>
      <c r="Q30" s="12">
        <f t="shared" si="9"/>
        <v>41.962215656475301</v>
      </c>
      <c r="R30" s="9">
        <f t="shared" si="10"/>
        <v>2.3830962792492281E-2</v>
      </c>
      <c r="S30" s="9">
        <f t="shared" si="8"/>
        <v>0.96340393061463891</v>
      </c>
    </row>
    <row r="31" spans="1:19" x14ac:dyDescent="0.25">
      <c r="A31" t="s">
        <v>78</v>
      </c>
      <c r="B31" s="7" t="s">
        <v>81</v>
      </c>
      <c r="C31" t="s">
        <v>82</v>
      </c>
      <c r="D31" s="8">
        <v>45574</v>
      </c>
      <c r="E31" s="2">
        <v>0.13370000000000001</v>
      </c>
      <c r="F31" s="1">
        <v>153.7552</v>
      </c>
      <c r="G31" s="1">
        <f t="shared" si="0"/>
        <v>20.557070240000002</v>
      </c>
      <c r="H31" s="11">
        <v>7.0000000000000007E-2</v>
      </c>
      <c r="I31" s="11">
        <v>0.19</v>
      </c>
      <c r="J31" s="9">
        <f t="shared" si="1"/>
        <v>0.36842105263157898</v>
      </c>
      <c r="K31" s="9">
        <f t="shared" si="2"/>
        <v>4.0300735826256359E-2</v>
      </c>
      <c r="L31" s="12">
        <f t="shared" si="3"/>
        <v>164.51806400000001</v>
      </c>
      <c r="M31" s="12">
        <f t="shared" si="4"/>
        <v>137.28142857142859</v>
      </c>
      <c r="N31" s="12">
        <f t="shared" si="5"/>
        <v>10.762864000000008</v>
      </c>
      <c r="O31" s="12">
        <f t="shared" si="6"/>
        <v>-8.2368857142857053</v>
      </c>
      <c r="P31" s="15">
        <f t="shared" si="7"/>
        <v>2.5259782857143023</v>
      </c>
      <c r="Q31" s="12">
        <f t="shared" si="9"/>
        <v>35.812041322128778</v>
      </c>
      <c r="R31" s="9">
        <f t="shared" si="10"/>
        <v>2.7923568807625761E-2</v>
      </c>
      <c r="S31" s="9">
        <f t="shared" si="8"/>
        <v>0.82220304226830598</v>
      </c>
    </row>
    <row r="32" spans="1:19" x14ac:dyDescent="0.25">
      <c r="A32" t="s">
        <v>78</v>
      </c>
      <c r="B32" s="7" t="s">
        <v>83</v>
      </c>
      <c r="C32" s="14" t="s">
        <v>84</v>
      </c>
      <c r="D32" s="8">
        <f ca="1">TODAY()-20</f>
        <v>45594</v>
      </c>
      <c r="E32" s="2">
        <v>1E-35</v>
      </c>
      <c r="F32" s="1">
        <v>2742.9</v>
      </c>
      <c r="G32" s="1">
        <f t="shared" ref="G32" si="11">E32*F32</f>
        <v>2.7429E-32</v>
      </c>
      <c r="H32" s="11">
        <v>0.1</v>
      </c>
      <c r="I32" s="11">
        <v>0.5</v>
      </c>
      <c r="J32" s="9">
        <f t="shared" ref="J32" si="12">IFERROR(H32/I32,"")</f>
        <v>0.2</v>
      </c>
      <c r="K32" s="9">
        <f t="shared" si="2"/>
        <v>2.1877542305682025E-2</v>
      </c>
      <c r="L32" s="12">
        <f t="shared" ref="L32" si="13">F32/(1-(F32*(1+H32)-F32)/(F32*(1+H32)))</f>
        <v>3017.1900000000005</v>
      </c>
      <c r="M32" s="12">
        <f t="shared" ref="M32" si="14">F32/(1+I32-H32)</f>
        <v>1959.214285714286</v>
      </c>
      <c r="N32" s="12">
        <f t="shared" ref="N32" si="15">L32-F32</f>
        <v>274.29000000000042</v>
      </c>
      <c r="O32" s="12">
        <f t="shared" ref="O32" si="16">0.5*(M32-F32)</f>
        <v>-391.84285714285704</v>
      </c>
      <c r="P32" s="15">
        <f t="shared" ref="P32" si="17">N32+O32</f>
        <v>-117.55285714285662</v>
      </c>
      <c r="Q32" s="12">
        <f t="shared" si="9"/>
        <v>155.8908767506997</v>
      </c>
      <c r="R32" s="9">
        <f t="shared" si="10"/>
        <v>6.4147435747583708E-3</v>
      </c>
      <c r="S32" s="9">
        <f t="shared" si="8"/>
        <v>3.5790741994676045</v>
      </c>
    </row>
  </sheetData>
  <autoFilter ref="A1:S32" xr:uid="{00000000-0001-0000-0000-000000000000}">
    <sortState xmlns:xlrd2="http://schemas.microsoft.com/office/spreadsheetml/2017/richdata2" ref="A2:S30">
      <sortCondition descending="1" ref="K1:K29"/>
    </sortState>
  </autoFilter>
  <conditionalFormatting sqref="R2:R32">
    <cfRule type="iconSet" priority="1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5" id="{2048185B-3E19-4351-A3A9-6DB74B32B9C2}">
            <x14:iconSet iconSet="5Arrows" custom="1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  <x14:cfIcon iconSet="3Arrows" iconId="2"/>
              <x14:cfIcon iconSet="4Arrows" iconId="2"/>
              <x14:cfIcon iconSet="3Arrows" iconId="1"/>
              <x14:cfIcon iconSet="4Arrows" iconId="1"/>
              <x14:cfIcon iconSet="3Arrows" iconId="0"/>
            </x14:iconSet>
          </x14:cfRule>
          <xm:sqref>S2:S32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BB01-2590-4471-B7D1-AC4B730D30F2}">
  <dimension ref="A1"/>
  <sheetViews>
    <sheetView workbookViewId="0">
      <selection activeCell="S15" sqref="S15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Positions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walton</dc:creator>
  <cp:lastModifiedBy>samuel walton</cp:lastModifiedBy>
  <dcterms:created xsi:type="dcterms:W3CDTF">2015-06-05T18:17:20Z</dcterms:created>
  <dcterms:modified xsi:type="dcterms:W3CDTF">2024-11-19T04:26:49Z</dcterms:modified>
</cp:coreProperties>
</file>