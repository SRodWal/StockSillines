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rofessional_WorkTools\Github\StockSillines\"/>
    </mc:Choice>
  </mc:AlternateContent>
  <xr:revisionPtr revIDLastSave="0" documentId="13_ncr:20001_{9B9EA0C3-9703-4597-B0D3-DA8C482DC2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itions" sheetId="1" r:id="rId1"/>
    <sheet name="Sheet2" sheetId="3" r:id="rId2"/>
    <sheet name="Sheet1" sheetId="4" r:id="rId3"/>
  </sheets>
  <definedNames>
    <definedName name="_xlnm._FilterDatabase" localSheetId="0" hidden="1">Positions!$A$1:$X$47</definedName>
  </definedNames>
  <calcPr calcId="191029"/>
  <pivotCaches>
    <pivotCache cacheId="39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2" i="1"/>
  <c r="F3" i="1"/>
  <c r="O2" i="1" a="1"/>
  <c r="O46" i="1" a="1"/>
  <c r="O39" i="1" a="1"/>
  <c r="O27" i="1" a="1"/>
  <c r="O12" i="1" a="1"/>
  <c r="O26" i="1" a="1"/>
  <c r="O36" i="1" a="1"/>
  <c r="O35" i="1" a="1"/>
  <c r="O45" i="1" a="1"/>
  <c r="O33" i="1" a="1"/>
  <c r="O21" i="1" a="1"/>
  <c r="O20" i="1" a="1"/>
  <c r="O18" i="1" a="1"/>
  <c r="O29" i="1" a="1"/>
  <c r="O34" i="1" a="1"/>
  <c r="O38" i="1" a="1"/>
  <c r="O15" i="1" a="1"/>
  <c r="O8" i="1" a="1"/>
  <c r="O44" i="1" a="1"/>
  <c r="O32" i="1" a="1"/>
  <c r="O30" i="1" a="1"/>
  <c r="O17" i="1" a="1"/>
  <c r="O22" i="1" a="1"/>
  <c r="O31" i="1" a="1"/>
  <c r="O24" i="1" a="1"/>
  <c r="O23" i="1" a="1"/>
  <c r="O16" i="1" a="1"/>
  <c r="O43" i="1" a="1"/>
  <c r="O37" i="1" a="1"/>
  <c r="O25" i="1" a="1"/>
  <c r="O19" i="1" a="1"/>
  <c r="O14" i="1" a="1"/>
  <c r="O42" i="1" a="1"/>
  <c r="O41" i="1" a="1"/>
  <c r="O28" i="1" a="1"/>
  <c r="O13" i="1" a="1"/>
  <c r="O40" i="1" a="1"/>
  <c r="O7" i="1" a="1"/>
  <c r="O10" i="1" a="1"/>
  <c r="O9" i="1" a="1"/>
  <c r="O4" i="1" a="1"/>
  <c r="O6" i="1" a="1"/>
  <c r="O2" i="1" l="1"/>
  <c r="O46" i="1"/>
  <c r="O40" i="1"/>
  <c r="O13" i="1"/>
  <c r="O28" i="1"/>
  <c r="O41" i="1"/>
  <c r="O42" i="1"/>
  <c r="O14" i="1"/>
  <c r="O19" i="1"/>
  <c r="O25" i="1"/>
  <c r="O37" i="1"/>
  <c r="O43" i="1"/>
  <c r="O16" i="1"/>
  <c r="O23" i="1"/>
  <c r="O24" i="1"/>
  <c r="O31" i="1"/>
  <c r="O22" i="1"/>
  <c r="O17" i="1"/>
  <c r="O30" i="1"/>
  <c r="O32" i="1"/>
  <c r="O44" i="1"/>
  <c r="O8" i="1"/>
  <c r="O15" i="1"/>
  <c r="O38" i="1"/>
  <c r="O34" i="1"/>
  <c r="O29" i="1"/>
  <c r="O18" i="1"/>
  <c r="O20" i="1"/>
  <c r="O21" i="1"/>
  <c r="O33" i="1"/>
  <c r="O45" i="1"/>
  <c r="O35" i="1"/>
  <c r="O36" i="1"/>
  <c r="O26" i="1"/>
  <c r="O12" i="1"/>
  <c r="O27" i="1"/>
  <c r="O39" i="1"/>
  <c r="O6" i="1"/>
  <c r="O4" i="1"/>
  <c r="O9" i="1"/>
  <c r="O10" i="1"/>
  <c r="O7" i="1"/>
  <c r="AJ10" i="4" l="1"/>
  <c r="AJ9" i="4"/>
  <c r="AJ8" i="4"/>
  <c r="AJ7" i="4"/>
  <c r="AE16" i="4"/>
  <c r="AE15" i="4"/>
  <c r="AE14" i="4"/>
  <c r="AE13" i="4"/>
  <c r="AE12" i="4"/>
  <c r="AE11" i="4"/>
  <c r="AE10" i="4"/>
  <c r="AE9" i="4"/>
  <c r="AE8" i="4"/>
  <c r="AE7" i="4"/>
  <c r="AN14" i="3"/>
  <c r="Z7" i="4"/>
  <c r="Z8" i="4"/>
  <c r="Z9" i="4"/>
  <c r="Z10" i="4"/>
  <c r="Z11" i="4"/>
  <c r="Z12" i="4"/>
  <c r="Z13" i="4"/>
  <c r="Z14" i="4"/>
  <c r="Z6" i="4"/>
  <c r="P2" i="1" l="1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6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7" i="4"/>
  <c r="P6" i="4"/>
  <c r="AG14" i="3"/>
  <c r="R9" i="1"/>
  <c r="T9" i="1" s="1"/>
  <c r="M9" i="1"/>
  <c r="N9" i="1" s="1"/>
  <c r="J9" i="1"/>
  <c r="G9" i="1"/>
  <c r="J7" i="4"/>
  <c r="J8" i="4"/>
  <c r="J9" i="4"/>
  <c r="J10" i="4"/>
  <c r="J11" i="4"/>
  <c r="J12" i="4"/>
  <c r="J13" i="4"/>
  <c r="J14" i="4"/>
  <c r="J15" i="4"/>
  <c r="J16" i="4"/>
  <c r="J6" i="4"/>
  <c r="E7" i="4"/>
  <c r="E8" i="4"/>
  <c r="E9" i="4"/>
  <c r="E10" i="4"/>
  <c r="E11" i="4"/>
  <c r="E12" i="4"/>
  <c r="E13" i="4"/>
  <c r="E14" i="4"/>
  <c r="E15" i="4"/>
  <c r="E16" i="4"/>
  <c r="E6" i="4"/>
  <c r="P40" i="1" l="1"/>
  <c r="P27" i="1"/>
  <c r="P30" i="1"/>
  <c r="P6" i="1"/>
  <c r="P36" i="1"/>
  <c r="P31" i="1"/>
  <c r="P43" i="1"/>
  <c r="P45" i="1"/>
  <c r="P37" i="1"/>
  <c r="P12" i="1"/>
  <c r="P46" i="1"/>
  <c r="P16" i="1"/>
  <c r="P35" i="1"/>
  <c r="P44" i="1"/>
  <c r="P9" i="1"/>
  <c r="Q9" i="1" s="1"/>
  <c r="P33" i="1"/>
  <c r="P14" i="1"/>
  <c r="P22" i="1"/>
  <c r="P39" i="1"/>
  <c r="P42" i="1"/>
  <c r="P18" i="1"/>
  <c r="P20" i="1"/>
  <c r="P13" i="1"/>
  <c r="P29" i="1"/>
  <c r="P23" i="1"/>
  <c r="P19" i="1"/>
  <c r="P41" i="1"/>
  <c r="P21" i="1"/>
  <c r="P32" i="1"/>
  <c r="P25" i="1"/>
  <c r="P8" i="1"/>
  <c r="P34" i="1"/>
  <c r="P10" i="1"/>
  <c r="P15" i="1"/>
  <c r="P7" i="1"/>
  <c r="P17" i="1"/>
  <c r="P11" i="1"/>
  <c r="P4" i="1"/>
  <c r="P5" i="1"/>
  <c r="P24" i="1"/>
  <c r="P38" i="1"/>
  <c r="P26" i="1"/>
  <c r="S9" i="1"/>
  <c r="U9" i="1" s="1"/>
  <c r="R11" i="1" l="1"/>
  <c r="T11" i="1" s="1"/>
  <c r="M11" i="1"/>
  <c r="J11" i="1"/>
  <c r="G11" i="1"/>
  <c r="Q11" i="1" s="1"/>
  <c r="R10" i="1"/>
  <c r="T10" i="1" s="1"/>
  <c r="M10" i="1"/>
  <c r="S10" i="1" s="1"/>
  <c r="U10" i="1" s="1"/>
  <c r="J10" i="1"/>
  <c r="G10" i="1"/>
  <c r="Q10" i="1" s="1"/>
  <c r="R4" i="1"/>
  <c r="T4" i="1" s="1"/>
  <c r="M4" i="1"/>
  <c r="S4" i="1" s="1"/>
  <c r="J4" i="1"/>
  <c r="G4" i="1"/>
  <c r="Q4" i="1" s="1"/>
  <c r="R3" i="1"/>
  <c r="T3" i="1" s="1"/>
  <c r="M3" i="1"/>
  <c r="S3" i="1" s="1"/>
  <c r="J3" i="1"/>
  <c r="G3" i="1"/>
  <c r="S11" i="1" l="1"/>
  <c r="N11" i="1"/>
  <c r="P3" i="1"/>
  <c r="Q3" i="1" s="1"/>
  <c r="U3" i="1"/>
  <c r="U4" i="1"/>
  <c r="U11" i="1"/>
  <c r="N10" i="1"/>
  <c r="N4" i="1"/>
  <c r="N3" i="1"/>
  <c r="P13" i="3"/>
  <c r="Z13" i="3" l="1"/>
  <c r="N2" i="1"/>
  <c r="N40" i="1"/>
  <c r="R8" i="1"/>
  <c r="T8" i="1" s="1"/>
  <c r="M8" i="1"/>
  <c r="S8" i="1" s="1"/>
  <c r="J8" i="1"/>
  <c r="G8" i="1"/>
  <c r="Q8" i="1" s="1"/>
  <c r="H2" i="1"/>
  <c r="R2" i="1" s="1"/>
  <c r="T2" i="1" s="1"/>
  <c r="R46" i="1"/>
  <c r="T46" i="1" s="1"/>
  <c r="M46" i="1"/>
  <c r="S46" i="1" s="1"/>
  <c r="J46" i="1"/>
  <c r="G46" i="1"/>
  <c r="Q46" i="1" s="1"/>
  <c r="R5" i="1"/>
  <c r="T5" i="1" s="1"/>
  <c r="M5" i="1"/>
  <c r="S5" i="1" s="1"/>
  <c r="J5" i="1"/>
  <c r="G5" i="1"/>
  <c r="Q5" i="1" s="1"/>
  <c r="R18" i="1"/>
  <c r="T18" i="1" s="1"/>
  <c r="M18" i="1"/>
  <c r="S18" i="1" s="1"/>
  <c r="J18" i="1"/>
  <c r="G18" i="1"/>
  <c r="Q18" i="1" s="1"/>
  <c r="S2" i="1"/>
  <c r="G2" i="1"/>
  <c r="Q2" i="1" s="1"/>
  <c r="R45" i="1"/>
  <c r="T45" i="1" s="1"/>
  <c r="M45" i="1"/>
  <c r="S45" i="1" s="1"/>
  <c r="J45" i="1"/>
  <c r="G45" i="1"/>
  <c r="Q45" i="1" s="1"/>
  <c r="R13" i="1"/>
  <c r="T13" i="1" s="1"/>
  <c r="M13" i="1"/>
  <c r="S13" i="1" s="1"/>
  <c r="J13" i="1"/>
  <c r="G13" i="1"/>
  <c r="Q13" i="1" s="1"/>
  <c r="R44" i="1"/>
  <c r="T44" i="1" s="1"/>
  <c r="M44" i="1"/>
  <c r="S44" i="1" s="1"/>
  <c r="J44" i="1"/>
  <c r="G44" i="1"/>
  <c r="Q44" i="1" s="1"/>
  <c r="M26" i="1"/>
  <c r="S26" i="1" s="1"/>
  <c r="M6" i="1"/>
  <c r="S6" i="1" s="1"/>
  <c r="J6" i="1"/>
  <c r="G6" i="1"/>
  <c r="Q6" i="1" s="1"/>
  <c r="R33" i="1"/>
  <c r="T33" i="1" s="1"/>
  <c r="G33" i="1"/>
  <c r="Q33" i="1" s="1"/>
  <c r="H35" i="1"/>
  <c r="M35" i="1" s="1"/>
  <c r="S35" i="1" s="1"/>
  <c r="M12" i="1"/>
  <c r="S12" i="1" s="1"/>
  <c r="R34" i="1"/>
  <c r="T34" i="1" s="1"/>
  <c r="H19" i="1"/>
  <c r="M19" i="1" s="1"/>
  <c r="S19" i="1" s="1"/>
  <c r="H32" i="1"/>
  <c r="J32" i="1" s="1"/>
  <c r="R36" i="1"/>
  <c r="T36" i="1" s="1"/>
  <c r="H16" i="1"/>
  <c r="J16" i="1" s="1"/>
  <c r="H7" i="1"/>
  <c r="M7" i="1" s="1"/>
  <c r="S7" i="1" s="1"/>
  <c r="R38" i="1"/>
  <c r="T38" i="1" s="1"/>
  <c r="J30" i="1"/>
  <c r="H23" i="1"/>
  <c r="R23" i="1" s="1"/>
  <c r="T23" i="1" s="1"/>
  <c r="M31" i="1"/>
  <c r="S31" i="1" s="1"/>
  <c r="M28" i="1"/>
  <c r="S28" i="1" s="1"/>
  <c r="R41" i="1"/>
  <c r="T41" i="1" s="1"/>
  <c r="R37" i="1"/>
  <c r="T37" i="1" s="1"/>
  <c r="M37" i="1"/>
  <c r="S37" i="1" s="1"/>
  <c r="J37" i="1"/>
  <c r="G37" i="1"/>
  <c r="Q37" i="1" s="1"/>
  <c r="D37" i="1"/>
  <c r="R43" i="1"/>
  <c r="T43" i="1" s="1"/>
  <c r="M43" i="1"/>
  <c r="S43" i="1" s="1"/>
  <c r="J43" i="1"/>
  <c r="G43" i="1"/>
  <c r="Q43" i="1" s="1"/>
  <c r="J40" i="1"/>
  <c r="R40" i="1"/>
  <c r="T40" i="1" s="1"/>
  <c r="S40" i="1"/>
  <c r="G40" i="1"/>
  <c r="Q40" i="1" s="1"/>
  <c r="R39" i="1"/>
  <c r="T39" i="1" s="1"/>
  <c r="M39" i="1"/>
  <c r="S39" i="1" s="1"/>
  <c r="J39" i="1"/>
  <c r="G39" i="1"/>
  <c r="Q39" i="1" s="1"/>
  <c r="M42" i="1"/>
  <c r="S42" i="1" s="1"/>
  <c r="R42" i="1"/>
  <c r="T42" i="1" s="1"/>
  <c r="M17" i="1"/>
  <c r="S17" i="1" s="1"/>
  <c r="R17" i="1"/>
  <c r="T17" i="1" s="1"/>
  <c r="M24" i="1"/>
  <c r="S24" i="1" s="1"/>
  <c r="R24" i="1"/>
  <c r="T24" i="1" s="1"/>
  <c r="M22" i="1"/>
  <c r="S22" i="1" s="1"/>
  <c r="R22" i="1"/>
  <c r="T22" i="1" s="1"/>
  <c r="M21" i="1"/>
  <c r="S21" i="1" s="1"/>
  <c r="R21" i="1"/>
  <c r="T21" i="1" s="1"/>
  <c r="M20" i="1"/>
  <c r="S20" i="1" s="1"/>
  <c r="R20" i="1"/>
  <c r="T20" i="1" s="1"/>
  <c r="M27" i="1"/>
  <c r="S27" i="1" s="1"/>
  <c r="R27" i="1"/>
  <c r="T27" i="1" s="1"/>
  <c r="M29" i="1"/>
  <c r="S29" i="1" s="1"/>
  <c r="R29" i="1"/>
  <c r="T29" i="1" s="1"/>
  <c r="M14" i="1"/>
  <c r="S14" i="1" s="1"/>
  <c r="R14" i="1"/>
  <c r="T14" i="1" s="1"/>
  <c r="M15" i="1"/>
  <c r="S15" i="1" s="1"/>
  <c r="R15" i="1"/>
  <c r="T15" i="1" s="1"/>
  <c r="J42" i="1"/>
  <c r="J17" i="1"/>
  <c r="J24" i="1"/>
  <c r="J22" i="1"/>
  <c r="J21" i="1"/>
  <c r="J20" i="1"/>
  <c r="J27" i="1"/>
  <c r="J29" i="1"/>
  <c r="J14" i="1"/>
  <c r="J15" i="1"/>
  <c r="G29" i="1"/>
  <c r="Q29" i="1" s="1"/>
  <c r="G24" i="1"/>
  <c r="Q24" i="1" s="1"/>
  <c r="G41" i="1"/>
  <c r="Q41" i="1" s="1"/>
  <c r="G38" i="1"/>
  <c r="Q38" i="1" s="1"/>
  <c r="G35" i="1"/>
  <c r="Q35" i="1" s="1"/>
  <c r="G25" i="1"/>
  <c r="Q25" i="1" s="1"/>
  <c r="G34" i="1"/>
  <c r="Q34" i="1" s="1"/>
  <c r="G19" i="1"/>
  <c r="Q19" i="1" s="1"/>
  <c r="G36" i="1"/>
  <c r="Q36" i="1" s="1"/>
  <c r="G17" i="1"/>
  <c r="Q17" i="1" s="1"/>
  <c r="G42" i="1"/>
  <c r="Q42" i="1" s="1"/>
  <c r="G28" i="1"/>
  <c r="P28" i="1" s="1"/>
  <c r="Q28" i="1" s="1"/>
  <c r="G32" i="1"/>
  <c r="Q32" i="1" s="1"/>
  <c r="G31" i="1"/>
  <c r="Q31" i="1" s="1"/>
  <c r="G22" i="1"/>
  <c r="Q22" i="1" s="1"/>
  <c r="G12" i="1"/>
  <c r="Q12" i="1" s="1"/>
  <c r="G26" i="1"/>
  <c r="Q26" i="1" s="1"/>
  <c r="G30" i="1"/>
  <c r="Q30" i="1" s="1"/>
  <c r="G16" i="1"/>
  <c r="Q16" i="1" s="1"/>
  <c r="G14" i="1"/>
  <c r="Q14" i="1" s="1"/>
  <c r="G23" i="1"/>
  <c r="Q23" i="1" s="1"/>
  <c r="G15" i="1"/>
  <c r="Q15" i="1" s="1"/>
  <c r="G20" i="1"/>
  <c r="Q20" i="1" s="1"/>
  <c r="G21" i="1"/>
  <c r="Q21" i="1" s="1"/>
  <c r="G27" i="1"/>
  <c r="Q27" i="1" s="1"/>
  <c r="G7" i="1"/>
  <c r="Q7" i="1" s="1"/>
  <c r="N14" i="1" l="1"/>
  <c r="N7" i="1"/>
  <c r="N44" i="1"/>
  <c r="N46" i="1"/>
  <c r="N13" i="1"/>
  <c r="N37" i="1"/>
  <c r="N35" i="1"/>
  <c r="N18" i="1"/>
  <c r="N31" i="1"/>
  <c r="N22" i="1"/>
  <c r="N21" i="1"/>
  <c r="N20" i="1"/>
  <c r="N24" i="1"/>
  <c r="N5" i="1"/>
  <c r="N45" i="1"/>
  <c r="N17" i="1"/>
  <c r="N27" i="1"/>
  <c r="N26" i="1"/>
  <c r="N43" i="1"/>
  <c r="N42" i="1"/>
  <c r="N29" i="1"/>
  <c r="N28" i="1"/>
  <c r="N15" i="1"/>
  <c r="N39" i="1"/>
  <c r="N19" i="1"/>
  <c r="N8" i="1"/>
  <c r="N6" i="1"/>
  <c r="N12" i="1"/>
  <c r="J7" i="1"/>
  <c r="R7" i="1"/>
  <c r="T7" i="1" s="1"/>
  <c r="U7" i="1" s="1"/>
  <c r="U18" i="1"/>
  <c r="U8" i="1"/>
  <c r="U5" i="1"/>
  <c r="U46" i="1"/>
  <c r="J2" i="1"/>
  <c r="K9" i="1" s="1"/>
  <c r="U2" i="1"/>
  <c r="R35" i="1"/>
  <c r="T35" i="1" s="1"/>
  <c r="U35" i="1" s="1"/>
  <c r="R12" i="1"/>
  <c r="T12" i="1" s="1"/>
  <c r="U12" i="1" s="1"/>
  <c r="U44" i="1"/>
  <c r="U45" i="1"/>
  <c r="U13" i="1"/>
  <c r="R6" i="1"/>
  <c r="T6" i="1" s="1"/>
  <c r="U6" i="1" s="1"/>
  <c r="M32" i="1"/>
  <c r="J12" i="1"/>
  <c r="J34" i="1"/>
  <c r="R32" i="1"/>
  <c r="T32" i="1" s="1"/>
  <c r="M36" i="1"/>
  <c r="J33" i="1"/>
  <c r="M33" i="1"/>
  <c r="R26" i="1"/>
  <c r="T26" i="1" s="1"/>
  <c r="U26" i="1" s="1"/>
  <c r="J26" i="1"/>
  <c r="M38" i="1"/>
  <c r="R16" i="1"/>
  <c r="T16" i="1" s="1"/>
  <c r="J35" i="1"/>
  <c r="J36" i="1"/>
  <c r="M30" i="1"/>
  <c r="J38" i="1"/>
  <c r="M34" i="1"/>
  <c r="R30" i="1"/>
  <c r="T30" i="1" s="1"/>
  <c r="J19" i="1"/>
  <c r="M16" i="1"/>
  <c r="R19" i="1"/>
  <c r="T19" i="1" s="1"/>
  <c r="U19" i="1" s="1"/>
  <c r="M23" i="1"/>
  <c r="J25" i="1"/>
  <c r="R25" i="1"/>
  <c r="T25" i="1" s="1"/>
  <c r="M25" i="1"/>
  <c r="J23" i="1"/>
  <c r="R28" i="1"/>
  <c r="T28" i="1" s="1"/>
  <c r="U28" i="1" s="1"/>
  <c r="J28" i="1"/>
  <c r="J31" i="1"/>
  <c r="R31" i="1"/>
  <c r="T31" i="1" s="1"/>
  <c r="U31" i="1" s="1"/>
  <c r="M41" i="1"/>
  <c r="J41" i="1"/>
  <c r="U40" i="1"/>
  <c r="U37" i="1"/>
  <c r="U43" i="1"/>
  <c r="U39" i="1"/>
  <c r="U27" i="1"/>
  <c r="U17" i="1"/>
  <c r="U20" i="1"/>
  <c r="U24" i="1"/>
  <c r="U15" i="1"/>
  <c r="U22" i="1"/>
  <c r="U29" i="1"/>
  <c r="U21" i="1"/>
  <c r="U14" i="1"/>
  <c r="U42" i="1"/>
  <c r="K10" i="1" l="1"/>
  <c r="K11" i="1"/>
  <c r="S30" i="1"/>
  <c r="U30" i="1" s="1"/>
  <c r="N30" i="1"/>
  <c r="S32" i="1"/>
  <c r="U32" i="1" s="1"/>
  <c r="N32" i="1"/>
  <c r="S25" i="1"/>
  <c r="U25" i="1" s="1"/>
  <c r="N25" i="1"/>
  <c r="S38" i="1"/>
  <c r="U38" i="1" s="1"/>
  <c r="N38" i="1"/>
  <c r="S23" i="1"/>
  <c r="U23" i="1" s="1"/>
  <c r="N23" i="1"/>
  <c r="S16" i="1"/>
  <c r="U16" i="1" s="1"/>
  <c r="N16" i="1"/>
  <c r="S41" i="1"/>
  <c r="U41" i="1" s="1"/>
  <c r="N41" i="1"/>
  <c r="S36" i="1"/>
  <c r="U36" i="1" s="1"/>
  <c r="N36" i="1"/>
  <c r="S33" i="1"/>
  <c r="U33" i="1" s="1"/>
  <c r="N33" i="1"/>
  <c r="K3" i="1"/>
  <c r="K4" i="1"/>
  <c r="S34" i="1"/>
  <c r="U34" i="1" s="1"/>
  <c r="N34" i="1"/>
  <c r="K8" i="1"/>
  <c r="K13" i="1"/>
  <c r="K5" i="1"/>
  <c r="K45" i="1"/>
  <c r="K18" i="1"/>
  <c r="K46" i="1"/>
  <c r="K6" i="1"/>
  <c r="K2" i="1"/>
  <c r="K44" i="1"/>
  <c r="K25" i="1"/>
  <c r="K33" i="1"/>
  <c r="K17" i="1"/>
  <c r="K20" i="1"/>
  <c r="K30" i="1"/>
  <c r="K27" i="1"/>
  <c r="K31" i="1"/>
  <c r="K24" i="1"/>
  <c r="K22" i="1"/>
  <c r="K38" i="1"/>
  <c r="K32" i="1"/>
  <c r="K28" i="1"/>
  <c r="K34" i="1"/>
  <c r="K29" i="1"/>
  <c r="K23" i="1"/>
  <c r="K7" i="1"/>
  <c r="K14" i="1"/>
  <c r="K12" i="1"/>
  <c r="K36" i="1"/>
  <c r="K16" i="1"/>
  <c r="K40" i="1"/>
  <c r="K26" i="1"/>
  <c r="K21" i="1"/>
  <c r="K37" i="1"/>
  <c r="K39" i="1"/>
  <c r="K19" i="1"/>
  <c r="K35" i="1"/>
  <c r="K15" i="1"/>
  <c r="K42" i="1"/>
  <c r="K43" i="1"/>
  <c r="K41" i="1"/>
  <c r="V9" i="1" l="1"/>
  <c r="V3" i="1"/>
  <c r="V11" i="1"/>
  <c r="V10" i="1"/>
  <c r="V4" i="1"/>
  <c r="V8" i="1"/>
  <c r="V41" i="1"/>
  <c r="V5" i="1"/>
  <c r="V18" i="1"/>
  <c r="V46" i="1"/>
  <c r="V45" i="1"/>
  <c r="V6" i="1"/>
  <c r="V2" i="1"/>
  <c r="V44" i="1"/>
  <c r="V13" i="1"/>
  <c r="V42" i="1"/>
  <c r="V33" i="1"/>
  <c r="V21" i="1"/>
  <c r="V25" i="1"/>
  <c r="V34" i="1"/>
  <c r="V19" i="1"/>
  <c r="V26" i="1"/>
  <c r="V43" i="1"/>
  <c r="V35" i="1"/>
  <c r="V39" i="1"/>
  <c r="V20" i="1"/>
  <c r="V22" i="1"/>
  <c r="V16" i="1"/>
  <c r="V32" i="1"/>
  <c r="V37" i="1"/>
  <c r="V27" i="1"/>
  <c r="V30" i="1"/>
  <c r="V38" i="1"/>
  <c r="V29" i="1"/>
  <c r="V31" i="1"/>
  <c r="V24" i="1"/>
  <c r="V23" i="1"/>
  <c r="V40" i="1"/>
  <c r="V12" i="1"/>
  <c r="V14" i="1"/>
  <c r="V36" i="1"/>
  <c r="V17" i="1"/>
  <c r="V28" i="1"/>
  <c r="V7" i="1"/>
  <c r="V15" i="1"/>
  <c r="X9" i="1" l="1"/>
  <c r="W9" i="1"/>
  <c r="X11" i="1"/>
  <c r="W11" i="1"/>
  <c r="X10" i="1"/>
  <c r="W10" i="1"/>
  <c r="X4" i="1"/>
  <c r="W4" i="1"/>
  <c r="X3" i="1"/>
  <c r="W3" i="1"/>
  <c r="X8" i="1"/>
  <c r="W8" i="1"/>
  <c r="X46" i="1"/>
  <c r="W46" i="1"/>
  <c r="X5" i="1"/>
  <c r="W5" i="1"/>
  <c r="X18" i="1"/>
  <c r="W18" i="1"/>
  <c r="X2" i="1"/>
  <c r="W2" i="1"/>
  <c r="X45" i="1"/>
  <c r="W45" i="1"/>
  <c r="W13" i="1"/>
  <c r="X13" i="1"/>
  <c r="X44" i="1"/>
  <c r="W44" i="1"/>
  <c r="W6" i="1"/>
  <c r="X6" i="1"/>
  <c r="W41" i="1"/>
  <c r="W25" i="1"/>
  <c r="W15" i="1"/>
  <c r="W16" i="1"/>
  <c r="W19" i="1"/>
  <c r="X31" i="1"/>
  <c r="W38" i="1"/>
  <c r="W39" i="1"/>
  <c r="W20" i="1"/>
  <c r="W27" i="1"/>
  <c r="W7" i="1"/>
  <c r="W40" i="1"/>
  <c r="W42" i="1"/>
  <c r="W29" i="1"/>
  <c r="W12" i="1"/>
  <c r="W26" i="1"/>
  <c r="W17" i="1"/>
  <c r="W14" i="1"/>
  <c r="X12" i="1"/>
  <c r="W23" i="1"/>
  <c r="X40" i="1"/>
  <c r="W30" i="1"/>
  <c r="X39" i="1"/>
  <c r="W37" i="1"/>
  <c r="W22" i="1"/>
  <c r="X42" i="1"/>
  <c r="W43" i="1"/>
  <c r="X34" i="1"/>
  <c r="W34" i="1"/>
  <c r="W33" i="1"/>
  <c r="X28" i="1"/>
  <c r="W32" i="1"/>
  <c r="W35" i="1"/>
  <c r="X41" i="1"/>
  <c r="W21" i="1"/>
  <c r="W24" i="1"/>
  <c r="X23" i="1"/>
  <c r="X25" i="1"/>
  <c r="X16" i="1"/>
  <c r="X35" i="1"/>
  <c r="X17" i="1"/>
  <c r="X14" i="1"/>
  <c r="X43" i="1"/>
  <c r="X20" i="1"/>
  <c r="X30" i="1"/>
  <c r="X21" i="1"/>
  <c r="W28" i="1"/>
  <c r="X37" i="1"/>
  <c r="W36" i="1"/>
  <c r="X24" i="1"/>
  <c r="W31" i="1"/>
  <c r="X33" i="1"/>
  <c r="X36" i="1"/>
  <c r="X19" i="1"/>
  <c r="X7" i="1"/>
  <c r="X32" i="1"/>
  <c r="X38" i="1"/>
  <c r="X27" i="1"/>
  <c r="X29" i="1"/>
  <c r="X26" i="1"/>
  <c r="X15" i="1"/>
  <c r="X2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</futureMetadata>
  <cellMetadata count="1">
    <bk>
      <rc t="1" v="0"/>
    </bk>
  </cellMetadata>
  <valueMetadata count="4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</valueMetadata>
</metadata>
</file>

<file path=xl/sharedStrings.xml><?xml version="1.0" encoding="utf-8"?>
<sst xmlns="http://schemas.openxmlformats.org/spreadsheetml/2006/main" count="462" uniqueCount="145">
  <si>
    <t>Name</t>
  </si>
  <si>
    <t>Date</t>
  </si>
  <si>
    <t>Volume</t>
  </si>
  <si>
    <t>Price</t>
  </si>
  <si>
    <t>Value</t>
  </si>
  <si>
    <t>MO</t>
  </si>
  <si>
    <t>Altaria</t>
  </si>
  <si>
    <t>Visa</t>
  </si>
  <si>
    <t>Master Card</t>
  </si>
  <si>
    <t>QCOM</t>
  </si>
  <si>
    <t>QualComm2</t>
  </si>
  <si>
    <t>Microsoft</t>
  </si>
  <si>
    <t>MSFT</t>
  </si>
  <si>
    <t>AAPL</t>
  </si>
  <si>
    <t>Apple2</t>
  </si>
  <si>
    <t>Pepsi</t>
  </si>
  <si>
    <t>PEP</t>
  </si>
  <si>
    <t>GOOGL</t>
  </si>
  <si>
    <t>Google</t>
  </si>
  <si>
    <t>Kimberly Clark</t>
  </si>
  <si>
    <t>KMB</t>
  </si>
  <si>
    <t>TSMC</t>
  </si>
  <si>
    <t>TSM</t>
  </si>
  <si>
    <t>Nvidia</t>
  </si>
  <si>
    <t>NVDA</t>
  </si>
  <si>
    <t>V</t>
  </si>
  <si>
    <t>NextEra Energy</t>
  </si>
  <si>
    <t>NEE</t>
  </si>
  <si>
    <t>MA</t>
  </si>
  <si>
    <t>Applied Material</t>
  </si>
  <si>
    <t>AMAT</t>
  </si>
  <si>
    <t>Duke Energy</t>
  </si>
  <si>
    <t>DUK</t>
  </si>
  <si>
    <t>LVMH</t>
  </si>
  <si>
    <t>MC.PA</t>
  </si>
  <si>
    <t>Chapter</t>
  </si>
  <si>
    <t>Tech</t>
  </si>
  <si>
    <t>Banking</t>
  </si>
  <si>
    <t>US Consumer</t>
  </si>
  <si>
    <t>Asia Consumer</t>
  </si>
  <si>
    <t>Energy</t>
  </si>
  <si>
    <t>DAR</t>
  </si>
  <si>
    <t>MSG</t>
  </si>
  <si>
    <t>INGR</t>
  </si>
  <si>
    <t>CSIQ</t>
  </si>
  <si>
    <t>Canadian Solar</t>
  </si>
  <si>
    <t>FSLR</t>
  </si>
  <si>
    <t>First Solar</t>
  </si>
  <si>
    <t>JKS</t>
  </si>
  <si>
    <t>Jinko Solar</t>
  </si>
  <si>
    <t>MAXN</t>
  </si>
  <si>
    <t>Maxeon Solar</t>
  </si>
  <si>
    <t>SolarWinds</t>
  </si>
  <si>
    <t>SWI</t>
  </si>
  <si>
    <t>Walmart</t>
  </si>
  <si>
    <t>WMT</t>
  </si>
  <si>
    <t>YUMC</t>
  </si>
  <si>
    <t>Yum China Holding</t>
  </si>
  <si>
    <t>Yum! Brands</t>
  </si>
  <si>
    <t>YUM</t>
  </si>
  <si>
    <t>ASML</t>
  </si>
  <si>
    <t>Volatility</t>
  </si>
  <si>
    <t>Ranking</t>
  </si>
  <si>
    <t>Mix %</t>
  </si>
  <si>
    <t>Target Price</t>
  </si>
  <si>
    <t>Tolerance</t>
  </si>
  <si>
    <t>Unit Profit</t>
  </si>
  <si>
    <t>Unit Half Loss</t>
  </si>
  <si>
    <t>Balance Risk</t>
  </si>
  <si>
    <t>Normalized Risk</t>
  </si>
  <si>
    <t>Normalized Risk %</t>
  </si>
  <si>
    <t>Automotive</t>
  </si>
  <si>
    <t>Aptive Autoparts</t>
  </si>
  <si>
    <t>APTV</t>
  </si>
  <si>
    <t>Forex</t>
  </si>
  <si>
    <t>Mexican Peso</t>
  </si>
  <si>
    <t>USDMXN=X</t>
  </si>
  <si>
    <t>Japan Yen</t>
  </si>
  <si>
    <t>USDJPY=X</t>
  </si>
  <si>
    <t>Gold</t>
  </si>
  <si>
    <t>GC=F</t>
  </si>
  <si>
    <t>Risk Mix</t>
  </si>
  <si>
    <t>Ticker</t>
  </si>
  <si>
    <t>Palantir</t>
  </si>
  <si>
    <t>PLTR</t>
  </si>
  <si>
    <t>ING Group NV</t>
  </si>
  <si>
    <t>ING</t>
  </si>
  <si>
    <t>Industrials</t>
  </si>
  <si>
    <t>3M</t>
  </si>
  <si>
    <t>MMM</t>
  </si>
  <si>
    <t>Excelon</t>
  </si>
  <si>
    <t>EXC</t>
  </si>
  <si>
    <t>PCG</t>
  </si>
  <si>
    <t>PG&amp;E</t>
  </si>
  <si>
    <t>APA</t>
  </si>
  <si>
    <t>Expected Return QoQ%</t>
  </si>
  <si>
    <t>Health</t>
  </si>
  <si>
    <t>Agios</t>
  </si>
  <si>
    <t>ACI</t>
  </si>
  <si>
    <t>HCA</t>
  </si>
  <si>
    <t>AGIO</t>
  </si>
  <si>
    <t>Albertson Companies</t>
  </si>
  <si>
    <t>HCA Healthcare</t>
  </si>
  <si>
    <t>YPF</t>
  </si>
  <si>
    <t>Row Labels</t>
  </si>
  <si>
    <t>Grand Total</t>
  </si>
  <si>
    <t>Initial Volume $</t>
  </si>
  <si>
    <t>$%</t>
  </si>
  <si>
    <t>WK05</t>
  </si>
  <si>
    <t>WK05 Start</t>
  </si>
  <si>
    <t>Target Value</t>
  </si>
  <si>
    <t>Target Return %</t>
  </si>
  <si>
    <t>Target P&amp;L</t>
  </si>
  <si>
    <t>Actual P&amp;L vs LV</t>
  </si>
  <si>
    <t>WK50</t>
  </si>
  <si>
    <t>ETF</t>
  </si>
  <si>
    <t>BOTZ.UK</t>
  </si>
  <si>
    <t>BATT.NL</t>
  </si>
  <si>
    <t>VBTC.DE</t>
  </si>
  <si>
    <t>ETF5</t>
  </si>
  <si>
    <t>BONDS</t>
  </si>
  <si>
    <t>VWO.US</t>
  </si>
  <si>
    <t>Return:</t>
  </si>
  <si>
    <t>Optimal</t>
  </si>
  <si>
    <t>Expected</t>
  </si>
  <si>
    <t>Portfolio</t>
  </si>
  <si>
    <t>Volatility:</t>
  </si>
  <si>
    <t>Delta</t>
  </si>
  <si>
    <t>Robotics &amp; AI</t>
  </si>
  <si>
    <t>Batterey Value-Chain</t>
  </si>
  <si>
    <t>Emergin Markets</t>
  </si>
  <si>
    <t>Bitcoin ETF</t>
  </si>
  <si>
    <t>Ingredion</t>
  </si>
  <si>
    <t>WK06</t>
  </si>
  <si>
    <t>%</t>
  </si>
  <si>
    <t>Consumer</t>
  </si>
  <si>
    <t>Others</t>
  </si>
  <si>
    <t>Close Price</t>
  </si>
  <si>
    <t>Actual Value</t>
  </si>
  <si>
    <t>Actual P&amp;L</t>
  </si>
  <si>
    <t>Actual Return %</t>
  </si>
  <si>
    <t xml:space="preserve">Actual P&amp;L </t>
  </si>
  <si>
    <t>WK07</t>
  </si>
  <si>
    <t>W/Avg Volatility</t>
  </si>
  <si>
    <t xml:space="preserve">Volatility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</si>
</sst>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0"/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44" fontId="0" fillId="0" borderId="0" xfId="1" applyFont="1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65" fontId="0" fillId="0" borderId="0" xfId="0" applyNumberFormat="1" applyAlignment="1">
      <alignment horizontal="left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4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7" borderId="0" xfId="0" applyFill="1"/>
    <xf numFmtId="44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8" borderId="1" xfId="0" applyFont="1" applyFill="1" applyBorder="1" applyAlignment="1">
      <alignment horizontal="center" vertical="center"/>
    </xf>
    <xf numFmtId="44" fontId="2" fillId="8" borderId="2" xfId="0" applyNumberFormat="1" applyFont="1" applyFill="1" applyBorder="1"/>
    <xf numFmtId="9" fontId="2" fillId="8" borderId="2" xfId="0" applyNumberFormat="1" applyFont="1" applyFill="1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8" borderId="1" xfId="0" applyFont="1" applyFill="1" applyBorder="1"/>
    <xf numFmtId="10" fontId="0" fillId="0" borderId="0" xfId="0" applyNumberFormat="1"/>
    <xf numFmtId="10" fontId="2" fillId="8" borderId="2" xfId="0" applyNumberFormat="1" applyFont="1" applyFill="1" applyBorder="1"/>
    <xf numFmtId="0" fontId="2" fillId="8" borderId="2" xfId="0" applyFont="1" applyFill="1" applyBorder="1" applyAlignment="1">
      <alignment horizontal="left"/>
    </xf>
    <xf numFmtId="0" fontId="0" fillId="9" borderId="0" xfId="0" applyFill="1"/>
    <xf numFmtId="0" fontId="0" fillId="0" borderId="3" xfId="0" applyBorder="1"/>
    <xf numFmtId="10" fontId="0" fillId="0" borderId="3" xfId="0" applyNumberFormat="1" applyBorder="1"/>
    <xf numFmtId="0" fontId="0" fillId="10" borderId="3" xfId="0" applyFill="1" applyBorder="1"/>
    <xf numFmtId="10" fontId="0" fillId="10" borderId="3" xfId="0" applyNumberFormat="1" applyFill="1" applyBorder="1"/>
    <xf numFmtId="0" fontId="0" fillId="7" borderId="3" xfId="0" applyFill="1" applyBorder="1"/>
    <xf numFmtId="10" fontId="0" fillId="7" borderId="3" xfId="0" applyNumberFormat="1" applyFill="1" applyBorder="1"/>
    <xf numFmtId="0" fontId="2" fillId="11" borderId="3" xfId="0" applyFont="1" applyFill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9" fontId="2" fillId="0" borderId="1" xfId="0" applyNumberFormat="1" applyFont="1" applyBorder="1"/>
    <xf numFmtId="10" fontId="2" fillId="0" borderId="1" xfId="0" applyNumberFormat="1" applyFont="1" applyBorder="1"/>
    <xf numFmtId="2" fontId="0" fillId="0" borderId="0" xfId="0" applyNumberFormat="1" applyAlignment="1">
      <alignment horizontal="left"/>
    </xf>
    <xf numFmtId="0" fontId="2" fillId="8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12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22">
    <dxf>
      <alignment wrapText="1"/>
    </dxf>
    <dxf>
      <alignment horizontal="center"/>
    </dxf>
    <dxf>
      <alignment vertical="center"/>
    </dxf>
    <dxf>
      <alignment vertic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alignment vertic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vertic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alignment vertical="center"/>
    </dxf>
    <dxf>
      <alignment horizontal="center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pivotCacheDefinition" Target="pivotCache/pivotCacheDefinition1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samuel walton" refreshedDate="45707.905075347226" createdVersion="8" refreshedVersion="8" minRefreshableVersion="3" recordCount="45" xr:uid="{8231C5FD-6A38-425A-8202-1B139D24CA84}">
  <cacheSource type="worksheet">
    <worksheetSource ref="A1:X46" sheet="Positions"/>
  </cacheSource>
  <cacheFields count="29">
    <cacheField name="Chapter" numFmtId="0">
      <sharedItems count="10">
        <s v="Energy"/>
        <s v="ETF"/>
        <s v="US Consumer"/>
        <s v="Banking"/>
        <s v="Tech"/>
        <s v="Asia Consumer"/>
        <s v="Health"/>
        <s v="Forex"/>
        <s v="Automotive"/>
        <s v="Industrials"/>
      </sharedItems>
    </cacheField>
    <cacheField name="Name" numFmtId="0">
      <sharedItems/>
    </cacheField>
    <cacheField name="Ticker" numFmtId="0">
      <sharedItems count="45">
        <s v="APA"/>
        <s v="BOTZ.UK"/>
        <s v="BATT.NL"/>
        <s v="ACI"/>
        <s v="ING"/>
        <s v="MO"/>
        <s v="YPF"/>
        <s v="VWO.US"/>
        <s v="VBTC.DE"/>
        <s v="BONDS"/>
        <s v="NEE"/>
        <s v="EXC"/>
        <s v="KMB"/>
        <s v="PEP"/>
        <s v="TSM"/>
        <s v="INGR"/>
        <s v="AGIO"/>
        <s v="FSLR"/>
        <s v="AAPL"/>
        <s v="MSFT"/>
        <s v="MA"/>
        <s v="GOOGL"/>
        <s v="YUM"/>
        <s v="MAXN"/>
        <s v="V"/>
        <s v="QCOM"/>
        <s v="MC.PA"/>
        <s v="ASML"/>
        <s v="NVDA"/>
        <s v="AMAT"/>
        <s v="DUK"/>
        <s v="PLTR"/>
        <s v="JKS"/>
        <s v="SWI"/>
        <s v="CSIQ"/>
        <s v="GC=F"/>
        <s v="WMT"/>
        <s v="APTV"/>
        <s v="USDMXN=X"/>
        <s v="YUMC"/>
        <s v="DAR"/>
        <s v="USDJPY=X"/>
        <s v="MMM"/>
        <s v="PCG"/>
        <s v="HCA"/>
      </sharedItems>
    </cacheField>
    <cacheField name="Date" numFmtId="165">
      <sharedItems containsSemiMixedTypes="0" containsNonDate="0" containsDate="1" containsString="0" minDate="2024-06-17T00:00:00" maxDate="2025-02-01T00:00:00"/>
    </cacheField>
    <cacheField name="Volume" numFmtId="164">
      <sharedItems containsSemiMixedTypes="0" containsString="0" containsNumber="1" minValue="9.9999999999999998E-20" maxValue="2.2953000000000001"/>
    </cacheField>
    <cacheField name="Price" numFmtId="44">
      <sharedItems containsSemiMixedTypes="0" containsString="0" containsNumber="1" minValue="10.92" maxValue="2742.9"/>
    </cacheField>
    <cacheField name="Value" numFmtId="44">
      <sharedItems containsSemiMixedTypes="0" containsString="0" containsNumber="1" minValue="1.092E-18" maxValue="89.991048000000006"/>
    </cacheField>
    <cacheField name="Expected Return QoQ%" numFmtId="10">
      <sharedItems containsSemiMixedTypes="0" containsString="0" containsNumber="1" minValue="2.4701323861801683E-2" maxValue="1"/>
    </cacheField>
    <cacheField name="Volatility" numFmtId="0">
      <sharedItems containsSemiMixedTypes="0" containsString="0" containsNumber="1" minValue="0.15" maxValue="1.8652"/>
    </cacheField>
    <cacheField name="Ranking" numFmtId="9">
      <sharedItems containsSemiMixedTypes="0" containsString="0" containsNumber="1" minValue="6.7668155366084726E-2" maxValue="1"/>
    </cacheField>
    <cacheField name="Mix %" numFmtId="9">
      <sharedItems containsSemiMixedTypes="0" containsString="0" containsNumber="1" minValue="3.521195576577426E-3" maxValue="5.2036228230661195E-2"/>
    </cacheField>
    <cacheField name="W/Avg Volatility" numFmtId="9">
      <sharedItems containsSemiMixedTypes="0" containsString="0" containsNumber="1" minValue="2.5499999999999999E-19" maxValue="28.84276096"/>
    </cacheField>
    <cacheField name="Target Price" numFmtId="44">
      <sharedItems containsSemiMixedTypes="0" containsString="0" containsNumber="1" minValue="11.602500000000001" maxValue="3017.1900000000005"/>
    </cacheField>
    <cacheField name="Target Value" numFmtId="44">
      <sharedItems containsSemiMixedTypes="0" containsString="0" containsNumber="1" minValue="1.16025E-18" maxValue="106.57639814639998"/>
    </cacheField>
    <cacheField name="Close Price" numFmtId="44">
      <sharedItems containsMixedTypes="1" containsNumber="1" minValue="0.78559999999999997" maxValue="744.8"/>
    </cacheField>
    <cacheField name="Actual Value" numFmtId="44">
      <sharedItems containsSemiMixedTypes="0" containsString="0" containsNumber="1" minValue="7.8559999999999989E-20" maxValue="92.523564000000007"/>
    </cacheField>
    <cacheField name="Actual P&amp;L" numFmtId="44">
      <sharedItems containsSemiMixedTypes="0" containsString="0" containsNumber="1" minValue="-6.2410320000000041" maxValue="8.6620360000000005"/>
    </cacheField>
    <cacheField name="Tolerance" numFmtId="44">
      <sharedItems containsSemiMixedTypes="0" containsString="0" containsNumber="1" minValue="5.8546000428908433" maxValue="1959.214285714286"/>
    </cacheField>
    <cacheField name="Unit Profit" numFmtId="44">
      <sharedItems containsSemiMixedTypes="0" containsString="0" containsNumber="1" minValue="0.55250000000000021" maxValue="274.29000000000042"/>
    </cacheField>
    <cacheField name="Unit Half Loss" numFmtId="44">
      <sharedItems containsSemiMixedTypes="0" containsString="0" containsNumber="1" minValue="-391.84285714285704" maxValue="0"/>
    </cacheField>
    <cacheField name="Balance Risk" numFmtId="44">
      <sharedItems containsSemiMixedTypes="0" containsString="0" containsNumber="1" minValue="-117.55285714285662" maxValue="114.13244508118439"/>
    </cacheField>
    <cacheField name="Normalized Risk" numFmtId="44">
      <sharedItems containsSemiMixedTypes="0" containsString="0" containsNumber="1" minValue="0" maxValue="231.68530222404101"/>
    </cacheField>
    <cacheField name="Risk Mix" numFmtId="9">
      <sharedItems containsSemiMixedTypes="0" containsString="0" containsNumber="1" minValue="0" maxValue="2.2382348581474875E-2"/>
    </cacheField>
    <cacheField name="Normalized Risk %" numFmtId="9">
      <sharedItems containsSemiMixedTypes="0" containsString="0" containsNumber="1" minValue="0" maxValue="1.6176498268314992"/>
    </cacheField>
    <cacheField name="TargetReturn%_Metric" numFmtId="0" formula="'Target Value'/Value-1" databaseField="0"/>
    <cacheField name="TargetP&amp;L_metric" numFmtId="0" formula="'Target Value'-Value" databaseField="0"/>
    <cacheField name="ActualP&amp;L_Metric" numFmtId="0" formula="'Actual Value' -Value" databaseField="0"/>
    <cacheField name="ActualReturn_Metric" numFmtId="0" formula="'ActualP&amp;L_Metric' /Value" databaseField="0"/>
    <cacheField name="AvgVolatility_Metric" numFmtId="0" formula="'W/Avg Volatility' /Value" databaseField="0"/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8231C5FD-6A38-425A-8202-1B139D24CA84}" pivotIgnoreInvalidCache="1" r:id="rId1"/>
    </ext>
  </extLst>
</pivotCacheDefinition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APA"/>
    <x v="0"/>
    <d v="2024-12-01T00:00:00"/>
    <n v="2.2953000000000001"/>
    <n v="21.78"/>
    <n v="49.991634000000005"/>
    <n v="0.22038567493112926"/>
    <n v="0.45929999999999999"/>
    <n v="0.47982946860685666"/>
    <n v="2.4968515740223275E-2"/>
    <n v="22.961157496200002"/>
    <n v="26.58"/>
    <n v="61.009073999999998"/>
    <n v="23.59"/>
    <n v="54.146127"/>
    <n v="4.1544929999999951"/>
    <n v="17.579908117366596"/>
    <n v="4.7999999999999972"/>
    <n v="-2.1000459413167025"/>
    <n v="2.6999540586832946"/>
    <n v="111.4324910225011"/>
    <n v="8.9740433048209819E-3"/>
    <n v="0.77803273697370867"/>
  </r>
  <r>
    <x v="1"/>
    <s v="Robotics &amp; AI"/>
    <x v="1"/>
    <d v="2024-07-08T00:00:00"/>
    <n v="2"/>
    <n v="22.56"/>
    <n v="45.12"/>
    <n v="4.4999999999999998E-2"/>
    <n v="0.2"/>
    <n v="0.22499999999999998"/>
    <n v="1.1708151351898769E-2"/>
    <n v="9.0239999999999991"/>
    <n v="23.575199999999999"/>
    <n v="47.150399999999998"/>
    <n v="22.65"/>
    <n v="45.3"/>
    <n v="0.17999999999999972"/>
    <n v="19.532467532467532"/>
    <n v="1.0152000000000001"/>
    <n v="-1.5137662337662334"/>
    <n v="-0.49856623376623332"/>
    <n v="114.63101131495063"/>
    <n v="8.723642830407238E-3"/>
    <n v="0.80036512382574398"/>
  </r>
  <r>
    <x v="1"/>
    <s v="Batterey Value-Chain"/>
    <x v="2"/>
    <d v="2024-07-08T00:00:00"/>
    <n v="2"/>
    <n v="16.399000000000001"/>
    <n v="32.798000000000002"/>
    <n v="4.4999999999999998E-2"/>
    <n v="0.2"/>
    <n v="0.22499999999999998"/>
    <n v="1.1708151351898769E-2"/>
    <n v="6.5596000000000005"/>
    <n v="17.136955"/>
    <n v="34.273910000000001"/>
    <n v="16.874600000000001"/>
    <n v="33.749200000000002"/>
    <n v="0.95120000000000005"/>
    <n v="14.198268398268398"/>
    <n v="0.73795499999999947"/>
    <n v="-1.1003658008658013"/>
    <n v="-0.3624108008658018"/>
    <n v="114.49485588205019"/>
    <n v="8.7340168455268905E-3"/>
    <n v="0.79941447304928448"/>
  </r>
  <r>
    <x v="2"/>
    <s v="Albertson Companies"/>
    <x v="3"/>
    <d v="2024-12-04T00:00:00"/>
    <n v="2"/>
    <n v="20.5"/>
    <n v="41"/>
    <n v="0.2"/>
    <n v="0.2"/>
    <n v="1"/>
    <n v="5.2036228230661195E-2"/>
    <n v="8.2000000000000011"/>
    <n v="24.599999999999998"/>
    <n v="49.199999999999996"/>
    <n v="20.52"/>
    <n v="41.04"/>
    <n v="3.9999999999999147E-2"/>
    <n v="20.5"/>
    <n v="4.0999999999999979"/>
    <n v="0"/>
    <n v="4.0999999999999979"/>
    <n v="110.03244508118439"/>
    <n v="9.0882284699042876E-3"/>
    <n v="0.76825747694302682"/>
  </r>
  <r>
    <x v="3"/>
    <s v="ING Group NV"/>
    <x v="4"/>
    <d v="2024-11-27T00:00:00"/>
    <n v="1.9595"/>
    <n v="15.3"/>
    <n v="29.980350000000001"/>
    <n v="0.35"/>
    <n v="0.39532299999999998"/>
    <n v="0.88535197800279775"/>
    <n v="4.6070377591820914E-2"/>
    <n v="11.85192190305"/>
    <n v="20.655000000000001"/>
    <n v="40.4734725"/>
    <n v="17.03"/>
    <n v="33.370285000000003"/>
    <n v="3.3899350000000013"/>
    <n v="14.636624277854791"/>
    <n v="5.3550000000000004"/>
    <n v="-0.33168786107260484"/>
    <n v="5.0233121389273956"/>
    <n v="109.10913294225699"/>
    <n v="9.1651356127009313E-3"/>
    <n v="0.76181081974332665"/>
  </r>
  <r>
    <x v="2"/>
    <s v="Altaria"/>
    <x v="5"/>
    <d v="2024-09-18T00:00:00"/>
    <n v="1.7345999999999999"/>
    <n v="51.88"/>
    <n v="89.991048000000006"/>
    <n v="0.18430000000000002"/>
    <n v="0.19980000000000001"/>
    <n v="0.92242242242242245"/>
    <n v="4.7999383698252546E-2"/>
    <n v="17.980211390400001"/>
    <n v="61.441483999999996"/>
    <n v="106.57639814639998"/>
    <n v="53.34"/>
    <n v="92.523564000000007"/>
    <n v="2.5325160000000011"/>
    <n v="51.088133924175295"/>
    <n v="9.561483999999993"/>
    <n v="-0.39593303791235357"/>
    <n v="9.1655509620876394"/>
    <n v="104.96689411909675"/>
    <n v="9.5268132718625328E-3"/>
    <n v="0.73288929623425103"/>
  </r>
  <r>
    <x v="0"/>
    <s v="YPF"/>
    <x v="6"/>
    <d v="2024-12-01T00:00:00"/>
    <n v="1.2354000000000001"/>
    <n v="40.49"/>
    <n v="50.021346000000001"/>
    <n v="0.1"/>
    <n v="0.2"/>
    <n v="0.5"/>
    <n v="2.6018114115330598E-2"/>
    <n v="10.004269200000001"/>
    <n v="44.539000000000009"/>
    <n v="55.023480600000013"/>
    <n v="37.11"/>
    <n v="45.845694000000002"/>
    <n v="-4.1756519999999995"/>
    <n v="36.809090909090912"/>
    <n v="4.0490000000000066"/>
    <n v="-1.8404545454545449"/>
    <n v="2.2085454545454617"/>
    <n v="111.92389962663893"/>
    <n v="8.9346422286557883E-3"/>
    <n v="0.78146380073026223"/>
  </r>
  <r>
    <x v="1"/>
    <s v="Emergin Markets"/>
    <x v="7"/>
    <d v="2025-01-31T00:00:00"/>
    <n v="1"/>
    <n v="44.24"/>
    <n v="44.24"/>
    <n v="4.4999999999999998E-2"/>
    <n v="0.2"/>
    <n v="0.22499999999999998"/>
    <n v="1.1708151351898769E-2"/>
    <n v="8.8480000000000008"/>
    <n v="46.230800000000002"/>
    <n v="46.230800000000002"/>
    <n v="45.97"/>
    <n v="45.97"/>
    <n v="1.7299999999999969"/>
    <n v="38.303030303030305"/>
    <n v="1.9908000000000001"/>
    <n v="-2.9684848484848487"/>
    <n v="-0.9776848484848486"/>
    <n v="115.11012992966923"/>
    <n v="8.6873327361456972E-3"/>
    <n v="0.80371037765363607"/>
  </r>
  <r>
    <x v="1"/>
    <s v="Bitcoin ETF"/>
    <x v="8"/>
    <d v="2024-07-08T00:00:00"/>
    <n v="1"/>
    <n v="48.68"/>
    <n v="48.68"/>
    <n v="2.5000000000000001E-2"/>
    <n v="0.2"/>
    <n v="0.125"/>
    <n v="6.5045285288326494E-3"/>
    <n v="9.7360000000000007"/>
    <n v="49.896999999999998"/>
    <n v="49.896999999999998"/>
    <n v="49.3"/>
    <n v="49.3"/>
    <n v="0.61999999999999744"/>
    <n v="41.42978723404255"/>
    <n v="1.2169999999999987"/>
    <n v="-3.6251063829787249"/>
    <n v="-2.4081063829787261"/>
    <n v="116.54055146416312"/>
    <n v="8.5807042049865848E-3"/>
    <n v="0.81369772309746791"/>
  </r>
  <r>
    <x v="1"/>
    <s v="ETF5"/>
    <x v="9"/>
    <d v="2024-07-08T00:00:00"/>
    <n v="1"/>
    <n v="51.28"/>
    <n v="51.28"/>
    <n v="2.5000000000000001E-2"/>
    <n v="0.2"/>
    <n v="0.125"/>
    <n v="6.5045285288326494E-3"/>
    <n v="10.256"/>
    <n v="52.561999999999998"/>
    <n v="52.561999999999998"/>
    <n v="51.28"/>
    <n v="51.28"/>
    <n v="0"/>
    <n v="43.642553191489363"/>
    <n v="1.2819999999999965"/>
    <n v="-3.8187234042553193"/>
    <n v="-2.5367234042553228"/>
    <n v="116.66916848543971"/>
    <n v="8.5712447682765452E-3"/>
    <n v="0.81459573993409262"/>
  </r>
  <r>
    <x v="0"/>
    <s v="NextEra Energy"/>
    <x v="10"/>
    <d v="2024-08-07T00:00:00"/>
    <n v="0.74609999999999999"/>
    <n v="73.7"/>
    <n v="54.987569999999998"/>
    <n v="0.1"/>
    <n v="0.25990000000000002"/>
    <n v="0.38476337052712584"/>
    <n v="2.0021634563547979E-2"/>
    <n v="14.291269443000001"/>
    <n v="81.070000000000007"/>
    <n v="60.486327000000003"/>
    <n v="69.06"/>
    <n v="51.525666000000001"/>
    <n v="-3.461903999999997"/>
    <n v="63.539960341408751"/>
    <n v="7.3700000000000045"/>
    <n v="-5.080019829295626"/>
    <n v="2.2899801707043785"/>
    <n v="111.84246491048"/>
    <n v="8.9411477188061934E-3"/>
    <n v="0.78089521544138984"/>
  </r>
  <r>
    <x v="0"/>
    <s v="Excelon"/>
    <x v="11"/>
    <d v="2024-12-01T00:00:00"/>
    <n v="0.52039999999999997"/>
    <n v="40.340000000000003"/>
    <n v="20.992936"/>
    <n v="0.1"/>
    <n v="0.2"/>
    <n v="0.5"/>
    <n v="2.6018114115330598E-2"/>
    <n v="4.1985872000000004"/>
    <n v="44.374000000000009"/>
    <n v="23.092229600000003"/>
    <n v="42.65"/>
    <n v="22.195059999999998"/>
    <n v="1.2021239999999977"/>
    <n v="36.672727272727279"/>
    <n v="4.034000000000006"/>
    <n v="-1.8336363636363622"/>
    <n v="2.2003636363636438"/>
    <n v="111.93208144482074"/>
    <n v="8.9339891395923948E-3"/>
    <n v="0.78152092699868725"/>
  </r>
  <r>
    <x v="2"/>
    <s v="Kimberly Clark"/>
    <x v="12"/>
    <d v="2024-09-09T00:00:00"/>
    <n v="0.51380000000000003"/>
    <n v="138.53"/>
    <n v="71.176714000000004"/>
    <n v="7.0000000000000007E-2"/>
    <n v="0.18340000000000001"/>
    <n v="0.38167938931297712"/>
    <n v="1.9861155813229465E-2"/>
    <n v="13.053809347600001"/>
    <n v="148.22710000000001"/>
    <n v="76.159083980000005"/>
    <n v="137.93"/>
    <n v="70.868434000000008"/>
    <n v="-0.30827999999999633"/>
    <n v="124.42069337165439"/>
    <n v="9.697100000000006"/>
    <n v="-7.0546533141728034"/>
    <n v="2.6424466858272027"/>
    <n v="111.48999839535719"/>
    <n v="8.969414426340536E-3"/>
    <n v="0.77843425917148812"/>
  </r>
  <r>
    <x v="2"/>
    <s v="Pepsi"/>
    <x v="13"/>
    <d v="2024-06-17T00:00:00"/>
    <n v="0.51239999999999997"/>
    <n v="157.99"/>
    <n v="80.954076000000001"/>
    <n v="6.7199999999999996E-2"/>
    <n v="0.16439999999999999"/>
    <n v="0.40875912408759124"/>
    <n v="2.1270283072387059E-2"/>
    <n v="13.308850094399999"/>
    <n v="168.60692800000001"/>
    <n v="86.394189907200001"/>
    <n v="145.81"/>
    <n v="74.713043999999996"/>
    <n v="-6.2410320000000041"/>
    <n v="143.99380240612467"/>
    <n v="10.616928000000001"/>
    <n v="-6.9980987969376685"/>
    <n v="3.618829203062333"/>
    <n v="110.51361587812205"/>
    <n v="9.0486587743435331E-3"/>
    <n v="0.77161705931131142"/>
  </r>
  <r>
    <x v="4"/>
    <s v="TSMC"/>
    <x v="14"/>
    <d v="2024-07-11T00:00:00"/>
    <n v="0.4108"/>
    <n v="189.76"/>
    <n v="77.953407999999996"/>
    <n v="0.19835581787521095"/>
    <n v="0.37"/>
    <n v="0.53609680506813773"/>
    <n v="2.7896455702253901E-2"/>
    <n v="28.84276096"/>
    <n v="227.4"/>
    <n v="93.41592"/>
    <n v="200.95"/>
    <n v="82.550259999999994"/>
    <n v="4.5968519999999984"/>
    <n v="161.96043380326287"/>
    <n v="37.640000000000015"/>
    <n v="-13.899783098368559"/>
    <n v="23.740216901631456"/>
    <n v="90.39222817955293"/>
    <n v="1.10628979962041E-2"/>
    <n v="0.6311275288415521"/>
  </r>
  <r>
    <x v="5"/>
    <s v="Ingredion"/>
    <x v="15"/>
    <d v="2024-10-15T00:00:00"/>
    <n v="0.34860000000000002"/>
    <n v="131.91"/>
    <n v="45.983826000000001"/>
    <n v="0.1202"/>
    <n v="0.33710000000000001"/>
    <n v="0.35657075051913378"/>
    <n v="1.8554596954391801E-2"/>
    <n v="15.501147744600001"/>
    <n v="147.76558199999999"/>
    <n v="51.511081885199999"/>
    <n v="126.91"/>
    <n v="44.240825999999998"/>
    <n v="-1.7430000000000021"/>
    <n v="108.39838934998768"/>
    <n v="15.855581999999998"/>
    <n v="-11.755805325006158"/>
    <n v="4.0997766749938407"/>
    <n v="110.03266840619054"/>
    <n v="9.0882100242125827E-3"/>
    <n v="0.76825903622043479"/>
  </r>
  <r>
    <x v="6"/>
    <s v="Agios"/>
    <x v="16"/>
    <d v="2024-12-04T00:00:00"/>
    <n v="0.28749999999999998"/>
    <n v="34.78"/>
    <n v="9.99925"/>
    <n v="0.2"/>
    <n v="0.2"/>
    <n v="1"/>
    <n v="5.2036228230661195E-2"/>
    <n v="1.9998500000000001"/>
    <n v="41.735999999999997"/>
    <n v="11.999099999999999"/>
    <n v="34.020000000000003"/>
    <n v="9.7807499999999994"/>
    <n v="-0.21850000000000058"/>
    <n v="34.78"/>
    <n v="6.955999999999996"/>
    <n v="0"/>
    <n v="6.955999999999996"/>
    <n v="107.1764450811844"/>
    <n v="9.3304083676456744E-3"/>
    <n v="0.74831660084479601"/>
  </r>
  <r>
    <x v="0"/>
    <s v="First Solar"/>
    <x v="17"/>
    <d v="2024-08-07T00:00:00"/>
    <n v="0.25169999999999998"/>
    <n v="178.56"/>
    <n v="44.943551999999997"/>
    <n v="9.7782258064516236E-2"/>
    <n v="0.52980000000000005"/>
    <n v="0.18456447350795815"/>
    <n v="9.6040390667319325E-3"/>
    <n v="23.811093849599999"/>
    <n v="196.02"/>
    <n v="49.338234"/>
    <n v="162.5"/>
    <n v="40.901249999999997"/>
    <n v="-4.0423019999999994"/>
    <n v="124.69119255370553"/>
    <n v="17.460000000000008"/>
    <n v="-26.934403723147234"/>
    <n v="-9.4744037231472262"/>
    <n v="123.60684880433161"/>
    <n v="8.0901666022000929E-3"/>
    <n v="0.86303531404059042"/>
  </r>
  <r>
    <x v="4"/>
    <s v="Apple2"/>
    <x v="18"/>
    <d v="2024-07-09T00:00:00"/>
    <n v="1E-4"/>
    <n v="227.38"/>
    <n v="2.2738000000000001E-2"/>
    <n v="0.15"/>
    <n v="0.2271"/>
    <n v="0.66050198150594452"/>
    <n v="3.437003185644729E-2"/>
    <n v="5.1637998000000004E-3"/>
    <n v="261.48699999999997"/>
    <n v="2.6148699999999997E-2"/>
    <n v="244.87"/>
    <n v="2.4487000000000002E-2"/>
    <n v="1.7490000000000006E-3"/>
    <n v="211.10389007520189"/>
    <n v="34.106999999999971"/>
    <n v="-8.1380549623990532"/>
    <n v="25.968945037600918"/>
    <n v="88.163500043583468"/>
    <n v="1.1342562392664218E-2"/>
    <n v="0.6155663272953309"/>
  </r>
  <r>
    <x v="4"/>
    <s v="Microsoft"/>
    <x v="19"/>
    <d v="2024-10-09T00:00:00"/>
    <n v="0.16059999999999999"/>
    <n v="421.18"/>
    <n v="67.641508000000002"/>
    <n v="0.15"/>
    <n v="0.1963"/>
    <n v="0.76413652572592972"/>
    <n v="3.9762782652058987E-2"/>
    <n v="13.278028020400001"/>
    <n v="484.35699999999997"/>
    <n v="77.787734199999989"/>
    <n v="414.77"/>
    <n v="66.612061999999995"/>
    <n v="-1.0294460000000072"/>
    <n v="402.54229188569246"/>
    <n v="63.176999999999964"/>
    <n v="-9.3188540571537715"/>
    <n v="53.858145942846193"/>
    <n v="60.274299138338193"/>
    <n v="1.6590819209773906E-2"/>
    <n v="0.4208411523197837"/>
  </r>
  <r>
    <x v="3"/>
    <s v="Master Card"/>
    <x v="20"/>
    <d v="2024-08-07T00:00:00"/>
    <n v="0.12939999999999999"/>
    <n v="501.56"/>
    <n v="64.901863999999989"/>
    <n v="0.25"/>
    <n v="0.29699999999999999"/>
    <n v="0.84175084175084181"/>
    <n v="4.3801538914697978E-2"/>
    <n v="19.275853607999995"/>
    <n v="626.95000000000005"/>
    <n v="81.127330000000001"/>
    <n v="568.5"/>
    <n v="73.56389999999999"/>
    <n v="8.6620360000000005"/>
    <n v="479.04489016236869"/>
    <n v="125.39000000000004"/>
    <n v="-11.257554918815657"/>
    <n v="114.13244508118439"/>
    <n v="0"/>
    <n v="0"/>
    <n v="0"/>
  </r>
  <r>
    <x v="4"/>
    <s v="Google"/>
    <x v="21"/>
    <d v="2025-01-21T00:00:00"/>
    <n v="5.3800000000000001E-2"/>
    <n v="185.82"/>
    <n v="9.9971160000000001"/>
    <n v="2.4701323861801683E-2"/>
    <n v="0.26790000000000003"/>
    <n v="9.2203523187016356E-2"/>
    <n v="4.7979235762306447E-3"/>
    <n v="2.6782273764000002"/>
    <n v="190.40999999999997"/>
    <n v="10.244057999999999"/>
    <n v="185.27"/>
    <n v="9.9675260000000012"/>
    <n v="-2.9589999999998895E-2"/>
    <n v="149.46927113630838"/>
    <n v="4.589999999999975"/>
    <n v="-18.175364431845807"/>
    <n v="-13.585364431845832"/>
    <n v="127.71780951303022"/>
    <n v="7.8297615956056353E-3"/>
    <n v="0.8917384506431304"/>
  </r>
  <r>
    <x v="5"/>
    <s v="Yum! Brands"/>
    <x v="22"/>
    <d v="2024-10-15T00:00:00"/>
    <n v="2.9999999999999997E-4"/>
    <n v="130.51"/>
    <n v="3.9152999999999993E-2"/>
    <n v="7.0000000000000007E-2"/>
    <n v="0.1623"/>
    <n v="0.43130006161429457"/>
    <n v="2.2443228442059669E-2"/>
    <n v="6.3545318999999991E-3"/>
    <n v="139.64570000000001"/>
    <n v="4.1893710000000001E-2"/>
    <n v="148.29"/>
    <n v="4.4486999999999992E-2"/>
    <n v="5.3339999999999985E-3"/>
    <n v="119.48182733681222"/>
    <n v="9.1357000000000141"/>
    <n v="-5.5140863315938873"/>
    <n v="3.6216136684061269"/>
    <n v="110.51083141277826"/>
    <n v="9.0488867671696012E-3"/>
    <n v="0.77159761789729864"/>
  </r>
  <r>
    <x v="0"/>
    <s v="Maxeon Solar"/>
    <x v="23"/>
    <d v="2024-08-07T00:00:00"/>
    <n v="9.9999999999999998E-20"/>
    <n v="10.92"/>
    <n v="1.092E-18"/>
    <n v="1"/>
    <n v="1.8652"/>
    <n v="0.53613553506326406"/>
    <n v="2.7898471065119668E-2"/>
    <n v="2.0367984000000001E-18"/>
    <n v="21.84"/>
    <n v="2.1840000000000001E-18"/>
    <n v="5.64"/>
    <n v="5.6399999999999995E-19"/>
    <n v="-5.280000000000001E-19"/>
    <n v="5.8546000428908433"/>
    <n v="10.92"/>
    <n v="-2.5326999785545783"/>
    <n v="8.3873000214454212"/>
    <n v="105.74514505973896"/>
    <n v="9.456698928684306E-3"/>
    <n v="0.73832312171768166"/>
  </r>
  <r>
    <x v="3"/>
    <s v="Visa"/>
    <x v="24"/>
    <d v="2024-08-07T00:00:00"/>
    <n v="9.9999999999999998E-20"/>
    <n v="283.43"/>
    <n v="2.8342999999999998E-17"/>
    <n v="0.25"/>
    <n v="0.26"/>
    <n v="0.96153846153846145"/>
    <n v="5.0034834837174219E-2"/>
    <n v="7.3691799999999998E-18"/>
    <n v="354.28750000000002"/>
    <n v="3.542875E-17"/>
    <n v="355.23"/>
    <n v="3.5522999999999998E-17"/>
    <n v="7.1800000000000003E-18"/>
    <n v="280.62376237623761"/>
    <n v="70.857500000000016"/>
    <n v="-1.4031188118811997"/>
    <n v="69.454381188118816"/>
    <n v="44.67806389306557"/>
    <n v="2.2382348581474875E-2"/>
    <n v="0.311946686414727"/>
  </r>
  <r>
    <x v="4"/>
    <s v="QualComm2"/>
    <x v="25"/>
    <d v="2024-09-09T00:00:00"/>
    <n v="9.9999999999999998E-20"/>
    <n v="188.12"/>
    <n v="1.8812000000000001E-17"/>
    <n v="0.15"/>
    <n v="0.37780000000000002"/>
    <n v="0.39703546850185278"/>
    <n v="2.0660228254629907E-2"/>
    <n v="7.1071736000000005E-18"/>
    <n v="216.33799999999999"/>
    <n v="2.16338E-17"/>
    <n v="175.22"/>
    <n v="1.7522E-17"/>
    <n v="-1.2900000000000016E-18"/>
    <n v="153.21713634142367"/>
    <n v="28.217999999999989"/>
    <n v="-17.451431829288168"/>
    <n v="10.766568170711821"/>
    <n v="103.36587691047256"/>
    <n v="9.6743725288193673E-3"/>
    <n v="0.72171083482377829"/>
  </r>
  <r>
    <x v="5"/>
    <s v="LVMH"/>
    <x v="26"/>
    <d v="2024-09-27T00:00:00"/>
    <n v="9.9999999999999998E-20"/>
    <n v="668.82"/>
    <n v="6.6881999999999999E-17"/>
    <n v="0.05"/>
    <n v="0.28000000000000003"/>
    <n v="0.17857142857142858"/>
    <n v="9.2921836126180716E-3"/>
    <n v="1.872696E-17"/>
    <n v="702.26100000000008"/>
    <n v="7.0226100000000009E-17"/>
    <s v="#VALUE!"/>
    <n v="6.6881999999999999E-17"/>
    <n v="0"/>
    <n v="543.7560975609756"/>
    <n v="33.441000000000031"/>
    <n v="-62.531951219512223"/>
    <n v="-29.090951219512192"/>
    <n v="143.22339630069658"/>
    <n v="6.9820994741704523E-3"/>
    <n v="1"/>
  </r>
  <r>
    <x v="4"/>
    <s v="ASML"/>
    <x v="27"/>
    <d v="2024-07-08T00:00:00"/>
    <n v="9.9999999999999998E-20"/>
    <n v="700.32"/>
    <n v="7.0031999999999998E-17"/>
    <n v="0.1"/>
    <n v="0.45340000000000003"/>
    <n v="0.22055580061755625"/>
    <n v="1.1476891978531363E-2"/>
    <n v="3.1752508800000004E-17"/>
    <n v="770.35200000000009"/>
    <n v="7.7035200000000004E-17"/>
    <n v="744.8"/>
    <n v="7.4479999999999992E-17"/>
    <n v="4.4479999999999936E-18"/>
    <n v="517.45234224915032"/>
    <n v="70.032000000000039"/>
    <n v="-91.433828875424865"/>
    <n v="-21.401828875424826"/>
    <n v="135.53427395660921"/>
    <n v="7.3782075249847591E-3"/>
    <n v="0.94631378292451529"/>
  </r>
  <r>
    <x v="4"/>
    <s v="Nvidia"/>
    <x v="28"/>
    <d v="2024-07-09T00:00:00"/>
    <n v="9.9999999999999998E-20"/>
    <n v="147.01"/>
    <n v="1.4700999999999999E-17"/>
    <n v="0.15"/>
    <n v="0.52380000000000004"/>
    <n v="0.28636884306987398"/>
    <n v="1.4901554476134362E-2"/>
    <n v="7.7003838000000003E-18"/>
    <n v="169.06149999999997"/>
    <n v="1.6906149999999997E-17"/>
    <n v="139.22999999999999"/>
    <n v="1.3922999999999999E-17"/>
    <n v="-7.7800000000000002E-19"/>
    <n v="107.00975396709855"/>
    <n v="22.051499999999976"/>
    <n v="-20.000123016450722"/>
    <n v="2.0513769835492539"/>
    <n v="112.08106809763513"/>
    <n v="8.9221134039237406E-3"/>
    <n v="0.78256116662896091"/>
  </r>
  <r>
    <x v="4"/>
    <s v="Applied Material"/>
    <x v="29"/>
    <d v="2024-07-08T00:00:00"/>
    <n v="9.9999999999999998E-20"/>
    <n v="169.34"/>
    <n v="1.6933999999999999E-17"/>
    <n v="0.1"/>
    <n v="0.4259"/>
    <n v="0.23479690068091102"/>
    <n v="1.2217945111683776E-2"/>
    <n v="7.2121906000000005E-18"/>
    <n v="186.27400000000003"/>
    <n v="1.8627400000000003E-17"/>
    <n v="174.06"/>
    <n v="1.7406000000000001E-17"/>
    <n v="4.720000000000018E-19"/>
    <n v="127.71702239987934"/>
    <n v="16.934000000000026"/>
    <n v="-20.811488800060332"/>
    <n v="-3.8774888000603056"/>
    <n v="118.00993388124469"/>
    <n v="8.4738628953585915E-3"/>
    <n v="0.82395709729912847"/>
  </r>
  <r>
    <x v="0"/>
    <s v="Duke Energy"/>
    <x v="30"/>
    <d v="2024-08-07T00:00:00"/>
    <n v="9.9999999999999998E-20"/>
    <n v="113.58"/>
    <n v="1.1357999999999999E-17"/>
    <n v="6.664905793273479E-2"/>
    <n v="0.16439999999999999"/>
    <n v="0.40540789496797319"/>
    <n v="2.1095897749065375E-2"/>
    <n v="1.8672551999999998E-18"/>
    <n v="121.15000000000002"/>
    <n v="1.2115000000000002E-17"/>
    <n v="111.79"/>
    <n v="1.1179E-17"/>
    <n v="-1.7899999999999882E-19"/>
    <n v="103.46609203186667"/>
    <n v="7.5700000000000216"/>
    <n v="-5.0569539840666664"/>
    <n v="2.5130460159333552"/>
    <n v="111.61939906525103"/>
    <n v="8.9590161600441413E-3"/>
    <n v="0.77933774752071117"/>
  </r>
  <r>
    <x v="4"/>
    <s v="Palantir"/>
    <x v="31"/>
    <d v="2024-07-08T00:00:00"/>
    <n v="9.9999999999999998E-20"/>
    <n v="64.349999999999994"/>
    <n v="6.4349999999999993E-18"/>
    <n v="0.15"/>
    <n v="0.67300000000000004"/>
    <n v="0.22288261515601782"/>
    <n v="1.1597970630905169E-2"/>
    <n v="4.3307549999999997E-18"/>
    <n v="74.002499999999984"/>
    <n v="7.4002499999999988E-18"/>
    <n v="112.06"/>
    <n v="1.1206E-17"/>
    <n v="4.771000000000001E-18"/>
    <n v="42.252133946158892"/>
    <n v="9.6524999999999892"/>
    <n v="-11.048933026920551"/>
    <n v="-1.3964330269205618"/>
    <n v="115.52887810810495"/>
    <n v="8.6558444639638962E-3"/>
    <n v="0.80663411909010196"/>
  </r>
  <r>
    <x v="0"/>
    <s v="Jinko Solar"/>
    <x v="32"/>
    <d v="2024-08-07T00:00:00"/>
    <n v="9.9999999999999998E-20"/>
    <n v="20.82"/>
    <n v="2.0820000000000002E-18"/>
    <n v="0.05"/>
    <n v="0.7389"/>
    <n v="6.7668155366084726E-2"/>
    <n v="3.521195576577426E-3"/>
    <n v="1.5383898E-18"/>
    <n v="21.861000000000001"/>
    <n v="2.1860999999999999E-18"/>
    <n v="23.2"/>
    <n v="2.32E-18"/>
    <n v="2.3799999999999981E-19"/>
    <n v="12.327550476641601"/>
    <n v="1.0410000000000004"/>
    <n v="-4.2462247616791995"/>
    <n v="-3.2052247616791991"/>
    <n v="117.33766984286359"/>
    <n v="8.5224122938454567E-3"/>
    <n v="0.81926328291024408"/>
  </r>
  <r>
    <x v="0"/>
    <s v="SolarWinds"/>
    <x v="33"/>
    <d v="2024-08-07T00:00:00"/>
    <n v="9.9999999999999998E-20"/>
    <n v="13.04"/>
    <n v="1.304E-18"/>
    <n v="5.2147239263803824E-2"/>
    <n v="0.30159999999999998"/>
    <n v="0.17290198694895167"/>
    <n v="8.9971672544104531E-3"/>
    <n v="3.9328639999999997E-19"/>
    <n v="13.72"/>
    <n v="1.3720000000000001E-18"/>
    <n v="18.309999999999999"/>
    <n v="1.8309999999999997E-18"/>
    <n v="5.2699999999999978E-19"/>
    <n v="10.436569040286594"/>
    <n v="0.68000000000000149"/>
    <n v="-1.3017154798567026"/>
    <n v="-0.62171547985670106"/>
    <n v="114.75416056104109"/>
    <n v="8.7142809908671761E-3"/>
    <n v="0.80122496411211674"/>
  </r>
  <r>
    <x v="0"/>
    <s v="Canadian Solar"/>
    <x v="34"/>
    <d v="2024-08-07T00:00:00"/>
    <n v="9.9999999999999998E-20"/>
    <n v="11.05"/>
    <n v="1.1050000000000001E-18"/>
    <n v="0.05"/>
    <n v="0.72170000000000001"/>
    <n v="6.9280864625190522E-2"/>
    <n v="3.6051148836539555E-3"/>
    <n v="7.9747850000000009E-19"/>
    <n v="11.602500000000001"/>
    <n v="1.16025E-18"/>
    <n v="11.05"/>
    <n v="1.1050000000000001E-18"/>
    <n v="0"/>
    <n v="6.6100376861877139"/>
    <n v="0.55250000000000021"/>
    <n v="-2.2199811569061434"/>
    <n v="-1.6674811569061432"/>
    <n v="115.79992623809053"/>
    <n v="8.6355840844315329E-3"/>
    <n v="0.80852660409594923"/>
  </r>
  <r>
    <x v="7"/>
    <s v="Gold"/>
    <x v="35"/>
    <d v="2025-01-30T00:00:00"/>
    <n v="9.9999999999999998E-20"/>
    <n v="2742.9"/>
    <n v="2.7429000000000002E-16"/>
    <n v="0.1"/>
    <n v="0.5"/>
    <n v="0.2"/>
    <n v="1.040724564613224E-2"/>
    <n v="1.3714500000000001E-16"/>
    <n v="3017.1900000000005"/>
    <n v="3.0171900000000003E-16"/>
    <n v="0.78559999999999997"/>
    <n v="7.8559999999999989E-20"/>
    <n v="-2.7421144000000001E-16"/>
    <n v="1959.214285714286"/>
    <n v="274.29000000000042"/>
    <n v="-391.84285714285704"/>
    <n v="-117.55285714285662"/>
    <n v="231.68530222404101"/>
    <n v="4.316199562080957E-3"/>
    <n v="1.6176498268314992"/>
  </r>
  <r>
    <x v="2"/>
    <s v="Walmart"/>
    <x v="36"/>
    <d v="2024-08-01T00:00:00"/>
    <n v="9.9999999999999998E-20"/>
    <n v="86.6"/>
    <n v="8.6599999999999986E-18"/>
    <n v="7.0000000000000007E-2"/>
    <n v="0.17249999999999999"/>
    <n v="0.40579710144927544"/>
    <n v="2.1116150586355274E-2"/>
    <n v="1.4938499999999996E-18"/>
    <n v="92.662000000000006"/>
    <n v="9.2662000000000008E-18"/>
    <n v="104"/>
    <n v="1.04E-17"/>
    <n v="1.7400000000000015E-18"/>
    <n v="78.548752834467123"/>
    <n v="6.0620000000000118"/>
    <n v="-4.0256235827664355"/>
    <n v="2.0363764172335763"/>
    <n v="112.0960686639508"/>
    <n v="8.9209194570227766E-3"/>
    <n v="0.78266590207514586"/>
  </r>
  <r>
    <x v="8"/>
    <s v="Aptive Autoparts"/>
    <x v="37"/>
    <d v="2024-09-27T00:00:00"/>
    <n v="9.9999999999999998E-20"/>
    <n v="56"/>
    <n v="5.5999999999999995E-18"/>
    <n v="7.0000000000000007E-2"/>
    <n v="0.19"/>
    <n v="0.36842105263157898"/>
    <n v="1.9171241979717285E-2"/>
    <n v="1.0639999999999999E-18"/>
    <n v="59.92"/>
    <n v="5.9920000000000002E-18"/>
    <n v="66.66"/>
    <n v="6.6659999999999998E-18"/>
    <n v="1.0660000000000003E-18"/>
    <n v="50.000000000000007"/>
    <n v="3.9200000000000017"/>
    <n v="-2.9999999999999964"/>
    <n v="0.92000000000000526"/>
    <n v="113.21244508118438"/>
    <n v="8.832951176727102E-3"/>
    <n v="0.79046055327088882"/>
  </r>
  <r>
    <x v="7"/>
    <s v="Mexican Peso"/>
    <x v="38"/>
    <d v="2024-10-15T00:00:00"/>
    <n v="9.9999999999999998E-20"/>
    <n v="17"/>
    <n v="1.7E-18"/>
    <n v="0.1"/>
    <n v="0.15"/>
    <n v="0.66666666666666674"/>
    <n v="3.4690818820440804E-2"/>
    <n v="2.5499999999999999E-19"/>
    <n v="21.2"/>
    <n v="2.1199999999999999E-18"/>
    <n v="20.431999999999999"/>
    <n v="2.0431999999999997E-18"/>
    <n v="3.4319999999999965E-19"/>
    <n v="16.190476190476193"/>
    <n v="4.1999999999999993"/>
    <n v="-0.40476190476190332"/>
    <n v="3.795238095238096"/>
    <n v="110.3372069859463"/>
    <n v="9.0631259147911057E-3"/>
    <n v="0.77038535487801207"/>
  </r>
  <r>
    <x v="5"/>
    <s v="Yum China Holding"/>
    <x v="39"/>
    <d v="2024-10-09T00:00:00"/>
    <n v="9.9999999999999998E-20"/>
    <n v="47.42"/>
    <n v="4.7419999999999999E-18"/>
    <n v="7.0000000000000007E-2"/>
    <n v="0.4"/>
    <n v="0.17500000000000002"/>
    <n v="9.1063399403657104E-3"/>
    <n v="1.8968000000000002E-18"/>
    <n v="50.739400000000003"/>
    <n v="5.0739400000000001E-18"/>
    <n v="47.29"/>
    <n v="4.729E-18"/>
    <n v="-1.2999999999999854E-20"/>
    <n v="35.654135338345867"/>
    <n v="3.3194000000000017"/>
    <n v="-5.8829323308270673"/>
    <n v="-2.5635323308270657"/>
    <n v="116.69597741201144"/>
    <n v="8.5692756697976005E-3"/>
    <n v="0.81478292252621221"/>
  </r>
  <r>
    <x v="5"/>
    <s v="MSG"/>
    <x v="40"/>
    <d v="2024-08-03T00:00:00"/>
    <n v="9.9999999999999998E-20"/>
    <n v="41.8"/>
    <n v="4.1799999999999993E-18"/>
    <n v="7.0000000000000007E-2"/>
    <n v="0.4"/>
    <n v="0.17500000000000002"/>
    <n v="9.1063399403657104E-3"/>
    <n v="1.6719999999999998E-18"/>
    <n v="44.725999999999999"/>
    <n v="4.4725999999999996E-18"/>
    <n v="38.39"/>
    <n v="3.8390000000000001E-18"/>
    <n v="-3.4099999999999919E-19"/>
    <n v="31.428571428571431"/>
    <n v="2.9260000000000019"/>
    <n v="-5.1857142857142833"/>
    <n v="-2.2597142857142813"/>
    <n v="116.39215936689867"/>
    <n v="8.5916440200042802E-3"/>
    <n v="0.81266163471318675"/>
  </r>
  <r>
    <x v="7"/>
    <s v="Japan Yen"/>
    <x v="41"/>
    <d v="2024-10-09T00:00:00"/>
    <n v="9.9999999999999998E-20"/>
    <n v="153.7552"/>
    <n v="1.5375519999999999E-17"/>
    <n v="7.0000000000000007E-2"/>
    <n v="0.19"/>
    <n v="0.36842105263157898"/>
    <n v="1.9171241979717285E-2"/>
    <n v="2.9213487999999999E-18"/>
    <n v="164.51806400000001"/>
    <n v="1.6451806399999999E-17"/>
    <n v="151.47"/>
    <n v="1.5146999999999998E-17"/>
    <n v="-2.28520000000001E-19"/>
    <n v="137.28142857142859"/>
    <n v="10.762864000000008"/>
    <n v="-8.2368857142857053"/>
    <n v="2.5259782857143023"/>
    <n v="111.60646679547008"/>
    <n v="8.9600542756415637E-3"/>
    <n v="0.77924745312667376"/>
  </r>
  <r>
    <x v="9"/>
    <s v="3M"/>
    <x v="42"/>
    <d v="2024-12-01T00:00:00"/>
    <n v="9.9999999999999998E-20"/>
    <n v="133.53"/>
    <n v="1.3353E-17"/>
    <n v="7.0000000000000007E-2"/>
    <n v="0.2"/>
    <n v="0.35000000000000003"/>
    <n v="1.8212679880731421E-2"/>
    <n v="2.6706000000000003E-18"/>
    <n v="142.87710000000001"/>
    <n v="1.428771E-17"/>
    <n v="150.19999999999999"/>
    <n v="1.5019999999999999E-17"/>
    <n v="1.6669999999999989E-18"/>
    <n v="118.16814159292036"/>
    <n v="9.3471000000000117"/>
    <n v="-7.6809292035398187"/>
    <n v="1.6661707964601931"/>
    <n v="112.46627428472419"/>
    <n v="8.8915544358512261E-3"/>
    <n v="0.78525071454528272"/>
  </r>
  <r>
    <x v="0"/>
    <s v="PG&amp;E"/>
    <x v="43"/>
    <d v="2024-12-01T00:00:00"/>
    <n v="9.9999999999999998E-20"/>
    <n v="26.63"/>
    <n v="2.663E-18"/>
    <n v="0.1"/>
    <n v="0.2"/>
    <n v="0.5"/>
    <n v="2.6018114115330598E-2"/>
    <n v="5.3260000000000006E-19"/>
    <n v="29.293000000000003"/>
    <n v="2.9293000000000003E-18"/>
    <n v="15.66"/>
    <n v="1.566E-18"/>
    <n v="-1.097E-18"/>
    <n v="24.209090909090911"/>
    <n v="2.6630000000000038"/>
    <n v="-1.2104545454545441"/>
    <n v="1.4525454545454597"/>
    <n v="112.67989962663893"/>
    <n v="8.8746972912956655E-3"/>
    <n v="0.78674226793273505"/>
  </r>
  <r>
    <x v="6"/>
    <s v="HCA Healthcare"/>
    <x v="44"/>
    <d v="2024-12-04T00:00:00"/>
    <n v="9.9999999999999998E-20"/>
    <n v="323.75"/>
    <n v="3.2375000000000002E-17"/>
    <n v="0.2"/>
    <n v="0.2"/>
    <n v="1"/>
    <n v="5.2036228230661195E-2"/>
    <n v="6.4750000000000006E-18"/>
    <n v="388.5"/>
    <n v="3.8849999999999999E-17"/>
    <n v="320.56"/>
    <n v="3.2055999999999996E-17"/>
    <n v="-3.1900000000000578E-19"/>
    <n v="323.75"/>
    <n v="64.75"/>
    <n v="0"/>
    <n v="64.75"/>
    <n v="49.382445081184386"/>
    <n v="2.0250111114506524E-2"/>
    <n v="0.344793143834588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3820F-3516-4CF2-993A-BA724C9372C5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4" firstHeaderRow="0" firstDataRow="1" firstDataCol="1"/>
  <pivotFields count="29">
    <pivotField axis="axisRow" showAll="0" sortType="descending">
      <items count="11">
        <item sd="0" x="5"/>
        <item sd="0" x="8"/>
        <item sd="0" x="3"/>
        <item sd="0" x="0"/>
        <item sd="0" x="7"/>
        <item sd="0" x="6"/>
        <item sd="0" x="9"/>
        <item sd="0" x="4"/>
        <item sd="0" x="2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6">
        <item x="18"/>
        <item x="3"/>
        <item x="16"/>
        <item x="29"/>
        <item x="0"/>
        <item x="37"/>
        <item x="27"/>
        <item x="2"/>
        <item x="9"/>
        <item x="1"/>
        <item x="34"/>
        <item x="40"/>
        <item x="30"/>
        <item x="11"/>
        <item x="17"/>
        <item x="35"/>
        <item x="21"/>
        <item x="44"/>
        <item x="4"/>
        <item x="15"/>
        <item x="32"/>
        <item x="12"/>
        <item x="20"/>
        <item x="23"/>
        <item x="26"/>
        <item x="42"/>
        <item x="5"/>
        <item x="19"/>
        <item x="10"/>
        <item x="28"/>
        <item x="43"/>
        <item x="13"/>
        <item x="31"/>
        <item x="25"/>
        <item x="33"/>
        <item x="14"/>
        <item x="41"/>
        <item x="38"/>
        <item x="24"/>
        <item x="8"/>
        <item x="36"/>
        <item x="6"/>
        <item x="22"/>
        <item x="3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4" showAll="0"/>
    <pivotField numFmtId="44" showAll="0"/>
    <pivotField dataField="1" numFmtId="44" showAll="0"/>
    <pivotField showAll="0"/>
    <pivotField showAll="0"/>
    <pivotField numFmtId="9" showAll="0"/>
    <pivotField numFmtId="9" showAll="0"/>
    <pivotField numFmtId="9" showAll="0"/>
    <pivotField numFmtId="44" showAll="0"/>
    <pivotField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9" showAll="0"/>
    <pivotField numFmtId="9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0"/>
    <field x="2"/>
  </rowFields>
  <rowItems count="11">
    <i>
      <x v="8"/>
    </i>
    <i>
      <x v="9"/>
    </i>
    <i>
      <x v="3"/>
    </i>
    <i>
      <x v="7"/>
    </i>
    <i>
      <x v="2"/>
    </i>
    <i>
      <x/>
    </i>
    <i>
      <x v="5"/>
    </i>
    <i>
      <x v="4"/>
    </i>
    <i>
      <x v="6"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Initial Volume $" fld="6" baseField="0" baseItem="0" numFmtId="44"/>
    <dataField name="$%" fld="6" baseField="0" baseItem="7" numFmtId="9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Volatility " fld="28" baseField="0" baseItem="8" numFmtId="10"/>
    <dataField name="Target Return %" fld="24" baseField="0" baseItem="0" numFmtId="10"/>
    <dataField name="Target P&amp;L" fld="25" baseField="0" baseItem="0" numFmtId="44"/>
    <dataField name="Actual Return %" fld="27" baseField="0" baseItem="8" numFmtId="10"/>
    <dataField name="Actual P&amp;L " fld="26" baseField="0" baseItem="0" numFmtId="44"/>
  </dataFields>
  <formats count="8"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outline="0" fieldPosition="0">
        <references count="1">
          <reference field="4294967294" count="1">
            <x v="3"/>
          </reference>
        </references>
      </pivotArea>
    </format>
    <format dxfId="18">
      <pivotArea outline="0" fieldPosition="0">
        <references count="1">
          <reference field="4294967294" count="1">
            <x v="5"/>
          </reference>
        </references>
      </pivotArea>
    </format>
    <format dxfId="13">
      <pivotArea outline="0" fieldPosition="0">
        <references count="1">
          <reference field="4294967294" count="1">
            <x v="2"/>
          </reference>
        </references>
      </pivotArea>
    </format>
    <format dxfId="2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1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0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3">
  <a r="1">
    <v t="i">0</v>
  </a>
  <a r="1">
    <v>23.59</v>
  </a>
  <a r="1">
    <v>11.05</v>
  </a>
  <a r="1">
    <v>53.34</v>
  </a>
  <a r="1">
    <v>355.23</v>
  </a>
  <a r="1">
    <v>42.65</v>
  </a>
  <a r="1">
    <v>69.06</v>
  </a>
  <a r="1">
    <v>414.77</v>
  </a>
  <a r="1">
    <v>34.020000000000003</v>
  </a>
  <a r="1">
    <v>148.29</v>
  </a>
  <a r="1">
    <v>45.97</v>
  </a>
  <a r="1">
    <v>175.22</v>
  </a>
  <a r="1">
    <v>5.64</v>
  </a>
  <a r="1">
    <v>139.22999999999999</v>
  </a>
  <a r="1">
    <v>112.06</v>
  </a>
  <a r="1">
    <v>18.309999999999999</v>
  </a>
  <a r="1">
    <v>66.66</v>
  </a>
  <a r="1">
    <v>174.06</v>
  </a>
  <a r="1">
    <v>38.39</v>
  </a>
  <a r="1">
    <v>15.66</v>
  </a>
  <a r="1">
    <v>0.78559999999999997</v>
  </a>
  <a r="1">
    <v>320.56</v>
  </a>
  <a r="1">
    <v>126.91</v>
  </a>
  <a r="1">
    <v>185.27</v>
  </a>
  <a r="1">
    <v>111.79</v>
  </a>
  <a r="1">
    <v>104</v>
  </a>
  <a r="1">
    <v>150.19999999999999</v>
  </a>
  <a r="1">
    <v>137.93</v>
  </a>
  <a r="1">
    <v>151.47</v>
  </a>
  <a r="1">
    <v>568.5</v>
  </a>
  <a r="1">
    <v>20.431999999999999</v>
  </a>
  <a r="1">
    <v>16.874600000000001</v>
  </a>
  <a r="1">
    <v>200.95</v>
  </a>
  <a r="1">
    <v>162.5</v>
  </a>
  <a r="1">
    <v>23.2</v>
  </a>
  <a r="1">
    <v>37.11</v>
  </a>
  <a r="1">
    <v>17.03</v>
  </a>
  <a r="1">
    <v>49.3</v>
  </a>
  <a r="1">
    <v>145.81</v>
  </a>
  <a r="1">
    <v>244.87</v>
  </a>
  <a r="1">
    <v>744.8</v>
  </a>
  <a r="1">
    <v>47.29</v>
  </a>
  <a r="46">
    <v t="r">0</v>
    <v t="e">#NULL!</v>
    <v t="r">1</v>
    <v t="e">#NULL!</v>
    <v t="r">2</v>
    <v t="r">3</v>
    <v t="r">4</v>
    <v t="r">5</v>
    <v t="r">6</v>
    <v t="e">#NULL!</v>
    <v t="r">7</v>
    <v t="r">8</v>
    <v t="r">9</v>
    <v t="r">10</v>
    <v t="r">11</v>
    <v t="r">12</v>
    <v t="r">13</v>
    <v t="r">14</v>
    <v t="r">15</v>
    <v t="r">16</v>
    <v t="r">17</v>
    <v t="r">18</v>
    <v t="r">19</v>
    <v t="r">20</v>
    <v t="r">21</v>
    <v t="r">22</v>
    <v t="r">83</v>
    <v t="r">24</v>
    <v t="r">25</v>
    <v t="r">26</v>
    <v t="r">27</v>
    <v t="r">28</v>
    <v t="r">29</v>
    <v t="r">30</v>
    <v t="r">31</v>
    <v t="r">32</v>
    <v t="r">33</v>
    <v t="r">34</v>
    <v t="r">35</v>
    <v t="r">36</v>
    <v t="r">37</v>
    <v t="r">38</v>
    <v t="r">39</v>
    <v t="r">40</v>
    <v t="r">41</v>
    <v t="i">2</v>
  </a>
</arrayData>
</file>

<file path=xl/richData/rdrichvalue.xml><?xml version="1.0" encoding="utf-8"?>
<rvData xmlns="http://schemas.microsoft.com/office/spreadsheetml/2017/richdata" count="86">
  <rv s="0">
    <fb>23.59</fb>
    <v>0</v>
  </rv>
  <rv s="0">
    <fb>16.874600000000001</fb>
    <v>1</v>
  </rv>
  <rv s="0">
    <fb>17.03</fb>
    <v>0</v>
  </rv>
  <rv s="0">
    <fb>53.34</fb>
    <v>0</v>
  </rv>
  <rv s="0">
    <fb>37.11</fb>
    <v>0</v>
  </rv>
  <rv s="0">
    <fb>45.97</fb>
    <v>0</v>
  </rv>
  <rv s="0">
    <fb>49.3</fb>
    <v>1</v>
  </rv>
  <rv s="0">
    <fb>69.06</fb>
    <v>0</v>
  </rv>
  <rv s="0">
    <fb>42.65</fb>
    <v>0</v>
  </rv>
  <rv s="0">
    <fb>137.93</fb>
    <v>0</v>
  </rv>
  <rv s="0">
    <fb>145.81</fb>
    <v>0</v>
  </rv>
  <rv s="0">
    <fb>200.95</fb>
    <v>0</v>
  </rv>
  <rv s="0">
    <fb>126.91</fb>
    <v>0</v>
  </rv>
  <rv s="0">
    <fb>34.020000000000003</fb>
    <v>0</v>
  </rv>
  <rv s="0">
    <fb>162.5</fb>
    <v>0</v>
  </rv>
  <rv s="0">
    <fb>244.87</fb>
    <v>0</v>
  </rv>
  <rv s="0">
    <fb>414.77</fb>
    <v>0</v>
  </rv>
  <rv s="0">
    <fb>568.5</fb>
    <v>0</v>
  </rv>
  <rv s="0">
    <fb>185.27</fb>
    <v>0</v>
  </rv>
  <rv s="0">
    <fb>148.29</fb>
    <v>0</v>
  </rv>
  <rv s="0">
    <fb>5.64</fb>
    <v>0</v>
  </rv>
  <rv s="0">
    <fb>355.23</fb>
    <v>0</v>
  </rv>
  <rv s="0">
    <fb>175.22</fb>
    <v>0</v>
  </rv>
  <rv s="1">
    <v>2</v>
    <v>18</v>
  </rv>
  <rv s="0">
    <fb>744.8</fb>
    <v>0</v>
  </rv>
  <rv s="0">
    <fb>139.22999999999999</fb>
    <v>0</v>
  </rv>
  <rv s="0">
    <fb>174.06</fb>
    <v>0</v>
  </rv>
  <rv s="0">
    <fb>111.79</fb>
    <v>0</v>
  </rv>
  <rv s="0">
    <fb>112.06</fb>
    <v>0</v>
  </rv>
  <rv s="0">
    <fb>23.2</fb>
    <v>0</v>
  </rv>
  <rv s="0">
    <fb>18.309999999999999</fb>
    <v>0</v>
  </rv>
  <rv s="0">
    <fb>11.05</fb>
    <v>0</v>
  </rv>
  <rv s="0">
    <fb>0.78559999999999997</fb>
    <v>0</v>
  </rv>
  <rv s="0">
    <fb>104</fb>
    <v>0</v>
  </rv>
  <rv s="0">
    <fb>66.66</fb>
    <v>0</v>
  </rv>
  <rv s="0">
    <fb>20.431999999999999</fb>
    <v>2</v>
  </rv>
  <rv s="0">
    <fb>47.29</fb>
    <v>0</v>
  </rv>
  <rv s="0">
    <fb>38.39</fb>
    <v>0</v>
  </rv>
  <rv s="0">
    <fb>151.47</fb>
    <v>3</v>
  </rv>
  <rv s="0">
    <fb>150.19999999999999</fb>
    <v>0</v>
  </rv>
  <rv s="0">
    <fb>15.66</fb>
    <v>0</v>
  </rv>
  <rv s="0">
    <fb>320.56</fb>
    <v>0</v>
  </rv>
  <rv s="2">
    <v>4</v>
    <v>APA</v>
    <v>Daily</v>
    <v>45707</v>
    <v>45707</v>
    <v>0</v>
    <v>1</v>
    <v>638755200000000000,638756185206464664,0</v>
    <v>0</v>
    <v>a1nkur</v>
    <v>XNAS:APA</v>
    <v>1</v>
  </rv>
  <rv s="2">
    <v>4</v>
    <v>CSIQ</v>
    <v>Daily</v>
    <v>45707</v>
    <v>45707</v>
    <v>0</v>
    <v>1</v>
    <v>638755200000000000,638756184200762812,0</v>
    <v>0</v>
    <v>a1qepr</v>
    <v>XNAS:CSIQ</v>
    <v>2</v>
  </rv>
  <rv s="2">
    <v>4</v>
    <v>MO</v>
    <v>Daily</v>
    <v>45707</v>
    <v>45707</v>
    <v>0</v>
    <v>1</v>
    <v>638755200000000000,638756184200813907,0</v>
    <v>0</v>
    <v>a1xtpr</v>
    <v>XNYS:MO</v>
    <v>3</v>
  </rv>
  <rv s="2">
    <v>4</v>
    <v>V</v>
    <v>Daily</v>
    <v>45707</v>
    <v>45707</v>
    <v>0</v>
    <v>1</v>
    <v>638755200000000000,638756184199935831,0</v>
    <v>0</v>
    <v>a256cw</v>
    <v>XNYS:V</v>
    <v>4</v>
  </rv>
  <rv s="2">
    <v>4</v>
    <v>EXC</v>
    <v>Daily</v>
    <v>45707</v>
    <v>45707</v>
    <v>0</v>
    <v>1</v>
    <v>638755200000000000,638756184200782664,0</v>
    <v>0</v>
    <v>a1shjc</v>
    <v>XNAS:EXC</v>
    <v>5</v>
  </rv>
  <rv s="2">
    <v>4</v>
    <v>NEE</v>
    <v>Daily</v>
    <v>45707</v>
    <v>45707</v>
    <v>0</v>
    <v>1</v>
    <v>638755200000000000,638756184203463116,0</v>
    <v>0</v>
    <v>a1ye2w</v>
    <v>XNYS:NEE</v>
    <v>6</v>
  </rv>
  <rv s="2">
    <v>4</v>
    <v>MSFT</v>
    <v>Daily</v>
    <v>45707</v>
    <v>45707</v>
    <v>0</v>
    <v>1</v>
    <v>638755200000000000,638756184200678809,0</v>
    <v>0</v>
    <v>a1xzim</v>
    <v>XNAS:MSFT</v>
    <v>7</v>
  </rv>
  <rv s="2">
    <v>4</v>
    <v>AGIO</v>
    <v>Daily</v>
    <v>45707</v>
    <v>45707</v>
    <v>0</v>
    <v>1</v>
    <v>638755200000000000,638756184201186351,0</v>
    <v>0</v>
    <v>a1n2qh</v>
    <v>XNAS:AGIO</v>
    <v>8</v>
  </rv>
  <rv s="2">
    <v>4</v>
    <v>YUM</v>
    <v>Daily</v>
    <v>45707</v>
    <v>45707</v>
    <v>0</v>
    <v>1</v>
    <v>638755200000000000,638756184203435085,0</v>
    <v>0</v>
    <v>a26em7</v>
    <v>XNYS:YUM</v>
    <v>9</v>
  </rv>
  <rv s="2">
    <v>4</v>
    <v>VWO.US</v>
    <v>Daily</v>
    <v>45707</v>
    <v>45707</v>
    <v>0</v>
    <v>1</v>
    <v>638755200000000000,638756184199781118,0</v>
    <v>0</v>
    <v>a25nhw</v>
    <v>ARCX:VWO</v>
    <v>10</v>
  </rv>
  <rv s="2">
    <v>4</v>
    <v>QCOM</v>
    <v>Daily</v>
    <v>45707</v>
    <v>45707</v>
    <v>0</v>
    <v>1</v>
    <v>638755200000000000,638756184203502546,0</v>
    <v>0</v>
    <v>a21k2w</v>
    <v>XNAS:QCOM</v>
    <v>11</v>
  </rv>
  <rv s="2">
    <v>4</v>
    <v>MAXN</v>
    <v>Daily</v>
    <v>45707</v>
    <v>45707</v>
    <v>0</v>
    <v>1</v>
    <v>638755200000000000,638756184199871274,0</v>
    <v>0</v>
    <v>bvhkk2</v>
    <v>XNAS:MAXN</v>
    <v>12</v>
  </rv>
  <rv s="2">
    <v>4</v>
    <v>NVDA</v>
    <v>Daily</v>
    <v>45707</v>
    <v>45707</v>
    <v>0</v>
    <v>1</v>
    <v>638755200000000000,638756184200662437,0</v>
    <v>0</v>
    <v>a1yv52</v>
    <v>XNAS:NVDA</v>
    <v>13</v>
  </rv>
  <rv s="2">
    <v>4</v>
    <v>PLTR</v>
    <v>Daily</v>
    <v>45707</v>
    <v>45707</v>
    <v>0</v>
    <v>1</v>
    <v>638755200000000000,638756184202331465,0</v>
    <v>0</v>
    <v>bvsk7w</v>
    <v>XNAS:PLTR</v>
    <v>14</v>
  </rv>
  <rv s="2">
    <v>4</v>
    <v>SWI</v>
    <v>Daily</v>
    <v>45707</v>
    <v>45707</v>
    <v>0</v>
    <v>1</v>
    <v>638755200000000000,638756184200715186,0</v>
    <v>0</v>
    <v>bn8mkr</v>
    <v>XNYS:SWI</v>
    <v>15</v>
  </rv>
  <rv s="2">
    <v>4</v>
    <v>APTV</v>
    <v>Daily</v>
    <v>45707</v>
    <v>45707</v>
    <v>0</v>
    <v>1</v>
    <v>638755200000000000,638756184200461164,0</v>
    <v>0</v>
    <v>awagjc</v>
    <v>XNYS:APTV</v>
    <v>16</v>
  </rv>
  <rv s="2">
    <v>4</v>
    <v>AMAT</v>
    <v>Daily</v>
    <v>45707</v>
    <v>45707</v>
    <v>0</v>
    <v>1</v>
    <v>638755200000000000,638756184199836827,0</v>
    <v>0</v>
    <v>a1nda2</v>
    <v>XNAS:AMAT</v>
    <v>17</v>
  </rv>
  <rv s="2">
    <v>4</v>
    <v>DAR</v>
    <v>Daily</v>
    <v>45707</v>
    <v>45707</v>
    <v>0</v>
    <v>1</v>
    <v>638755200000000000,638756184200877619,0</v>
    <v>0</v>
    <v>a1qqk2</v>
    <v>XNYS:DAR</v>
    <v>18</v>
  </rv>
  <rv s="2">
    <v>4</v>
    <v>PCG</v>
    <v>Daily</v>
    <v>45707</v>
    <v>45707</v>
    <v>0</v>
    <v>1</v>
    <v>638755200000000000,638756184203877501,0</v>
    <v>0</v>
    <v>a1zkar</v>
    <v>XNYS:PCG</v>
    <v>19</v>
  </rv>
  <rv s="2">
    <v>4</v>
    <v>GC=F</v>
    <v>Daily</v>
    <v>45707</v>
    <v>45707</v>
    <v>0</v>
    <v>1</v>
    <v>638755200000000000,638756184203240618,0</v>
    <v>0</v>
    <v>a2losm</v>
    <v>OTCM:JETMF</v>
    <v>20</v>
  </rv>
  <rv s="2">
    <v>4</v>
    <v>HCA</v>
    <v>Daily</v>
    <v>45707</v>
    <v>45707</v>
    <v>0</v>
    <v>1</v>
    <v>638755200000000000,638756184201475081,0</v>
    <v>0</v>
    <v>a1uhnm</v>
    <v>XNYS:HCA</v>
    <v>21</v>
  </rv>
  <rv s="2">
    <v>4</v>
    <v>INGR</v>
    <v>Daily</v>
    <v>45707</v>
    <v>45707</v>
    <v>0</v>
    <v>1</v>
    <v>638755200000000000,638756184204260423,0</v>
    <v>0</v>
    <v>a1vkp2</v>
    <v>XNYS:INGR</v>
    <v>22</v>
  </rv>
  <rv s="2">
    <v>4</v>
    <v>GOOGL</v>
    <v>Daily</v>
    <v>45707</v>
    <v>45707</v>
    <v>0</v>
    <v>1</v>
    <v>638755200000000000,638756184203402553,0</v>
    <v>0</v>
    <v>a1u3rw</v>
    <v>XNAS:GOOGL</v>
    <v>23</v>
  </rv>
  <rv s="2">
    <v>4</v>
    <v>DUK</v>
    <v>Daily</v>
    <v>45707</v>
    <v>45707</v>
    <v>0</v>
    <v>1</v>
    <v>638755200000000000,638756184199994614,0</v>
    <v>0</v>
    <v>a1rdzr</v>
    <v>XNYS:DUK</v>
    <v>24</v>
  </rv>
  <rv s="2">
    <v>4</v>
    <v>WMT</v>
    <v>Daily</v>
    <v>45707</v>
    <v>45707</v>
    <v>0</v>
    <v>1</v>
    <v>638755200000000000,638756184201954092,0</v>
    <v>0</v>
    <v>a25ya2</v>
    <v>XNYS:WMT</v>
    <v>25</v>
  </rv>
  <rv s="2">
    <v>4</v>
    <v>MMM</v>
    <v>Daily</v>
    <v>45707</v>
    <v>45707</v>
    <v>0</v>
    <v>1</v>
    <v>638755200000000000,638756184200802010,0</v>
    <v>0</v>
    <v>a1xroc</v>
    <v>XNYS:MMM</v>
    <v>26</v>
  </rv>
  <rv s="2">
    <v>4</v>
    <v>KMB</v>
    <v>Daily</v>
    <v>45707</v>
    <v>45707</v>
    <v>0</v>
    <v>1</v>
    <v>638755200000000000,638756184199744643,0</v>
    <v>0</v>
    <v>a1wjz2</v>
    <v>XNYS:KMB</v>
    <v>27</v>
  </rv>
  <rv s="2">
    <v>5</v>
    <v>USDJPY=X</v>
    <v>Daily</v>
    <v>45707</v>
    <v>45707</v>
    <v>0</v>
    <v>1</v>
    <v>638755200000000000,638756184199916482,0</v>
    <v>0</v>
    <v>avyomw</v>
    <v>USDJPY</v>
    <v>28</v>
  </rv>
  <rv s="2">
    <v>4</v>
    <v>MA</v>
    <v>Daily</v>
    <v>45707</v>
    <v>45707</v>
    <v>0</v>
    <v>1</v>
    <v>638755200000000000,638756184203302387,0</v>
    <v>0</v>
    <v>a1x8w7</v>
    <v>XNYS:MA</v>
    <v>29</v>
  </rv>
  <rv s="2">
    <v>6</v>
    <v>USDMXN=X</v>
    <v>Daily</v>
    <v>45707</v>
    <v>45707</v>
    <v>0</v>
    <v>1</v>
    <v>638755200000000000,638756184203336043,0</v>
    <v>0</v>
    <v>avyqcw</v>
    <v>USDMXN</v>
    <v>30</v>
  </rv>
  <rv s="2">
    <v>7</v>
    <v>BATT.NL</v>
    <v>Daily</v>
    <v>45707</v>
    <v>45707</v>
    <v>0</v>
    <v>1</v>
    <v>638755200000000000,638756184201141571,0</v>
    <v>0</v>
    <v>aytcmw</v>
    <v>XAMS:BATT</v>
    <v>31</v>
  </rv>
  <rv s="2">
    <v>4</v>
    <v>TSM</v>
    <v>Daily</v>
    <v>45707</v>
    <v>45707</v>
    <v>0</v>
    <v>1</v>
    <v>638755200000000000,638756184203271718,0</v>
    <v>0</v>
    <v>a24kjc</v>
    <v>XNYS:TSM</v>
    <v>32</v>
  </rv>
  <rv s="2">
    <v>4</v>
    <v>FSLR</v>
    <v>Daily</v>
    <v>45707</v>
    <v>45707</v>
    <v>0</v>
    <v>1</v>
    <v>638755200000000000,638756184202720619,0</v>
    <v>0</v>
    <v>a1tdvh</v>
    <v>XNAS:FSLR</v>
    <v>33</v>
  </rv>
  <rv s="2">
    <v>4</v>
    <v>JKS</v>
    <v>Daily</v>
    <v>45707</v>
    <v>45707</v>
    <v>0</v>
    <v>1</v>
    <v>638755200000000000,638756184200790321,0</v>
    <v>0</v>
    <v>a1w7f2</v>
    <v>XNYS:JKS</v>
    <v>34</v>
  </rv>
  <rv s="2">
    <v>4</v>
    <v>YPF</v>
    <v>Daily</v>
    <v>45707</v>
    <v>45707</v>
    <v>0</v>
    <v>1</v>
    <v>638755200000000000,638756184203499966,0</v>
    <v>0</v>
    <v>a26e7w</v>
    <v>XNYS:YPF</v>
    <v>35</v>
  </rv>
  <rv s="2">
    <v>4</v>
    <v>ING</v>
    <v>Daily</v>
    <v>45707</v>
    <v>45707</v>
    <v>0</v>
    <v>1</v>
    <v>638755200000000000,638756184201576686,0</v>
    <v>0</v>
    <v>a1vkjc</v>
    <v>XNYS:ING</v>
    <v>36</v>
  </rv>
  <rv s="2">
    <v>7</v>
    <v>VBTC.DE</v>
    <v>Daily</v>
    <v>45707</v>
    <v>45707</v>
    <v>0</v>
    <v>1</v>
    <v>638755200000000000,638756184203122423,0</v>
    <v>0</v>
    <v>bwxxim</v>
    <v>XFRA:VBTC</v>
    <v>37</v>
  </rv>
  <rv s="2">
    <v>4</v>
    <v>PEP</v>
    <v>Daily</v>
    <v>45707</v>
    <v>45707</v>
    <v>0</v>
    <v>1</v>
    <v>638755200000000000,638756184199886609,0</v>
    <v>0</v>
    <v>axyhnm</v>
    <v>XNAS:PEP</v>
    <v>38</v>
  </rv>
  <rv s="2">
    <v>4</v>
    <v>AAPL</v>
    <v>Daily</v>
    <v>45707</v>
    <v>45707</v>
    <v>0</v>
    <v>1</v>
    <v>638755200000000000,638756184200597532,0</v>
    <v>0</v>
    <v>a1mou2</v>
    <v>XNAS:AAPL</v>
    <v>39</v>
  </rv>
  <rv s="2">
    <v>4</v>
    <v>ASML</v>
    <v>Daily</v>
    <v>45707</v>
    <v>45707</v>
    <v>0</v>
    <v>1</v>
    <v>638755200000000000,638756184200632427,0</v>
    <v>0</v>
    <v>a1ntlh</v>
    <v>XNAS:ASML</v>
    <v>40</v>
  </rv>
  <rv s="2">
    <v>4</v>
    <v>YUMC</v>
    <v>Daily</v>
    <v>45707</v>
    <v>45707</v>
    <v>0</v>
    <v>1</v>
    <v>638755200000000000,638756184200850466,0</v>
    <v>0</v>
    <v>a26erw</v>
    <v>XNYS:YUMC</v>
    <v>41</v>
  </rv>
  <rv s="3">
    <v>2</v>
    <v>1</v>
  </rv>
  <rv s="4">
    <v>42</v>
  </rv>
  <rv s="5">
    <v>{8231C5FD-6A38-425A-8202-1B139D24CA84}</v>
    <v>0</v>
    <v>8</v>
    <v>84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error">
    <k n="errorType" t="i"/>
    <k n="subType" t="i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  <s t="_error">
    <k n="errorType" t="i"/>
    <k n="propagated" t="b"/>
  </s>
  <s t="_array">
    <k n="array" t="a"/>
  </s>
  <s t="_datasourcecontainer">
    <k n="%XLUID" t="s"/>
    <k n="_CRID" t="i"/>
    <k n="_Display" t="spb"/>
    <k n="Close Price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Close Price</v>
      <v t="s">_CRID</v>
      <v t="s">%XLUID</v>
      <v t="s">_Display</v>
    </a>
  </spbArrays>
  <spbData count="9">
    <spb s="0">
      <v>1</v>
    </spb>
    <spb s="0">
      <v>2</v>
    </spb>
    <spb s="0">
      <v>3</v>
    </spb>
    <spb s="0">
      <v>4</v>
    </spb>
    <spb s="1">
      <v>5</v>
      <v>1</v>
    </spb>
    <spb s="1">
      <v>5</v>
      <v>4</v>
    </spb>
    <spb s="1">
      <v>5</v>
      <v>3</v>
    </spb>
    <spb s="1">
      <v>5</v>
      <v>2</v>
    </spb>
    <spb s="2">
      <v>0</v>
    </spb>
  </spbData>
</supportingPropertyBags>
</file>

<file path=xl/richData/rdsupportingpropertybagstructure.xml><?xml version="1.0" encoding="utf-8"?>
<spbStructures xmlns="http://schemas.microsoft.com/office/spreadsheetml/2017/richdata2" count="3">
  <s>
    <k n="_Self" t="i"/>
  </s>
  <s>
    <k n="Date" t="i"/>
    <k n="Close" t="i"/>
  </s>
  <s>
    <k n="^Order" t="spba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1">
      <rpv i="0">_([$$-en-US]* #,##0.00_);_([$$-en-US]* (#,##0.00);_([$$-en-US]* "-"??_);_(@_)</rpv>
    </rSty>
    <rSty dxfid="1">
      <rpv i="0">_([$€-x-euro2] * #,##0.00_);_([$€-x-euro2] * (#,##0.00);_([$€-x-euro2] * "-"??_);_(@_)</rpv>
    </rSty>
    <rSty dxfid="1">
      <rpv i="0">_-[$$-es-MX]* #,##0.00_-;-[$$-es-MX]* #,##0.00_-;_-[$$-es-MX]* "-"??_-;_-@_-</rpv>
    </rSty>
    <rSty dxfid="1">
      <rpv i="0">_-[$¥-ja-JP]* #,##0.00_-;-[$¥-ja-JP]* #,##0.00_-;_-[$¥-ja-JP]*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workbookViewId="0">
      <selection activeCell="H21" sqref="H21"/>
    </sheetView>
  </sheetViews>
  <sheetFormatPr defaultRowHeight="15" x14ac:dyDescent="0.25"/>
  <cols>
    <col min="1" max="1" width="14.28515625" bestFit="1" customWidth="1"/>
    <col min="2" max="2" width="20.28515625" bestFit="1" customWidth="1"/>
    <col min="3" max="3" width="11" bestFit="1" customWidth="1"/>
    <col min="4" max="4" width="30.42578125" style="8" customWidth="1"/>
    <col min="5" max="5" width="10.5703125" style="2" bestFit="1" customWidth="1"/>
    <col min="6" max="6" width="10.5703125" style="1" bestFit="1" customWidth="1"/>
    <col min="7" max="7" width="11.5703125" style="1" bestFit="1" customWidth="1"/>
    <col min="8" max="8" width="9.85546875" style="10" bestFit="1" customWidth="1"/>
    <col min="9" max="9" width="11.42578125" style="10" bestFit="1" customWidth="1"/>
    <col min="10" max="10" width="9.140625" style="10"/>
    <col min="11" max="11" width="7.5703125" style="10" customWidth="1"/>
    <col min="12" max="12" width="12.7109375" style="10" customWidth="1"/>
    <col min="13" max="13" width="11.42578125" bestFit="1" customWidth="1"/>
    <col min="14" max="14" width="14.28515625" bestFit="1" customWidth="1"/>
    <col min="15" max="15" width="11.42578125" customWidth="1"/>
    <col min="16" max="16" width="14.28515625" bestFit="1" customWidth="1"/>
    <col min="17" max="17" width="15" bestFit="1" customWidth="1"/>
    <col min="18" max="18" width="14.28515625" bestFit="1" customWidth="1"/>
    <col min="19" max="19" width="10.5703125" bestFit="1" customWidth="1"/>
    <col min="20" max="20" width="13.28515625" bestFit="1" customWidth="1"/>
    <col min="21" max="21" width="12.42578125" bestFit="1" customWidth="1"/>
    <col min="22" max="22" width="14.7109375" bestFit="1" customWidth="1"/>
    <col min="23" max="23" width="12.85546875" bestFit="1" customWidth="1"/>
    <col min="24" max="24" width="15.85546875" bestFit="1" customWidth="1"/>
  </cols>
  <sheetData>
    <row r="1" spans="1:24" ht="45" customHeight="1" x14ac:dyDescent="0.25">
      <c r="A1" s="16" t="s">
        <v>35</v>
      </c>
      <c r="B1" s="16" t="s">
        <v>0</v>
      </c>
      <c r="C1" s="16" t="s">
        <v>82</v>
      </c>
      <c r="D1" s="17" t="s">
        <v>1</v>
      </c>
      <c r="E1" s="18" t="s">
        <v>2</v>
      </c>
      <c r="F1" s="19" t="s">
        <v>3</v>
      </c>
      <c r="G1" s="19" t="s">
        <v>4</v>
      </c>
      <c r="H1" s="16" t="s">
        <v>95</v>
      </c>
      <c r="I1" s="16" t="s">
        <v>61</v>
      </c>
      <c r="J1" s="16" t="s">
        <v>62</v>
      </c>
      <c r="K1" s="16" t="s">
        <v>63</v>
      </c>
      <c r="L1" s="16" t="s">
        <v>143</v>
      </c>
      <c r="M1" s="16" t="s">
        <v>64</v>
      </c>
      <c r="N1" s="16" t="s">
        <v>110</v>
      </c>
      <c r="O1" s="16" t="s">
        <v>137</v>
      </c>
      <c r="P1" s="16" t="s">
        <v>138</v>
      </c>
      <c r="Q1" s="16" t="s">
        <v>139</v>
      </c>
      <c r="R1" s="16" t="s">
        <v>65</v>
      </c>
      <c r="S1" s="16" t="s">
        <v>66</v>
      </c>
      <c r="T1" s="16" t="s">
        <v>67</v>
      </c>
      <c r="U1" s="16" t="s">
        <v>68</v>
      </c>
      <c r="V1" s="16" t="s">
        <v>69</v>
      </c>
      <c r="W1" s="16" t="s">
        <v>81</v>
      </c>
      <c r="X1" s="16" t="s">
        <v>70</v>
      </c>
    </row>
    <row r="2" spans="1:24" x14ac:dyDescent="0.25">
      <c r="A2" t="s">
        <v>40</v>
      </c>
      <c r="B2" s="7" t="s">
        <v>94</v>
      </c>
      <c r="C2" t="s">
        <v>94</v>
      </c>
      <c r="D2" s="8">
        <v>45627</v>
      </c>
      <c r="E2" s="2">
        <v>2.2953000000000001</v>
      </c>
      <c r="F2" s="1">
        <v>21.78</v>
      </c>
      <c r="G2" s="1">
        <f>E2*F2</f>
        <v>49.991634000000005</v>
      </c>
      <c r="H2" s="13">
        <f>M2/F2-1</f>
        <v>0.22038567493112926</v>
      </c>
      <c r="I2" s="11">
        <v>0.45929999999999999</v>
      </c>
      <c r="J2" s="9">
        <f>IFERROR(H2/I2,"")</f>
        <v>0.47982946860685666</v>
      </c>
      <c r="K2" s="9">
        <f>IFERROR(J2/SUBTOTAL(9,$J$2:$J$1048576),"")</f>
        <v>2.4968515740223275E-2</v>
      </c>
      <c r="L2" s="9">
        <f>I2*G2</f>
        <v>22.961157496200002</v>
      </c>
      <c r="M2" s="12">
        <v>26.58</v>
      </c>
      <c r="N2" s="12">
        <f>M2*E2</f>
        <v>61.009073999999998</v>
      </c>
      <c r="O2" s="12" cm="1" vm="1">
        <f t="array" aca="1" ref="O2" ca="1">_xlfn.STOCKHISTORY(C2,TODAY(),TODAY(),0,0,1)</f>
        <v>23.59</v>
      </c>
      <c r="P2" s="12">
        <f ca="1">IFERROR(O2*E2,G2)</f>
        <v>54.146127</v>
      </c>
      <c r="Q2" s="12">
        <f ca="1">P2-G2</f>
        <v>4.1544929999999951</v>
      </c>
      <c r="R2" s="12">
        <f>F2/(1+I2-H2)</f>
        <v>17.579908117366596</v>
      </c>
      <c r="S2" s="12">
        <f>M2-F2</f>
        <v>4.7999999999999972</v>
      </c>
      <c r="T2" s="12">
        <f>0.5*(R2-F2)</f>
        <v>-2.1000459413167025</v>
      </c>
      <c r="U2" s="15">
        <f>S2+T2</f>
        <v>2.6999540586832946</v>
      </c>
      <c r="V2" s="12">
        <f>MAX($U$2:$U$279)-U2</f>
        <v>111.4324910225011</v>
      </c>
      <c r="W2" s="9">
        <f>IFERROR((SUBTOTAL(109,$V$2:$V$1048576)/V2)/SUBTOTAL(109,$V$2:$V$1048576),0)</f>
        <v>8.9740433048209819E-3</v>
      </c>
      <c r="X2" s="9">
        <f>V2/MAX($V$2:$V$28)</f>
        <v>0.77803273697370867</v>
      </c>
    </row>
    <row r="3" spans="1:24" x14ac:dyDescent="0.25">
      <c r="A3" t="s">
        <v>115</v>
      </c>
      <c r="B3" s="7" t="s">
        <v>128</v>
      </c>
      <c r="C3" t="s">
        <v>116</v>
      </c>
      <c r="D3" s="8">
        <v>45481</v>
      </c>
      <c r="E3" s="2">
        <v>2</v>
      </c>
      <c r="F3" s="1">
        <f>45.12/2</f>
        <v>22.56</v>
      </c>
      <c r="G3" s="1">
        <f>E3*F3</f>
        <v>45.12</v>
      </c>
      <c r="H3" s="13">
        <v>4.4999999999999998E-2</v>
      </c>
      <c r="I3" s="11">
        <v>0.2</v>
      </c>
      <c r="J3" s="9">
        <f>IFERROR(H3/I3,"")</f>
        <v>0.22499999999999998</v>
      </c>
      <c r="K3" s="9">
        <f>IFERROR(J3/SUBTOTAL(9,$J$2:$J$1048576),"")</f>
        <v>1.1708151351898769E-2</v>
      </c>
      <c r="L3" s="9">
        <f t="shared" ref="L3:L47" si="0">I3*G3</f>
        <v>9.0239999999999991</v>
      </c>
      <c r="M3" s="12">
        <f>F3/(1-(F3*(1+H3)-F3)/(F3*(1+H3)))</f>
        <v>23.575199999999999</v>
      </c>
      <c r="N3" s="12">
        <f>M3*E3</f>
        <v>47.150399999999998</v>
      </c>
      <c r="O3" s="12">
        <v>22.65</v>
      </c>
      <c r="P3" s="12">
        <f>IFERROR(O3*E3,G3)</f>
        <v>45.3</v>
      </c>
      <c r="Q3" s="12">
        <f>P3-G3</f>
        <v>0.17999999999999972</v>
      </c>
      <c r="R3" s="12">
        <f>F3/(1+I3-H3)</f>
        <v>19.532467532467532</v>
      </c>
      <c r="S3" s="12">
        <f>M3-F3</f>
        <v>1.0152000000000001</v>
      </c>
      <c r="T3" s="12">
        <f>0.5*(R3-F3)</f>
        <v>-1.5137662337662334</v>
      </c>
      <c r="U3" s="15">
        <f>S3+T3</f>
        <v>-0.49856623376623332</v>
      </c>
      <c r="V3" s="12">
        <f>MAX($U$2:$U$279)-U3</f>
        <v>114.63101131495063</v>
      </c>
      <c r="W3" s="9">
        <f>IFERROR((SUBTOTAL(109,$V$2:$V$1048576)/V3)/SUBTOTAL(109,$V$2:$V$1048576),0)</f>
        <v>8.723642830407238E-3</v>
      </c>
      <c r="X3" s="9">
        <f>V3/MAX($V$2:$V$28)</f>
        <v>0.80036512382574398</v>
      </c>
    </row>
    <row r="4" spans="1:24" x14ac:dyDescent="0.25">
      <c r="A4" t="s">
        <v>115</v>
      </c>
      <c r="B4" s="7" t="s">
        <v>129</v>
      </c>
      <c r="C4" t="s">
        <v>117</v>
      </c>
      <c r="D4" s="8">
        <v>45481</v>
      </c>
      <c r="E4" s="2">
        <v>2</v>
      </c>
      <c r="F4" s="1">
        <v>16.399000000000001</v>
      </c>
      <c r="G4" s="1">
        <f>E4*F4</f>
        <v>32.798000000000002</v>
      </c>
      <c r="H4" s="13">
        <v>4.4999999999999998E-2</v>
      </c>
      <c r="I4" s="11">
        <v>0.2</v>
      </c>
      <c r="J4" s="9">
        <f>IFERROR(H4/I4,"")</f>
        <v>0.22499999999999998</v>
      </c>
      <c r="K4" s="9">
        <f>IFERROR(J4/SUBTOTAL(9,$J$2:$J$1048576),"")</f>
        <v>1.1708151351898769E-2</v>
      </c>
      <c r="L4" s="9">
        <f t="shared" si="0"/>
        <v>6.5596000000000005</v>
      </c>
      <c r="M4" s="12">
        <f>F4/(1-(F4*(1+H4)-F4)/(F4*(1+H4)))</f>
        <v>17.136955</v>
      </c>
      <c r="N4" s="12">
        <f>M4*E4</f>
        <v>34.273910000000001</v>
      </c>
      <c r="O4" s="48" cm="1" vm="2">
        <f t="array" aca="1" ref="O4" ca="1">_xlfn.STOCKHISTORY(C4,TODAY(),TODAY(),0,0,1)</f>
        <v>16.874600000000001</v>
      </c>
      <c r="P4" s="12">
        <f ca="1">IFERROR(O4*E4,G4)</f>
        <v>33.749200000000002</v>
      </c>
      <c r="Q4" s="12">
        <f ca="1">P4-G4</f>
        <v>0.95120000000000005</v>
      </c>
      <c r="R4" s="12">
        <f>F4/(1+I4-H4)</f>
        <v>14.198268398268398</v>
      </c>
      <c r="S4" s="12">
        <f>M4-F4</f>
        <v>0.73795499999999947</v>
      </c>
      <c r="T4" s="12">
        <f>0.5*(R4-F4)</f>
        <v>-1.1003658008658013</v>
      </c>
      <c r="U4" s="15">
        <f>S4+T4</f>
        <v>-0.3624108008658018</v>
      </c>
      <c r="V4" s="12">
        <f>MAX($U$2:$U$279)-U4</f>
        <v>114.49485588205019</v>
      </c>
      <c r="W4" s="9">
        <f>IFERROR((SUBTOTAL(109,$V$2:$V$1048576)/V4)/SUBTOTAL(109,$V$2:$V$1048576),0)</f>
        <v>8.7340168455268905E-3</v>
      </c>
      <c r="X4" s="9">
        <f>V4/MAX($V$2:$V$28)</f>
        <v>0.79941447304928448</v>
      </c>
    </row>
    <row r="5" spans="1:24" x14ac:dyDescent="0.25">
      <c r="A5" t="s">
        <v>38</v>
      </c>
      <c r="B5" s="5" t="s">
        <v>101</v>
      </c>
      <c r="C5" s="32" t="s">
        <v>98</v>
      </c>
      <c r="D5" s="8">
        <v>45630</v>
      </c>
      <c r="E5" s="2">
        <v>2</v>
      </c>
      <c r="F5" s="1">
        <v>20.5</v>
      </c>
      <c r="G5" s="1">
        <f>E5*F5</f>
        <v>41</v>
      </c>
      <c r="H5" s="13">
        <v>0.2</v>
      </c>
      <c r="I5" s="11">
        <v>0.2</v>
      </c>
      <c r="J5" s="9">
        <f>IFERROR(H5/I5,"")</f>
        <v>1</v>
      </c>
      <c r="K5" s="9">
        <f>IFERROR(J5/SUBTOTAL(9,$J$2:$J$1048576),"")</f>
        <v>5.2036228230661195E-2</v>
      </c>
      <c r="L5" s="9">
        <f t="shared" si="0"/>
        <v>8.2000000000000011</v>
      </c>
      <c r="M5" s="12">
        <f>F5/(1-(F5*(1+H5)-F5)/(F5*(1+H5)))</f>
        <v>24.599999999999998</v>
      </c>
      <c r="N5" s="12">
        <f>M5*E5</f>
        <v>49.199999999999996</v>
      </c>
      <c r="O5" s="48">
        <v>20.52</v>
      </c>
      <c r="P5" s="12">
        <f>IFERROR(O5*E5,G5)</f>
        <v>41.04</v>
      </c>
      <c r="Q5" s="12">
        <f>P5-G5</f>
        <v>3.9999999999999147E-2</v>
      </c>
      <c r="R5" s="12">
        <f>F5/(1+I5-H5)</f>
        <v>20.5</v>
      </c>
      <c r="S5" s="12">
        <f>M5-F5</f>
        <v>4.0999999999999979</v>
      </c>
      <c r="T5" s="12">
        <f>0.5*(R5-F5)</f>
        <v>0</v>
      </c>
      <c r="U5" s="15">
        <f>S5+T5</f>
        <v>4.0999999999999979</v>
      </c>
      <c r="V5" s="12">
        <f>MAX($U$2:$U$279)-U5</f>
        <v>110.03244508118439</v>
      </c>
      <c r="W5" s="9">
        <f>IFERROR((SUBTOTAL(109,$V$2:$V$1048576)/V5)/SUBTOTAL(109,$V$2:$V$1048576),0)</f>
        <v>9.0882284699042876E-3</v>
      </c>
      <c r="X5" s="9">
        <f>V5/MAX($V$2:$V$28)</f>
        <v>0.76825747694302682</v>
      </c>
    </row>
    <row r="6" spans="1:24" x14ac:dyDescent="0.25">
      <c r="A6" t="s">
        <v>37</v>
      </c>
      <c r="B6" s="4" t="s">
        <v>85</v>
      </c>
      <c r="C6" s="32" t="s">
        <v>86</v>
      </c>
      <c r="D6" s="8">
        <v>45623</v>
      </c>
      <c r="E6" s="2">
        <v>1.9595</v>
      </c>
      <c r="F6" s="1">
        <v>15.3</v>
      </c>
      <c r="G6" s="1">
        <f>E6*F6</f>
        <v>29.980350000000001</v>
      </c>
      <c r="H6" s="13">
        <v>0.35</v>
      </c>
      <c r="I6" s="11">
        <v>0.39532299999999998</v>
      </c>
      <c r="J6" s="9">
        <f>IFERROR(H6/I6,"")</f>
        <v>0.88535197800279775</v>
      </c>
      <c r="K6" s="9">
        <f>IFERROR(J6/SUBTOTAL(9,$J$2:$J$1048576),"")</f>
        <v>4.6070377591820914E-2</v>
      </c>
      <c r="L6" s="9">
        <f t="shared" si="0"/>
        <v>11.85192190305</v>
      </c>
      <c r="M6" s="12">
        <f>F6/(1-(F6*(1+H6)-F6)/(F6*(1+H6)))</f>
        <v>20.655000000000001</v>
      </c>
      <c r="N6" s="12">
        <f>M6*E6</f>
        <v>40.4734725</v>
      </c>
      <c r="O6" s="12" cm="1" vm="3">
        <f t="array" aca="1" ref="O6" ca="1">_xlfn.STOCKHISTORY(C6,TODAY(),TODAY(),0,0,1)</f>
        <v>17.03</v>
      </c>
      <c r="P6" s="12">
        <f ca="1">IFERROR(O6*E6,G6)</f>
        <v>33.370285000000003</v>
      </c>
      <c r="Q6" s="12">
        <f ca="1">P6-G6</f>
        <v>3.3899350000000013</v>
      </c>
      <c r="R6" s="12">
        <f>F6/(1+I6-H6)</f>
        <v>14.636624277854791</v>
      </c>
      <c r="S6" s="12">
        <f>M6-F6</f>
        <v>5.3550000000000004</v>
      </c>
      <c r="T6" s="12">
        <f>0.5*(R6-F6)</f>
        <v>-0.33168786107260484</v>
      </c>
      <c r="U6" s="15">
        <f>S6+T6</f>
        <v>5.0233121389273956</v>
      </c>
      <c r="V6" s="12">
        <f>MAX($U$2:$U$279)-U6</f>
        <v>109.10913294225699</v>
      </c>
      <c r="W6" s="9">
        <f>IFERROR((SUBTOTAL(109,$V$2:$V$1048576)/V6)/SUBTOTAL(109,$V$2:$V$1048576),0)</f>
        <v>9.1651356127009313E-3</v>
      </c>
      <c r="X6" s="9">
        <f>V6/MAX($V$2:$V$28)</f>
        <v>0.76181081974332665</v>
      </c>
    </row>
    <row r="7" spans="1:24" x14ac:dyDescent="0.25">
      <c r="A7" t="s">
        <v>38</v>
      </c>
      <c r="B7" s="5" t="s">
        <v>6</v>
      </c>
      <c r="C7" t="s">
        <v>5</v>
      </c>
      <c r="D7" s="8">
        <v>45553</v>
      </c>
      <c r="E7" s="2">
        <v>1.7345999999999999</v>
      </c>
      <c r="F7" s="1">
        <v>51.88</v>
      </c>
      <c r="G7" s="1">
        <f>E7*F7</f>
        <v>89.991048000000006</v>
      </c>
      <c r="H7" s="13">
        <f>16.68%+7%/4</f>
        <v>0.18430000000000002</v>
      </c>
      <c r="I7" s="11">
        <v>0.19980000000000001</v>
      </c>
      <c r="J7" s="9">
        <f>IFERROR(H7/I7,"")</f>
        <v>0.92242242242242245</v>
      </c>
      <c r="K7" s="9">
        <f>IFERROR(J7/SUBTOTAL(9,$J$2:$J$1048576),"")</f>
        <v>4.7999383698252546E-2</v>
      </c>
      <c r="L7" s="9">
        <f t="shared" si="0"/>
        <v>17.980211390400001</v>
      </c>
      <c r="M7" s="12">
        <f>F7/(1-(F7*(1+H7)-F7)/(F7*(1+H7)))</f>
        <v>61.441483999999996</v>
      </c>
      <c r="N7" s="12">
        <f>M7*E7</f>
        <v>106.57639814639998</v>
      </c>
      <c r="O7" s="12" cm="1" vm="4">
        <f t="array" aca="1" ref="O7" ca="1">_xlfn.STOCKHISTORY(C7,TODAY(),TODAY(),0,0,1)</f>
        <v>53.34</v>
      </c>
      <c r="P7" s="12">
        <f ca="1">IFERROR(O7*E7,G7)</f>
        <v>92.523564000000007</v>
      </c>
      <c r="Q7" s="12">
        <f ca="1">P7-G7</f>
        <v>2.5325160000000011</v>
      </c>
      <c r="R7" s="12">
        <f>F7/(1+I7-H7)</f>
        <v>51.088133924175295</v>
      </c>
      <c r="S7" s="12">
        <f>M7-F7</f>
        <v>9.561483999999993</v>
      </c>
      <c r="T7" s="12">
        <f>0.5*(R7-F7)</f>
        <v>-0.39593303791235357</v>
      </c>
      <c r="U7" s="15">
        <f>S7+T7</f>
        <v>9.1655509620876394</v>
      </c>
      <c r="V7" s="12">
        <f>MAX($U$2:$U$279)-U7</f>
        <v>104.96689411909675</v>
      </c>
      <c r="W7" s="9">
        <f>IFERROR((SUBTOTAL(109,$V$2:$V$1048576)/V7)/SUBTOTAL(109,$V$2:$V$1048576),0)</f>
        <v>9.5268132718625328E-3</v>
      </c>
      <c r="X7" s="9">
        <f>V7/MAX($V$2:$V$28)</f>
        <v>0.73288929623425103</v>
      </c>
    </row>
    <row r="8" spans="1:24" x14ac:dyDescent="0.25">
      <c r="A8" t="s">
        <v>40</v>
      </c>
      <c r="B8" s="7" t="s">
        <v>103</v>
      </c>
      <c r="C8" t="s">
        <v>103</v>
      </c>
      <c r="D8" s="8">
        <v>45627</v>
      </c>
      <c r="E8" s="2">
        <v>1.2354000000000001</v>
      </c>
      <c r="F8" s="1">
        <v>40.49</v>
      </c>
      <c r="G8" s="1">
        <f>E8*F8</f>
        <v>50.021346000000001</v>
      </c>
      <c r="H8" s="13">
        <v>0.1</v>
      </c>
      <c r="I8" s="11">
        <v>0.2</v>
      </c>
      <c r="J8" s="9">
        <f>IFERROR(H8/I8,"")</f>
        <v>0.5</v>
      </c>
      <c r="K8" s="9">
        <f>IFERROR(J8/SUBTOTAL(9,$J$2:$J$1048576),"")</f>
        <v>2.6018114115330598E-2</v>
      </c>
      <c r="L8" s="9">
        <f t="shared" si="0"/>
        <v>10.004269200000001</v>
      </c>
      <c r="M8" s="12">
        <f>F8/(1-(F8*(1+H8)-F8)/(F8*(1+H8)))</f>
        <v>44.539000000000009</v>
      </c>
      <c r="N8" s="12">
        <f>M8*E8</f>
        <v>55.023480600000013</v>
      </c>
      <c r="O8" s="12" cm="1" vm="5">
        <f t="array" aca="1" ref="O8" ca="1">_xlfn.STOCKHISTORY(C8,TODAY(),TODAY(),0,0,1)</f>
        <v>37.11</v>
      </c>
      <c r="P8" s="12">
        <f ca="1">IFERROR(O8*E8,G8)</f>
        <v>45.845694000000002</v>
      </c>
      <c r="Q8" s="12">
        <f ca="1">P8-G8</f>
        <v>-4.1756519999999995</v>
      </c>
      <c r="R8" s="12">
        <f>F8/(1+I8-H8)</f>
        <v>36.809090909090912</v>
      </c>
      <c r="S8" s="12">
        <f>M8-F8</f>
        <v>4.0490000000000066</v>
      </c>
      <c r="T8" s="12">
        <f>0.5*(R8-F8)</f>
        <v>-1.8404545454545449</v>
      </c>
      <c r="U8" s="15">
        <f>S8+T8</f>
        <v>2.2085454545454617</v>
      </c>
      <c r="V8" s="12">
        <f>MAX($U$2:$U$279)-U8</f>
        <v>111.92389962663893</v>
      </c>
      <c r="W8" s="9">
        <f>IFERROR((SUBTOTAL(109,$V$2:$V$1048576)/V8)/SUBTOTAL(109,$V$2:$V$1048576),0)</f>
        <v>8.9346422286557883E-3</v>
      </c>
      <c r="X8" s="9">
        <f>V8/MAX($V$2:$V$28)</f>
        <v>0.78146380073026223</v>
      </c>
    </row>
    <row r="9" spans="1:24" x14ac:dyDescent="0.25">
      <c r="A9" t="s">
        <v>115</v>
      </c>
      <c r="B9" s="7" t="s">
        <v>130</v>
      </c>
      <c r="C9" t="s">
        <v>121</v>
      </c>
      <c r="D9" s="8">
        <v>45688</v>
      </c>
      <c r="E9" s="2">
        <v>1</v>
      </c>
      <c r="F9" s="1">
        <v>44.24</v>
      </c>
      <c r="G9" s="1">
        <f>E9*F9</f>
        <v>44.24</v>
      </c>
      <c r="H9" s="13">
        <v>4.4999999999999998E-2</v>
      </c>
      <c r="I9" s="11">
        <v>0.2</v>
      </c>
      <c r="J9" s="9">
        <f>IFERROR(H9/I9,"")</f>
        <v>0.22499999999999998</v>
      </c>
      <c r="K9" s="9">
        <f>IFERROR(J9/SUBTOTAL(9,$J$2:$J$1048576),"")</f>
        <v>1.1708151351898769E-2</v>
      </c>
      <c r="L9" s="9">
        <f t="shared" si="0"/>
        <v>8.8480000000000008</v>
      </c>
      <c r="M9" s="12">
        <f>F9/(1-(F9*(1+H9)-F9)/(F9*(1+H9)))</f>
        <v>46.230800000000002</v>
      </c>
      <c r="N9" s="12">
        <f>M9*E9</f>
        <v>46.230800000000002</v>
      </c>
      <c r="O9" s="12" cm="1" vm="6">
        <f t="array" aca="1" ref="O9" ca="1">_xlfn.STOCKHISTORY(C9,TODAY(),TODAY(),0,0,1)</f>
        <v>45.97</v>
      </c>
      <c r="P9" s="12">
        <f ca="1">IFERROR(O9*E9,G9)</f>
        <v>45.97</v>
      </c>
      <c r="Q9" s="12">
        <f ca="1">P9-G9</f>
        <v>1.7299999999999969</v>
      </c>
      <c r="R9" s="12">
        <f>F9/(1+I9-H9)</f>
        <v>38.303030303030305</v>
      </c>
      <c r="S9" s="12">
        <f>M9-F9</f>
        <v>1.9908000000000001</v>
      </c>
      <c r="T9" s="12">
        <f>0.5*(R9-F9)</f>
        <v>-2.9684848484848487</v>
      </c>
      <c r="U9" s="15">
        <f>S9+T9</f>
        <v>-0.9776848484848486</v>
      </c>
      <c r="V9" s="12">
        <f>MAX($U$2:$U$279)-U9</f>
        <v>115.11012992966923</v>
      </c>
      <c r="W9" s="9">
        <f>IFERROR((SUBTOTAL(109,$V$2:$V$1048576)/V9)/SUBTOTAL(109,$V$2:$V$1048576),0)</f>
        <v>8.6873327361456972E-3</v>
      </c>
      <c r="X9" s="9">
        <f>V9/MAX($V$2:$V$28)</f>
        <v>0.80371037765363607</v>
      </c>
    </row>
    <row r="10" spans="1:24" x14ac:dyDescent="0.25">
      <c r="A10" t="s">
        <v>115</v>
      </c>
      <c r="B10" s="7" t="s">
        <v>131</v>
      </c>
      <c r="C10" t="s">
        <v>118</v>
      </c>
      <c r="D10" s="8">
        <v>45481</v>
      </c>
      <c r="E10" s="2">
        <v>1</v>
      </c>
      <c r="F10" s="1">
        <v>48.68</v>
      </c>
      <c r="G10" s="1">
        <f>E10*F10</f>
        <v>48.68</v>
      </c>
      <c r="H10" s="13">
        <v>2.5000000000000001E-2</v>
      </c>
      <c r="I10" s="11">
        <v>0.2</v>
      </c>
      <c r="J10" s="9">
        <f>IFERROR(H10/I10,"")</f>
        <v>0.125</v>
      </c>
      <c r="K10" s="9">
        <f>IFERROR(J10/SUBTOTAL(9,$J$2:$J$1048576),"")</f>
        <v>6.5045285288326494E-3</v>
      </c>
      <c r="L10" s="9">
        <f t="shared" si="0"/>
        <v>9.7360000000000007</v>
      </c>
      <c r="M10" s="12">
        <f>F10/(1-(F10*(1+H10)-F10)/(F10*(1+H10)))</f>
        <v>49.896999999999998</v>
      </c>
      <c r="N10" s="12">
        <f>M10*E10</f>
        <v>49.896999999999998</v>
      </c>
      <c r="O10" s="12" cm="1" vm="7">
        <f t="array" aca="1" ref="O10" ca="1">_xlfn.STOCKHISTORY(C10,TODAY(),TODAY(),0,0,1)</f>
        <v>49.3</v>
      </c>
      <c r="P10" s="12">
        <f ca="1">IFERROR(O10*E10,G10)</f>
        <v>49.3</v>
      </c>
      <c r="Q10" s="12">
        <f ca="1">P10-G10</f>
        <v>0.61999999999999744</v>
      </c>
      <c r="R10" s="12">
        <f>F10/(1+I10-H10)</f>
        <v>41.42978723404255</v>
      </c>
      <c r="S10" s="12">
        <f>M10-F10</f>
        <v>1.2169999999999987</v>
      </c>
      <c r="T10" s="12">
        <f>0.5*(R10-F10)</f>
        <v>-3.6251063829787249</v>
      </c>
      <c r="U10" s="15">
        <f>S10+T10</f>
        <v>-2.4081063829787261</v>
      </c>
      <c r="V10" s="12">
        <f>MAX($U$2:$U$279)-U10</f>
        <v>116.54055146416312</v>
      </c>
      <c r="W10" s="9">
        <f>IFERROR((SUBTOTAL(109,$V$2:$V$1048576)/V10)/SUBTOTAL(109,$V$2:$V$1048576),0)</f>
        <v>8.5807042049865848E-3</v>
      </c>
      <c r="X10" s="9">
        <f>V10/MAX($V$2:$V$28)</f>
        <v>0.81369772309746791</v>
      </c>
    </row>
    <row r="11" spans="1:24" x14ac:dyDescent="0.25">
      <c r="A11" t="s">
        <v>115</v>
      </c>
      <c r="B11" s="7" t="s">
        <v>119</v>
      </c>
      <c r="C11" t="s">
        <v>120</v>
      </c>
      <c r="D11" s="8">
        <v>45481</v>
      </c>
      <c r="E11" s="2">
        <v>1</v>
      </c>
      <c r="F11" s="1">
        <v>51.28</v>
      </c>
      <c r="G11" s="1">
        <f>E11*F11</f>
        <v>51.28</v>
      </c>
      <c r="H11" s="13">
        <v>2.5000000000000001E-2</v>
      </c>
      <c r="I11" s="11">
        <v>0.2</v>
      </c>
      <c r="J11" s="9">
        <f>IFERROR(H11/I11,"")</f>
        <v>0.125</v>
      </c>
      <c r="K11" s="9">
        <f>IFERROR(J11/SUBTOTAL(9,$J$2:$J$1048576),"")</f>
        <v>6.5045285288326494E-3</v>
      </c>
      <c r="L11" s="9">
        <f t="shared" si="0"/>
        <v>10.256</v>
      </c>
      <c r="M11" s="12">
        <f>F11/(1-(F11*(1+H11)-F11)/(F11*(1+H11)))</f>
        <v>52.561999999999998</v>
      </c>
      <c r="N11" s="12">
        <f>M11*E11</f>
        <v>52.561999999999998</v>
      </c>
      <c r="O11" s="12">
        <v>51.28</v>
      </c>
      <c r="P11" s="12">
        <f>IFERROR(O11*E11,G11)</f>
        <v>51.28</v>
      </c>
      <c r="Q11" s="12">
        <f>P11-G11</f>
        <v>0</v>
      </c>
      <c r="R11" s="12">
        <f>F11/(1+I11-H11)</f>
        <v>43.642553191489363</v>
      </c>
      <c r="S11" s="12">
        <f>M11-F11</f>
        <v>1.2819999999999965</v>
      </c>
      <c r="T11" s="12">
        <f>0.5*(R11-F11)</f>
        <v>-3.8187234042553193</v>
      </c>
      <c r="U11" s="15">
        <f>S11+T11</f>
        <v>-2.5367234042553228</v>
      </c>
      <c r="V11" s="12">
        <f>MAX($U$2:$U$279)-U11</f>
        <v>116.66916848543971</v>
      </c>
      <c r="W11" s="9">
        <f>IFERROR((SUBTOTAL(109,$V$2:$V$1048576)/V11)/SUBTOTAL(109,$V$2:$V$1048576),0)</f>
        <v>8.5712447682765452E-3</v>
      </c>
      <c r="X11" s="9">
        <f>V11/MAX($V$2:$V$28)</f>
        <v>0.81459573993409262</v>
      </c>
    </row>
    <row r="12" spans="1:24" x14ac:dyDescent="0.25">
      <c r="A12" t="s">
        <v>40</v>
      </c>
      <c r="B12" s="7" t="s">
        <v>26</v>
      </c>
      <c r="C12" t="s">
        <v>27</v>
      </c>
      <c r="D12" s="8">
        <v>45511</v>
      </c>
      <c r="E12" s="2">
        <v>0.74609999999999999</v>
      </c>
      <c r="F12" s="1">
        <v>73.7</v>
      </c>
      <c r="G12" s="1">
        <f>E12*F12</f>
        <v>54.987569999999998</v>
      </c>
      <c r="H12" s="13">
        <v>0.1</v>
      </c>
      <c r="I12" s="11">
        <v>0.25990000000000002</v>
      </c>
      <c r="J12" s="9">
        <f>IFERROR(H12/I12,"")</f>
        <v>0.38476337052712584</v>
      </c>
      <c r="K12" s="9">
        <f>IFERROR(J12/SUBTOTAL(9,$J$2:$J$1048576),"")</f>
        <v>2.0021634563547979E-2</v>
      </c>
      <c r="L12" s="9">
        <f t="shared" si="0"/>
        <v>14.291269443000001</v>
      </c>
      <c r="M12" s="12">
        <f>F12/(1-(F12*(1+H12)-F12)/(F12*(1+H12)))</f>
        <v>81.070000000000007</v>
      </c>
      <c r="N12" s="12">
        <f>M12*E12</f>
        <v>60.486327000000003</v>
      </c>
      <c r="O12" s="12" cm="1" vm="8">
        <f t="array" aca="1" ref="O12" ca="1">_xlfn.STOCKHISTORY(C12,TODAY(),TODAY(),0,0,1)</f>
        <v>69.06</v>
      </c>
      <c r="P12" s="12">
        <f ca="1">IFERROR(O12*E12,G12)</f>
        <v>51.525666000000001</v>
      </c>
      <c r="Q12" s="12">
        <f ca="1">P12-G12</f>
        <v>-3.461903999999997</v>
      </c>
      <c r="R12" s="12">
        <f>F12/(1+I12-H12)</f>
        <v>63.539960341408751</v>
      </c>
      <c r="S12" s="12">
        <f>M12-F12</f>
        <v>7.3700000000000045</v>
      </c>
      <c r="T12" s="12">
        <f>0.5*(R12-F12)</f>
        <v>-5.080019829295626</v>
      </c>
      <c r="U12" s="15">
        <f>S12+T12</f>
        <v>2.2899801707043785</v>
      </c>
      <c r="V12" s="12">
        <f>MAX($U$2:$U$279)-U12</f>
        <v>111.84246491048</v>
      </c>
      <c r="W12" s="9">
        <f>IFERROR((SUBTOTAL(109,$V$2:$V$1048576)/V12)/SUBTOTAL(109,$V$2:$V$1048576),0)</f>
        <v>8.9411477188061934E-3</v>
      </c>
      <c r="X12" s="9">
        <f>V12/MAX($V$2:$V$28)</f>
        <v>0.78089521544138984</v>
      </c>
    </row>
    <row r="13" spans="1:24" x14ac:dyDescent="0.25">
      <c r="A13" t="s">
        <v>40</v>
      </c>
      <c r="B13" s="7" t="s">
        <v>90</v>
      </c>
      <c r="C13" s="32" t="s">
        <v>91</v>
      </c>
      <c r="D13" s="8">
        <v>45627</v>
      </c>
      <c r="E13" s="2">
        <v>0.52039999999999997</v>
      </c>
      <c r="F13" s="1">
        <v>40.340000000000003</v>
      </c>
      <c r="G13" s="1">
        <f>E13*F13</f>
        <v>20.992936</v>
      </c>
      <c r="H13" s="13">
        <v>0.1</v>
      </c>
      <c r="I13" s="11">
        <v>0.2</v>
      </c>
      <c r="J13" s="9">
        <f>IFERROR(H13/I13,"")</f>
        <v>0.5</v>
      </c>
      <c r="K13" s="9">
        <f>IFERROR(J13/SUBTOTAL(9,$J$2:$J$1048576),"")</f>
        <v>2.6018114115330598E-2</v>
      </c>
      <c r="L13" s="9">
        <f t="shared" si="0"/>
        <v>4.1985872000000004</v>
      </c>
      <c r="M13" s="12">
        <f>F13/(1-(F13*(1+H13)-F13)/(F13*(1+H13)))</f>
        <v>44.374000000000009</v>
      </c>
      <c r="N13" s="12">
        <f>M13*E13</f>
        <v>23.092229600000003</v>
      </c>
      <c r="O13" s="12" cm="1" vm="9">
        <f t="array" aca="1" ref="O13" ca="1">_xlfn.STOCKHISTORY(C13,TODAY(),TODAY(),0,0,1)</f>
        <v>42.65</v>
      </c>
      <c r="P13" s="12">
        <f ca="1">IFERROR(O13*E13,G13)</f>
        <v>22.195059999999998</v>
      </c>
      <c r="Q13" s="12">
        <f ca="1">P13-G13</f>
        <v>1.2021239999999977</v>
      </c>
      <c r="R13" s="12">
        <f>F13/(1+I13-H13)</f>
        <v>36.672727272727279</v>
      </c>
      <c r="S13" s="12">
        <f>M13-F13</f>
        <v>4.034000000000006</v>
      </c>
      <c r="T13" s="12">
        <f>0.5*(R13-F13)</f>
        <v>-1.8336363636363622</v>
      </c>
      <c r="U13" s="15">
        <f>S13+T13</f>
        <v>2.2003636363636438</v>
      </c>
      <c r="V13" s="12">
        <f>MAX($U$2:$U$279)-U13</f>
        <v>111.93208144482074</v>
      </c>
      <c r="W13" s="9">
        <f>IFERROR((SUBTOTAL(109,$V$2:$V$1048576)/V13)/SUBTOTAL(109,$V$2:$V$1048576),0)</f>
        <v>8.9339891395923948E-3</v>
      </c>
      <c r="X13" s="9">
        <f>V13/MAX($V$2:$V$28)</f>
        <v>0.78152092699868725</v>
      </c>
    </row>
    <row r="14" spans="1:24" x14ac:dyDescent="0.25">
      <c r="A14" t="s">
        <v>38</v>
      </c>
      <c r="B14" s="5" t="s">
        <v>19</v>
      </c>
      <c r="C14" t="s">
        <v>20</v>
      </c>
      <c r="D14" s="8">
        <v>45544</v>
      </c>
      <c r="E14" s="2">
        <v>0.51380000000000003</v>
      </c>
      <c r="F14" s="1">
        <v>138.53</v>
      </c>
      <c r="G14" s="1">
        <f>E14*F14</f>
        <v>71.176714000000004</v>
      </c>
      <c r="H14" s="13">
        <v>7.0000000000000007E-2</v>
      </c>
      <c r="I14" s="11">
        <v>0.18340000000000001</v>
      </c>
      <c r="J14" s="9">
        <f>IFERROR(H14/I14,"")</f>
        <v>0.38167938931297712</v>
      </c>
      <c r="K14" s="9">
        <f>IFERROR(J14/SUBTOTAL(9,$J$2:$J$1048576),"")</f>
        <v>1.9861155813229465E-2</v>
      </c>
      <c r="L14" s="9">
        <f t="shared" si="0"/>
        <v>13.053809347600001</v>
      </c>
      <c r="M14" s="12">
        <f>F14/(1-(F14*(1+H14)-F14)/(F14*(1+H14)))</f>
        <v>148.22710000000001</v>
      </c>
      <c r="N14" s="12">
        <f>M14*E14</f>
        <v>76.159083980000005</v>
      </c>
      <c r="O14" s="12" cm="1" vm="10">
        <f t="array" aca="1" ref="O14" ca="1">_xlfn.STOCKHISTORY(C14,TODAY(),TODAY(),0,0,1)</f>
        <v>137.93</v>
      </c>
      <c r="P14" s="12">
        <f ca="1">IFERROR(O14*E14,G14)</f>
        <v>70.868434000000008</v>
      </c>
      <c r="Q14" s="12">
        <f ca="1">P14-G14</f>
        <v>-0.30827999999999633</v>
      </c>
      <c r="R14" s="12">
        <f>F14/(1+I14-H14)</f>
        <v>124.42069337165439</v>
      </c>
      <c r="S14" s="12">
        <f>M14-F14</f>
        <v>9.697100000000006</v>
      </c>
      <c r="T14" s="12">
        <f>0.5*(R14-F14)</f>
        <v>-7.0546533141728034</v>
      </c>
      <c r="U14" s="15">
        <f>S14+T14</f>
        <v>2.6424466858272027</v>
      </c>
      <c r="V14" s="12">
        <f>MAX($U$2:$U$279)-U14</f>
        <v>111.48999839535719</v>
      </c>
      <c r="W14" s="9">
        <f>IFERROR((SUBTOTAL(109,$V$2:$V$1048576)/V14)/SUBTOTAL(109,$V$2:$V$1048576),0)</f>
        <v>8.969414426340536E-3</v>
      </c>
      <c r="X14" s="9">
        <f>V14/MAX($V$2:$V$28)</f>
        <v>0.77843425917148812</v>
      </c>
    </row>
    <row r="15" spans="1:24" x14ac:dyDescent="0.25">
      <c r="A15" t="s">
        <v>38</v>
      </c>
      <c r="B15" s="5" t="s">
        <v>15</v>
      </c>
      <c r="C15" t="s">
        <v>16</v>
      </c>
      <c r="D15" s="8">
        <v>45460</v>
      </c>
      <c r="E15" s="2">
        <v>0.51239999999999997</v>
      </c>
      <c r="F15" s="1">
        <v>157.99</v>
      </c>
      <c r="G15" s="1">
        <f>E15*F15</f>
        <v>80.954076000000001</v>
      </c>
      <c r="H15" s="13">
        <v>6.7199999999999996E-2</v>
      </c>
      <c r="I15" s="11">
        <v>0.16439999999999999</v>
      </c>
      <c r="J15" s="9">
        <f>IFERROR(H15/I15,"")</f>
        <v>0.40875912408759124</v>
      </c>
      <c r="K15" s="9">
        <f>IFERROR(J15/SUBTOTAL(9,$J$2:$J$1048576),"")</f>
        <v>2.1270283072387059E-2</v>
      </c>
      <c r="L15" s="9">
        <f t="shared" si="0"/>
        <v>13.308850094399999</v>
      </c>
      <c r="M15" s="12">
        <f>F15/(1-(F15*(1+H15)-F15)/(F15*(1+H15)))</f>
        <v>168.60692800000001</v>
      </c>
      <c r="N15" s="12">
        <f>M15*E15</f>
        <v>86.394189907200001</v>
      </c>
      <c r="O15" s="12" cm="1" vm="11">
        <f t="array" aca="1" ref="O15" ca="1">_xlfn.STOCKHISTORY(C15,TODAY(),TODAY(),0,0,1)</f>
        <v>145.81</v>
      </c>
      <c r="P15" s="12">
        <f ca="1">IFERROR(O15*E15,G15)</f>
        <v>74.713043999999996</v>
      </c>
      <c r="Q15" s="12">
        <f ca="1">P15-G15</f>
        <v>-6.2410320000000041</v>
      </c>
      <c r="R15" s="12">
        <f>F15/(1+I15-H15)</f>
        <v>143.99380240612467</v>
      </c>
      <c r="S15" s="12">
        <f>M15-F15</f>
        <v>10.616928000000001</v>
      </c>
      <c r="T15" s="12">
        <f>0.5*(R15-F15)</f>
        <v>-6.9980987969376685</v>
      </c>
      <c r="U15" s="15">
        <f>S15+T15</f>
        <v>3.618829203062333</v>
      </c>
      <c r="V15" s="12">
        <f>MAX($U$2:$U$279)-U15</f>
        <v>110.51361587812205</v>
      </c>
      <c r="W15" s="9">
        <f>IFERROR((SUBTOTAL(109,$V$2:$V$1048576)/V15)/SUBTOTAL(109,$V$2:$V$1048576),0)</f>
        <v>9.0486587743435331E-3</v>
      </c>
      <c r="X15" s="9">
        <f>V15/MAX($V$2:$V$28)</f>
        <v>0.77161705931131142</v>
      </c>
    </row>
    <row r="16" spans="1:24" x14ac:dyDescent="0.25">
      <c r="A16" t="s">
        <v>36</v>
      </c>
      <c r="B16" s="3" t="s">
        <v>21</v>
      </c>
      <c r="C16" t="s">
        <v>22</v>
      </c>
      <c r="D16" s="8">
        <v>45484</v>
      </c>
      <c r="E16" s="2">
        <v>0.4108</v>
      </c>
      <c r="F16" s="1">
        <v>189.76</v>
      </c>
      <c r="G16" s="1">
        <f>E16*F16</f>
        <v>77.953407999999996</v>
      </c>
      <c r="H16" s="13">
        <f>227.4/F16-1</f>
        <v>0.19835581787521095</v>
      </c>
      <c r="I16" s="11">
        <v>0.37</v>
      </c>
      <c r="J16" s="9">
        <f>IFERROR(H16/I16,"")</f>
        <v>0.53609680506813773</v>
      </c>
      <c r="K16" s="9">
        <f>IFERROR(J16/SUBTOTAL(9,$J$2:$J$1048576),"")</f>
        <v>2.7896455702253901E-2</v>
      </c>
      <c r="L16" s="9">
        <f t="shared" si="0"/>
        <v>28.84276096</v>
      </c>
      <c r="M16" s="12">
        <f>F16/(1-(F16*(1+H16)-F16)/(F16*(1+H16)))</f>
        <v>227.4</v>
      </c>
      <c r="N16" s="12">
        <f>M16*E16</f>
        <v>93.41592</v>
      </c>
      <c r="O16" s="12" cm="1" vm="12">
        <f t="array" aca="1" ref="O16" ca="1">_xlfn.STOCKHISTORY(C16,TODAY(),TODAY(),0,0,1)</f>
        <v>200.95</v>
      </c>
      <c r="P16" s="12">
        <f ca="1">IFERROR(O16*E16,G16)</f>
        <v>82.550259999999994</v>
      </c>
      <c r="Q16" s="12">
        <f ca="1">P16-G16</f>
        <v>4.5968519999999984</v>
      </c>
      <c r="R16" s="12">
        <f>F16/(1+I16-H16)</f>
        <v>161.96043380326287</v>
      </c>
      <c r="S16" s="12">
        <f>M16-F16</f>
        <v>37.640000000000015</v>
      </c>
      <c r="T16" s="12">
        <f>0.5*(R16-F16)</f>
        <v>-13.899783098368559</v>
      </c>
      <c r="U16" s="15">
        <f>S16+T16</f>
        <v>23.740216901631456</v>
      </c>
      <c r="V16" s="12">
        <f>MAX($U$2:$U$279)-U16</f>
        <v>90.39222817955293</v>
      </c>
      <c r="W16" s="9">
        <f>IFERROR((SUBTOTAL(109,$V$2:$V$1048576)/V16)/SUBTOTAL(109,$V$2:$V$1048576),0)</f>
        <v>1.10628979962041E-2</v>
      </c>
      <c r="X16" s="9">
        <f>V16/MAX($V$2:$V$28)</f>
        <v>0.6311275288415521</v>
      </c>
    </row>
    <row r="17" spans="1:24" x14ac:dyDescent="0.25">
      <c r="A17" t="s">
        <v>39</v>
      </c>
      <c r="B17" s="6" t="s">
        <v>132</v>
      </c>
      <c r="C17" t="s">
        <v>43</v>
      </c>
      <c r="D17" s="8">
        <v>45580</v>
      </c>
      <c r="E17" s="2">
        <v>0.34860000000000002</v>
      </c>
      <c r="F17" s="1">
        <v>131.91</v>
      </c>
      <c r="G17" s="1">
        <f>E17*F17</f>
        <v>45.983826000000001</v>
      </c>
      <c r="H17" s="13">
        <v>0.1202</v>
      </c>
      <c r="I17" s="11">
        <v>0.33710000000000001</v>
      </c>
      <c r="J17" s="9">
        <f>IFERROR(H17/I17,"")</f>
        <v>0.35657075051913378</v>
      </c>
      <c r="K17" s="9">
        <f>IFERROR(J17/SUBTOTAL(9,$J$2:$J$1048576),"")</f>
        <v>1.8554596954391801E-2</v>
      </c>
      <c r="L17" s="9">
        <f t="shared" si="0"/>
        <v>15.501147744600001</v>
      </c>
      <c r="M17" s="12">
        <f>F17/(1-(F17*(1+H17)-F17)/(F17*(1+H17)))</f>
        <v>147.76558199999999</v>
      </c>
      <c r="N17" s="12">
        <f>M17*E17</f>
        <v>51.511081885199999</v>
      </c>
      <c r="O17" s="12" cm="1" vm="13">
        <f t="array" aca="1" ref="O17" ca="1">_xlfn.STOCKHISTORY(C17,TODAY(),TODAY(),0,0,1)</f>
        <v>126.91</v>
      </c>
      <c r="P17" s="12">
        <f ca="1">IFERROR(O17*E17,G17)</f>
        <v>44.240825999999998</v>
      </c>
      <c r="Q17" s="12">
        <f ca="1">P17-G17</f>
        <v>-1.7430000000000021</v>
      </c>
      <c r="R17" s="12">
        <f>F17/(1+I17-H17)</f>
        <v>108.39838934998768</v>
      </c>
      <c r="S17" s="12">
        <f>M17-F17</f>
        <v>15.855581999999998</v>
      </c>
      <c r="T17" s="12">
        <f>0.5*(R17-F17)</f>
        <v>-11.755805325006158</v>
      </c>
      <c r="U17" s="15">
        <f>S17+T17</f>
        <v>4.0997766749938407</v>
      </c>
      <c r="V17" s="12">
        <f>MAX($U$2:$U$279)-U17</f>
        <v>110.03266840619054</v>
      </c>
      <c r="W17" s="9">
        <f>IFERROR((SUBTOTAL(109,$V$2:$V$1048576)/V17)/SUBTOTAL(109,$V$2:$V$1048576),0)</f>
        <v>9.0882100242125827E-3</v>
      </c>
      <c r="X17" s="9">
        <f>V17/MAX($V$2:$V$28)</f>
        <v>0.76825903622043479</v>
      </c>
    </row>
    <row r="18" spans="1:24" x14ac:dyDescent="0.25">
      <c r="A18" t="s">
        <v>96</v>
      </c>
      <c r="B18" s="7" t="s">
        <v>97</v>
      </c>
      <c r="C18" s="32" t="s">
        <v>100</v>
      </c>
      <c r="D18" s="8">
        <v>45630</v>
      </c>
      <c r="E18" s="2">
        <v>0.28749999999999998</v>
      </c>
      <c r="F18" s="1">
        <v>34.78</v>
      </c>
      <c r="G18" s="1">
        <f>E18*F18</f>
        <v>9.99925</v>
      </c>
      <c r="H18" s="13">
        <v>0.2</v>
      </c>
      <c r="I18" s="11">
        <v>0.2</v>
      </c>
      <c r="J18" s="9">
        <f>IFERROR(H18/I18,"")</f>
        <v>1</v>
      </c>
      <c r="K18" s="9">
        <f>IFERROR(J18/SUBTOTAL(9,$J$2:$J$1048576),"")</f>
        <v>5.2036228230661195E-2</v>
      </c>
      <c r="L18" s="9">
        <f t="shared" si="0"/>
        <v>1.9998500000000001</v>
      </c>
      <c r="M18" s="12">
        <f>F18/(1-(F18*(1+H18)-F18)/(F18*(1+H18)))</f>
        <v>41.735999999999997</v>
      </c>
      <c r="N18" s="12">
        <f>M18*E18</f>
        <v>11.999099999999999</v>
      </c>
      <c r="O18" s="12" cm="1" vm="14">
        <f t="array" aca="1" ref="O18" ca="1">_xlfn.STOCKHISTORY(C18,TODAY(),TODAY(),0,0,1)</f>
        <v>34.020000000000003</v>
      </c>
      <c r="P18" s="12">
        <f ca="1">IFERROR(O18*E18,G18)</f>
        <v>9.7807499999999994</v>
      </c>
      <c r="Q18" s="12">
        <f ca="1">P18-G18</f>
        <v>-0.21850000000000058</v>
      </c>
      <c r="R18" s="12">
        <f>F18/(1+I18-H18)</f>
        <v>34.78</v>
      </c>
      <c r="S18" s="12">
        <f>M18-F18</f>
        <v>6.955999999999996</v>
      </c>
      <c r="T18" s="12">
        <f>0.5*(R18-F18)</f>
        <v>0</v>
      </c>
      <c r="U18" s="15">
        <f>S18+T18</f>
        <v>6.955999999999996</v>
      </c>
      <c r="V18" s="12">
        <f>MAX($U$2:$U$279)-U18</f>
        <v>107.1764450811844</v>
      </c>
      <c r="W18" s="9">
        <f>IFERROR((SUBTOTAL(109,$V$2:$V$1048576)/V18)/SUBTOTAL(109,$V$2:$V$1048576),0)</f>
        <v>9.3304083676456744E-3</v>
      </c>
      <c r="X18" s="9">
        <f>V18/MAX($V$2:$V$28)</f>
        <v>0.74831660084479601</v>
      </c>
    </row>
    <row r="19" spans="1:24" x14ac:dyDescent="0.25">
      <c r="A19" t="s">
        <v>40</v>
      </c>
      <c r="B19" s="7" t="s">
        <v>47</v>
      </c>
      <c r="C19" t="s">
        <v>46</v>
      </c>
      <c r="D19" s="8">
        <v>45511</v>
      </c>
      <c r="E19" s="2">
        <v>0.25169999999999998</v>
      </c>
      <c r="F19" s="1">
        <v>178.56</v>
      </c>
      <c r="G19" s="1">
        <f>E19*F19</f>
        <v>44.943551999999997</v>
      </c>
      <c r="H19" s="13">
        <f>196.02/F19-1</f>
        <v>9.7782258064516236E-2</v>
      </c>
      <c r="I19" s="11">
        <v>0.52980000000000005</v>
      </c>
      <c r="J19" s="9">
        <f>IFERROR(H19/I19,"")</f>
        <v>0.18456447350795815</v>
      </c>
      <c r="K19" s="9">
        <f>IFERROR(J19/SUBTOTAL(9,$J$2:$J$1048576),"")</f>
        <v>9.6040390667319325E-3</v>
      </c>
      <c r="L19" s="9">
        <f t="shared" si="0"/>
        <v>23.811093849599999</v>
      </c>
      <c r="M19" s="12">
        <f>F19/(1-(F19*(1+H19)-F19)/(F19*(1+H19)))</f>
        <v>196.02</v>
      </c>
      <c r="N19" s="12">
        <f>M19*E19</f>
        <v>49.338234</v>
      </c>
      <c r="O19" s="12" cm="1" vm="15">
        <f t="array" aca="1" ref="O19" ca="1">_xlfn.STOCKHISTORY(C19,TODAY(),TODAY(),0,0,1)</f>
        <v>162.5</v>
      </c>
      <c r="P19" s="12">
        <f ca="1">IFERROR(O19*E19,G19)</f>
        <v>40.901249999999997</v>
      </c>
      <c r="Q19" s="12">
        <f ca="1">P19-G19</f>
        <v>-4.0423019999999994</v>
      </c>
      <c r="R19" s="12">
        <f>F19/(1+I19-H19)</f>
        <v>124.69119255370553</v>
      </c>
      <c r="S19" s="12">
        <f>M19-F19</f>
        <v>17.460000000000008</v>
      </c>
      <c r="T19" s="12">
        <f>0.5*(R19-F19)</f>
        <v>-26.934403723147234</v>
      </c>
      <c r="U19" s="15">
        <f>S19+T19</f>
        <v>-9.4744037231472262</v>
      </c>
      <c r="V19" s="12">
        <f>MAX($U$2:$U$279)-U19</f>
        <v>123.60684880433161</v>
      </c>
      <c r="W19" s="9">
        <f>IFERROR((SUBTOTAL(109,$V$2:$V$1048576)/V19)/SUBTOTAL(109,$V$2:$V$1048576),0)</f>
        <v>8.0901666022000929E-3</v>
      </c>
      <c r="X19" s="9">
        <f>V19/MAX($V$2:$V$28)</f>
        <v>0.86303531404059042</v>
      </c>
    </row>
    <row r="20" spans="1:24" x14ac:dyDescent="0.25">
      <c r="A20" t="s">
        <v>36</v>
      </c>
      <c r="B20" s="3" t="s">
        <v>14</v>
      </c>
      <c r="C20" t="s">
        <v>13</v>
      </c>
      <c r="D20" s="8">
        <v>45482</v>
      </c>
      <c r="E20" s="2">
        <v>1E-4</v>
      </c>
      <c r="F20" s="1">
        <v>227.38</v>
      </c>
      <c r="G20" s="1">
        <f>E20*F20</f>
        <v>2.2738000000000001E-2</v>
      </c>
      <c r="H20" s="13">
        <v>0.15</v>
      </c>
      <c r="I20" s="11">
        <v>0.2271</v>
      </c>
      <c r="J20" s="9">
        <f>IFERROR(H20/I20,"")</f>
        <v>0.66050198150594452</v>
      </c>
      <c r="K20" s="9">
        <f>IFERROR(J20/SUBTOTAL(9,$J$2:$J$1048576),"")</f>
        <v>3.437003185644729E-2</v>
      </c>
      <c r="L20" s="9">
        <f t="shared" si="0"/>
        <v>5.1637998000000004E-3</v>
      </c>
      <c r="M20" s="12">
        <f>F20/(1-(F20*(1+H20)-F20)/(F20*(1+H20)))</f>
        <v>261.48699999999997</v>
      </c>
      <c r="N20" s="12">
        <f>M20*E20</f>
        <v>2.6148699999999997E-2</v>
      </c>
      <c r="O20" s="12" cm="1" vm="16">
        <f t="array" aca="1" ref="O20" ca="1">_xlfn.STOCKHISTORY(C20,TODAY(),TODAY(),0,0,1)</f>
        <v>244.87</v>
      </c>
      <c r="P20" s="12">
        <f ca="1">IFERROR(O20*E20,G20)</f>
        <v>2.4487000000000002E-2</v>
      </c>
      <c r="Q20" s="12">
        <f ca="1">P20-G20</f>
        <v>1.7490000000000006E-3</v>
      </c>
      <c r="R20" s="12">
        <f>F20/(1+I20-H20)</f>
        <v>211.10389007520189</v>
      </c>
      <c r="S20" s="12">
        <f>M20-F20</f>
        <v>34.106999999999971</v>
      </c>
      <c r="T20" s="12">
        <f>0.5*(R20-F20)</f>
        <v>-8.1380549623990532</v>
      </c>
      <c r="U20" s="15">
        <f>S20+T20</f>
        <v>25.968945037600918</v>
      </c>
      <c r="V20" s="12">
        <f>MAX($U$2:$U$279)-U20</f>
        <v>88.163500043583468</v>
      </c>
      <c r="W20" s="9">
        <f>IFERROR((SUBTOTAL(109,$V$2:$V$1048576)/V20)/SUBTOTAL(109,$V$2:$V$1048576),0)</f>
        <v>1.1342562392664218E-2</v>
      </c>
      <c r="X20" s="9">
        <f>V20/MAX($V$2:$V$28)</f>
        <v>0.6155663272953309</v>
      </c>
    </row>
    <row r="21" spans="1:24" x14ac:dyDescent="0.25">
      <c r="A21" t="s">
        <v>36</v>
      </c>
      <c r="B21" s="3" t="s">
        <v>11</v>
      </c>
      <c r="C21" t="s">
        <v>12</v>
      </c>
      <c r="D21" s="8">
        <v>45574</v>
      </c>
      <c r="E21" s="2">
        <v>0.16059999999999999</v>
      </c>
      <c r="F21" s="1">
        <v>421.18</v>
      </c>
      <c r="G21" s="1">
        <f>E21*F21</f>
        <v>67.641508000000002</v>
      </c>
      <c r="H21" s="13">
        <v>0.15</v>
      </c>
      <c r="I21" s="11">
        <v>0.1963</v>
      </c>
      <c r="J21" s="9">
        <f>IFERROR(H21/I21,"")</f>
        <v>0.76413652572592972</v>
      </c>
      <c r="K21" s="9">
        <f>IFERROR(J21/SUBTOTAL(9,$J$2:$J$1048576),"")</f>
        <v>3.9762782652058987E-2</v>
      </c>
      <c r="L21" s="9">
        <f t="shared" si="0"/>
        <v>13.278028020400001</v>
      </c>
      <c r="M21" s="12">
        <f>F21/(1-(F21*(1+H21)-F21)/(F21*(1+H21)))</f>
        <v>484.35699999999997</v>
      </c>
      <c r="N21" s="12">
        <f>M21*E21</f>
        <v>77.787734199999989</v>
      </c>
      <c r="O21" s="12" cm="1" vm="17">
        <f t="array" aca="1" ref="O21" ca="1">_xlfn.STOCKHISTORY(C21,TODAY(),TODAY(),0,0,1)</f>
        <v>414.77</v>
      </c>
      <c r="P21" s="12">
        <f ca="1">IFERROR(O21*E21,G21)</f>
        <v>66.612061999999995</v>
      </c>
      <c r="Q21" s="12">
        <f ca="1">P21-G21</f>
        <v>-1.0294460000000072</v>
      </c>
      <c r="R21" s="12">
        <f>F21/(1+I21-H21)</f>
        <v>402.54229188569246</v>
      </c>
      <c r="S21" s="12">
        <f>M21-F21</f>
        <v>63.176999999999964</v>
      </c>
      <c r="T21" s="12">
        <f>0.5*(R21-F21)</f>
        <v>-9.3188540571537715</v>
      </c>
      <c r="U21" s="15">
        <f>S21+T21</f>
        <v>53.858145942846193</v>
      </c>
      <c r="V21" s="12">
        <f>MAX($U$2:$U$279)-U21</f>
        <v>60.274299138338193</v>
      </c>
      <c r="W21" s="9">
        <f>IFERROR((SUBTOTAL(109,$V$2:$V$1048576)/V21)/SUBTOTAL(109,$V$2:$V$1048576),0)</f>
        <v>1.6590819209773906E-2</v>
      </c>
      <c r="X21" s="9">
        <f>V21/MAX($V$2:$V$28)</f>
        <v>0.4208411523197837</v>
      </c>
    </row>
    <row r="22" spans="1:24" x14ac:dyDescent="0.25">
      <c r="A22" t="s">
        <v>37</v>
      </c>
      <c r="B22" s="4" t="s">
        <v>8</v>
      </c>
      <c r="C22" t="s">
        <v>28</v>
      </c>
      <c r="D22" s="8">
        <v>45511</v>
      </c>
      <c r="E22" s="2">
        <v>0.12939999999999999</v>
      </c>
      <c r="F22" s="1">
        <v>501.56</v>
      </c>
      <c r="G22" s="1">
        <f>E22*F22</f>
        <v>64.901863999999989</v>
      </c>
      <c r="H22" s="13">
        <v>0.25</v>
      </c>
      <c r="I22" s="11">
        <v>0.29699999999999999</v>
      </c>
      <c r="J22" s="9">
        <f>IFERROR(H22/I22,"")</f>
        <v>0.84175084175084181</v>
      </c>
      <c r="K22" s="9">
        <f>IFERROR(J22/SUBTOTAL(9,$J$2:$J$1048576),"")</f>
        <v>4.3801538914697978E-2</v>
      </c>
      <c r="L22" s="9">
        <f t="shared" si="0"/>
        <v>19.275853607999995</v>
      </c>
      <c r="M22" s="12">
        <f>F22/(1-(F22*(1+H22)-F22)/(F22*(1+H22)))</f>
        <v>626.95000000000005</v>
      </c>
      <c r="N22" s="12">
        <f>M22*E22</f>
        <v>81.127330000000001</v>
      </c>
      <c r="O22" s="12" cm="1" vm="18">
        <f t="array" aca="1" ref="O22" ca="1">_xlfn.STOCKHISTORY(C22,TODAY(),TODAY(),0,0,1)</f>
        <v>568.5</v>
      </c>
      <c r="P22" s="12">
        <f ca="1">IFERROR(O22*E22,G22)</f>
        <v>73.56389999999999</v>
      </c>
      <c r="Q22" s="12">
        <f ca="1">P22-G22</f>
        <v>8.6620360000000005</v>
      </c>
      <c r="R22" s="12">
        <f>F22/(1+I22-H22)</f>
        <v>479.04489016236869</v>
      </c>
      <c r="S22" s="12">
        <f>M22-F22</f>
        <v>125.39000000000004</v>
      </c>
      <c r="T22" s="12">
        <f>0.5*(R22-F22)</f>
        <v>-11.257554918815657</v>
      </c>
      <c r="U22" s="15">
        <f>S22+T22</f>
        <v>114.13244508118439</v>
      </c>
      <c r="V22" s="12">
        <f>MAX($U$2:$U$279)-U22</f>
        <v>0</v>
      </c>
      <c r="W22" s="9">
        <f>IFERROR((SUBTOTAL(109,$V$2:$V$1048576)/V22)/SUBTOTAL(109,$V$2:$V$1048576),0)</f>
        <v>0</v>
      </c>
      <c r="X22" s="9">
        <f>V22/MAX($V$2:$V$28)</f>
        <v>0</v>
      </c>
    </row>
    <row r="23" spans="1:24" x14ac:dyDescent="0.25">
      <c r="A23" t="s">
        <v>36</v>
      </c>
      <c r="B23" s="3" t="s">
        <v>18</v>
      </c>
      <c r="C23" t="s">
        <v>17</v>
      </c>
      <c r="D23" s="8">
        <v>45678</v>
      </c>
      <c r="E23" s="2">
        <v>5.3800000000000001E-2</v>
      </c>
      <c r="F23" s="1">
        <v>185.82</v>
      </c>
      <c r="G23" s="1">
        <f>E23*F23</f>
        <v>9.9971160000000001</v>
      </c>
      <c r="H23" s="13">
        <f>190.41/F23-1</f>
        <v>2.4701323861801683E-2</v>
      </c>
      <c r="I23" s="11">
        <v>0.26790000000000003</v>
      </c>
      <c r="J23" s="9">
        <f>IFERROR(H23/I23,"")</f>
        <v>9.2203523187016356E-2</v>
      </c>
      <c r="K23" s="9">
        <f>IFERROR(J23/SUBTOTAL(9,$J$2:$J$1048576),"")</f>
        <v>4.7979235762306447E-3</v>
      </c>
      <c r="L23" s="9">
        <f t="shared" si="0"/>
        <v>2.6782273764000002</v>
      </c>
      <c r="M23" s="12">
        <f>F23/(1-(F23*(1+H23)-F23)/(F23*(1+H23)))</f>
        <v>190.40999999999997</v>
      </c>
      <c r="N23" s="12">
        <f>M23*E23</f>
        <v>10.244057999999999</v>
      </c>
      <c r="O23" s="12" cm="1" vm="19">
        <f t="array" aca="1" ref="O23" ca="1">_xlfn.STOCKHISTORY(C23,TODAY(),TODAY(),0,0,1)</f>
        <v>185.27</v>
      </c>
      <c r="P23" s="12">
        <f ca="1">IFERROR(O23*E23,G23)</f>
        <v>9.9675260000000012</v>
      </c>
      <c r="Q23" s="12">
        <f ca="1">P23-G23</f>
        <v>-2.9589999999998895E-2</v>
      </c>
      <c r="R23" s="12">
        <f>F23/(1+I23-H23)</f>
        <v>149.46927113630838</v>
      </c>
      <c r="S23" s="12">
        <f>M23-F23</f>
        <v>4.589999999999975</v>
      </c>
      <c r="T23" s="12">
        <f>0.5*(R23-F23)</f>
        <v>-18.175364431845807</v>
      </c>
      <c r="U23" s="15">
        <f>S23+T23</f>
        <v>-13.585364431845832</v>
      </c>
      <c r="V23" s="12">
        <f>MAX($U$2:$U$279)-U23</f>
        <v>127.71780951303022</v>
      </c>
      <c r="W23" s="9">
        <f>IFERROR((SUBTOTAL(109,$V$2:$V$1048576)/V23)/SUBTOTAL(109,$V$2:$V$1048576),0)</f>
        <v>7.8297615956056353E-3</v>
      </c>
      <c r="X23" s="9">
        <f>V23/MAX($V$2:$V$28)</f>
        <v>0.8917384506431304</v>
      </c>
    </row>
    <row r="24" spans="1:24" x14ac:dyDescent="0.25">
      <c r="A24" t="s">
        <v>39</v>
      </c>
      <c r="B24" s="6" t="s">
        <v>58</v>
      </c>
      <c r="C24" t="s">
        <v>59</v>
      </c>
      <c r="D24" s="8">
        <v>45580</v>
      </c>
      <c r="E24" s="2">
        <v>2.9999999999999997E-4</v>
      </c>
      <c r="F24" s="1">
        <v>130.51</v>
      </c>
      <c r="G24" s="1">
        <f>E24*F24</f>
        <v>3.9152999999999993E-2</v>
      </c>
      <c r="H24" s="13">
        <v>7.0000000000000007E-2</v>
      </c>
      <c r="I24" s="11">
        <v>0.1623</v>
      </c>
      <c r="J24" s="9">
        <f>IFERROR(H24/I24,"")</f>
        <v>0.43130006161429457</v>
      </c>
      <c r="K24" s="9">
        <f>IFERROR(J24/SUBTOTAL(9,$J$2:$J$1048576),"")</f>
        <v>2.2443228442059669E-2</v>
      </c>
      <c r="L24" s="9">
        <f t="shared" si="0"/>
        <v>6.3545318999999991E-3</v>
      </c>
      <c r="M24" s="12">
        <f>F24/(1-(F24*(1+H24)-F24)/(F24*(1+H24)))</f>
        <v>139.64570000000001</v>
      </c>
      <c r="N24" s="12">
        <f>M24*E24</f>
        <v>4.1893710000000001E-2</v>
      </c>
      <c r="O24" s="12" cm="1" vm="20">
        <f t="array" aca="1" ref="O24" ca="1">_xlfn.STOCKHISTORY(C24,TODAY(),TODAY(),0,0,1)</f>
        <v>148.29</v>
      </c>
      <c r="P24" s="12">
        <f ca="1">IFERROR(O24*E24,G24)</f>
        <v>4.4486999999999992E-2</v>
      </c>
      <c r="Q24" s="12">
        <f ca="1">P24-G24</f>
        <v>5.3339999999999985E-3</v>
      </c>
      <c r="R24" s="12">
        <f>F24/(1+I24-H24)</f>
        <v>119.48182733681222</v>
      </c>
      <c r="S24" s="12">
        <f>M24-F24</f>
        <v>9.1357000000000141</v>
      </c>
      <c r="T24" s="12">
        <f>0.5*(R24-F24)</f>
        <v>-5.5140863315938873</v>
      </c>
      <c r="U24" s="15">
        <f>S24+T24</f>
        <v>3.6216136684061269</v>
      </c>
      <c r="V24" s="12">
        <f>MAX($U$2:$U$279)-U24</f>
        <v>110.51083141277826</v>
      </c>
      <c r="W24" s="9">
        <f>IFERROR((SUBTOTAL(109,$V$2:$V$1048576)/V24)/SUBTOTAL(109,$V$2:$V$1048576),0)</f>
        <v>9.0488867671696012E-3</v>
      </c>
      <c r="X24" s="9">
        <f>V24/MAX($V$2:$V$28)</f>
        <v>0.77159761789729864</v>
      </c>
    </row>
    <row r="25" spans="1:24" x14ac:dyDescent="0.25">
      <c r="A25" t="s">
        <v>40</v>
      </c>
      <c r="B25" s="7" t="s">
        <v>51</v>
      </c>
      <c r="C25" s="14" t="s">
        <v>50</v>
      </c>
      <c r="D25" s="8">
        <v>45511</v>
      </c>
      <c r="E25" s="2">
        <v>9.9999999999999998E-20</v>
      </c>
      <c r="F25" s="1">
        <v>10.92</v>
      </c>
      <c r="G25" s="1">
        <f>E25*F25</f>
        <v>1.092E-18</v>
      </c>
      <c r="H25" s="13">
        <v>1</v>
      </c>
      <c r="I25" s="13">
        <v>1.8652</v>
      </c>
      <c r="J25" s="9">
        <f>IFERROR(H25/I25,"")</f>
        <v>0.53613553506326406</v>
      </c>
      <c r="K25" s="9">
        <f>IFERROR(J25/SUBTOTAL(9,$J$2:$J$1048576),"")</f>
        <v>2.7898471065119668E-2</v>
      </c>
      <c r="L25" s="9">
        <f t="shared" si="0"/>
        <v>2.0367984000000001E-18</v>
      </c>
      <c r="M25" s="12">
        <f>F25/(1-(F25*(1+H25)-F25)/(F25*(1+H25)))</f>
        <v>21.84</v>
      </c>
      <c r="N25" s="12">
        <f>M25*E25</f>
        <v>2.1840000000000001E-18</v>
      </c>
      <c r="O25" s="12" cm="1" vm="21">
        <f t="array" aca="1" ref="O25" ca="1">_xlfn.STOCKHISTORY(C25,TODAY(),TODAY(),0,0,1)</f>
        <v>5.64</v>
      </c>
      <c r="P25" s="12">
        <f ca="1">IFERROR(O25*E25,G25)</f>
        <v>5.6399999999999995E-19</v>
      </c>
      <c r="Q25" s="12">
        <f ca="1">P25-G25</f>
        <v>-5.280000000000001E-19</v>
      </c>
      <c r="R25" s="12">
        <f>F25/(1+I25-H25)</f>
        <v>5.8546000428908433</v>
      </c>
      <c r="S25" s="12">
        <f>M25-F25</f>
        <v>10.92</v>
      </c>
      <c r="T25" s="12">
        <f>0.5*(R25-F25)</f>
        <v>-2.5326999785545783</v>
      </c>
      <c r="U25" s="15">
        <f>S25+T25</f>
        <v>8.3873000214454212</v>
      </c>
      <c r="V25" s="12">
        <f>MAX($U$2:$U$279)-U25</f>
        <v>105.74514505973896</v>
      </c>
      <c r="W25" s="9">
        <f>IFERROR((SUBTOTAL(109,$V$2:$V$1048576)/V25)/SUBTOTAL(109,$V$2:$V$1048576),0)</f>
        <v>9.456698928684306E-3</v>
      </c>
      <c r="X25" s="9">
        <f>V25/MAX($V$2:$V$28)</f>
        <v>0.73832312171768166</v>
      </c>
    </row>
    <row r="26" spans="1:24" x14ac:dyDescent="0.25">
      <c r="A26" t="s">
        <v>37</v>
      </c>
      <c r="B26" s="4" t="s">
        <v>7</v>
      </c>
      <c r="C26" t="s">
        <v>25</v>
      </c>
      <c r="D26" s="8">
        <v>45511</v>
      </c>
      <c r="E26" s="2">
        <v>9.9999999999999998E-20</v>
      </c>
      <c r="F26" s="1">
        <v>283.43</v>
      </c>
      <c r="G26" s="1">
        <f>E26*F26</f>
        <v>2.8342999999999998E-17</v>
      </c>
      <c r="H26" s="13">
        <v>0.25</v>
      </c>
      <c r="I26" s="11">
        <v>0.26</v>
      </c>
      <c r="J26" s="9">
        <f>IFERROR(H26/I26,"")</f>
        <v>0.96153846153846145</v>
      </c>
      <c r="K26" s="9">
        <f>IFERROR(J26/SUBTOTAL(9,$J$2:$J$1048576),"")</f>
        <v>5.0034834837174219E-2</v>
      </c>
      <c r="L26" s="9">
        <f t="shared" si="0"/>
        <v>7.3691799999999998E-18</v>
      </c>
      <c r="M26" s="12">
        <f>F26/(1-(F26*(1+H26)-F26)/(F26*(1+H26)))</f>
        <v>354.28750000000002</v>
      </c>
      <c r="N26" s="12">
        <f>M26*E26</f>
        <v>3.542875E-17</v>
      </c>
      <c r="O26" s="12" cm="1" vm="22">
        <f t="array" aca="1" ref="O26" ca="1">_xlfn.STOCKHISTORY(C26,TODAY(),TODAY(),0,0,1)</f>
        <v>355.23</v>
      </c>
      <c r="P26" s="12">
        <f ca="1">IFERROR(O26*E26,G26)</f>
        <v>3.5522999999999998E-17</v>
      </c>
      <c r="Q26" s="12">
        <f ca="1">P26-G26</f>
        <v>7.1800000000000003E-18</v>
      </c>
      <c r="R26" s="12">
        <f>F26/(1+I26-H26)</f>
        <v>280.62376237623761</v>
      </c>
      <c r="S26" s="12">
        <f>M26-F26</f>
        <v>70.857500000000016</v>
      </c>
      <c r="T26" s="12">
        <f>0.5*(R26-F26)</f>
        <v>-1.4031188118811997</v>
      </c>
      <c r="U26" s="15">
        <f>S26+T26</f>
        <v>69.454381188118816</v>
      </c>
      <c r="V26" s="12">
        <f>MAX($U$2:$U$279)-U26</f>
        <v>44.67806389306557</v>
      </c>
      <c r="W26" s="9">
        <f>IFERROR((SUBTOTAL(109,$V$2:$V$1048576)/V26)/SUBTOTAL(109,$V$2:$V$1048576),0)</f>
        <v>2.2382348581474875E-2</v>
      </c>
      <c r="X26" s="9">
        <f>V26/MAX($V$2:$V$28)</f>
        <v>0.311946686414727</v>
      </c>
    </row>
    <row r="27" spans="1:24" x14ac:dyDescent="0.25">
      <c r="A27" t="s">
        <v>36</v>
      </c>
      <c r="B27" s="3" t="s">
        <v>10</v>
      </c>
      <c r="C27" t="s">
        <v>9</v>
      </c>
      <c r="D27" s="8">
        <v>45544</v>
      </c>
      <c r="E27" s="2">
        <v>9.9999999999999998E-20</v>
      </c>
      <c r="F27" s="1">
        <v>188.12</v>
      </c>
      <c r="G27" s="1">
        <f>E27*F27</f>
        <v>1.8812000000000001E-17</v>
      </c>
      <c r="H27" s="13">
        <v>0.15</v>
      </c>
      <c r="I27" s="11">
        <v>0.37780000000000002</v>
      </c>
      <c r="J27" s="9">
        <f>IFERROR(H27/I27,"")</f>
        <v>0.39703546850185278</v>
      </c>
      <c r="K27" s="9">
        <f>IFERROR(J27/SUBTOTAL(9,$J$2:$J$1048576),"")</f>
        <v>2.0660228254629907E-2</v>
      </c>
      <c r="L27" s="9">
        <f t="shared" si="0"/>
        <v>7.1071736000000005E-18</v>
      </c>
      <c r="M27" s="12">
        <f>F27/(1-(F27*(1+H27)-F27)/(F27*(1+H27)))</f>
        <v>216.33799999999999</v>
      </c>
      <c r="N27" s="12">
        <f>M27*E27</f>
        <v>2.16338E-17</v>
      </c>
      <c r="O27" s="12" cm="1" vm="23">
        <f t="array" aca="1" ref="O27" ca="1">_xlfn.STOCKHISTORY(C27,TODAY(),TODAY(),0,0,1)</f>
        <v>175.22</v>
      </c>
      <c r="P27" s="12">
        <f ca="1">IFERROR(O27*E27,G27)</f>
        <v>1.7522E-17</v>
      </c>
      <c r="Q27" s="12">
        <f ca="1">P27-G27</f>
        <v>-1.2900000000000016E-18</v>
      </c>
      <c r="R27" s="12">
        <f>F27/(1+I27-H27)</f>
        <v>153.21713634142367</v>
      </c>
      <c r="S27" s="12">
        <f>M27-F27</f>
        <v>28.217999999999989</v>
      </c>
      <c r="T27" s="12">
        <f>0.5*(R27-F27)</f>
        <v>-17.451431829288168</v>
      </c>
      <c r="U27" s="15">
        <f>S27+T27</f>
        <v>10.766568170711821</v>
      </c>
      <c r="V27" s="12">
        <f>MAX($U$2:$U$279)-U27</f>
        <v>103.36587691047256</v>
      </c>
      <c r="W27" s="9">
        <f>IFERROR((SUBTOTAL(109,$V$2:$V$1048576)/V27)/SUBTOTAL(109,$V$2:$V$1048576),0)</f>
        <v>9.6743725288193673E-3</v>
      </c>
      <c r="X27" s="9">
        <f>V27/MAX($V$2:$V$28)</f>
        <v>0.72171083482377829</v>
      </c>
    </row>
    <row r="28" spans="1:24" x14ac:dyDescent="0.25">
      <c r="A28" t="s">
        <v>39</v>
      </c>
      <c r="B28" s="6" t="s">
        <v>33</v>
      </c>
      <c r="C28" t="s">
        <v>34</v>
      </c>
      <c r="D28" s="8">
        <v>45562</v>
      </c>
      <c r="E28" s="2">
        <v>9.9999999999999998E-20</v>
      </c>
      <c r="F28" s="1">
        <v>668.82</v>
      </c>
      <c r="G28" s="1">
        <f>E28*F28</f>
        <v>6.6881999999999999E-17</v>
      </c>
      <c r="H28" s="13">
        <v>0.05</v>
      </c>
      <c r="I28" s="11">
        <v>0.28000000000000003</v>
      </c>
      <c r="J28" s="9">
        <f>IFERROR(H28/I28,"")</f>
        <v>0.17857142857142858</v>
      </c>
      <c r="K28" s="9">
        <f>IFERROR(J28/SUBTOTAL(9,$J$2:$J$1048576),"")</f>
        <v>9.2921836126180716E-3</v>
      </c>
      <c r="L28" s="9">
        <f t="shared" si="0"/>
        <v>1.872696E-17</v>
      </c>
      <c r="M28" s="12">
        <f>F28/(1-(F28*(1+H28)-F28)/(F28*(1+H28)))</f>
        <v>702.26100000000008</v>
      </c>
      <c r="N28" s="12">
        <f>M28*E28</f>
        <v>7.0226100000000009E-17</v>
      </c>
      <c r="O28" s="12" t="e" cm="1" vm="24">
        <f t="array" aca="1" ref="O28" ca="1">_xlfn.STOCKHISTORY(C28,TODAY(),TODAY(),0,0,1)</f>
        <v>#VALUE!</v>
      </c>
      <c r="P28" s="12">
        <f ca="1">IFERROR(O28*E28,G28)</f>
        <v>6.6881999999999999E-17</v>
      </c>
      <c r="Q28" s="12">
        <f ca="1">P28-G28</f>
        <v>0</v>
      </c>
      <c r="R28" s="12">
        <f>F28/(1+I28-H28)</f>
        <v>543.7560975609756</v>
      </c>
      <c r="S28" s="12">
        <f>M28-F28</f>
        <v>33.441000000000031</v>
      </c>
      <c r="T28" s="12">
        <f>0.5*(R28-F28)</f>
        <v>-62.531951219512223</v>
      </c>
      <c r="U28" s="15">
        <f>S28+T28</f>
        <v>-29.090951219512192</v>
      </c>
      <c r="V28" s="12">
        <f>MAX($U$2:$U$279)-U28</f>
        <v>143.22339630069658</v>
      </c>
      <c r="W28" s="9">
        <f>IFERROR((SUBTOTAL(109,$V$2:$V$1048576)/V28)/SUBTOTAL(109,$V$2:$V$1048576),0)</f>
        <v>6.9820994741704523E-3</v>
      </c>
      <c r="X28" s="9">
        <f>V28/MAX($V$2:$V$28)</f>
        <v>1</v>
      </c>
    </row>
    <row r="29" spans="1:24" x14ac:dyDescent="0.25">
      <c r="A29" t="s">
        <v>36</v>
      </c>
      <c r="B29" s="3" t="s">
        <v>60</v>
      </c>
      <c r="C29" t="s">
        <v>60</v>
      </c>
      <c r="D29" s="8">
        <v>45481</v>
      </c>
      <c r="E29" s="2">
        <v>9.9999999999999998E-20</v>
      </c>
      <c r="F29" s="1">
        <v>700.32</v>
      </c>
      <c r="G29" s="1">
        <f>E29*F29</f>
        <v>7.0031999999999998E-17</v>
      </c>
      <c r="H29" s="13">
        <v>0.1</v>
      </c>
      <c r="I29" s="11">
        <v>0.45340000000000003</v>
      </c>
      <c r="J29" s="9">
        <f>IFERROR(H29/I29,"")</f>
        <v>0.22055580061755625</v>
      </c>
      <c r="K29" s="9">
        <f>IFERROR(J29/SUBTOTAL(9,$J$2:$J$1048576),"")</f>
        <v>1.1476891978531363E-2</v>
      </c>
      <c r="L29" s="9">
        <f t="shared" si="0"/>
        <v>3.1752508800000004E-17</v>
      </c>
      <c r="M29" s="12">
        <f>F29/(1-(F29*(1+H29)-F29)/(F29*(1+H29)))</f>
        <v>770.35200000000009</v>
      </c>
      <c r="N29" s="12">
        <f>M29*E29</f>
        <v>7.7035200000000004E-17</v>
      </c>
      <c r="O29" s="12" cm="1" vm="25">
        <f t="array" aca="1" ref="O29" ca="1">_xlfn.STOCKHISTORY(C29,TODAY(),TODAY(),0,0,1)</f>
        <v>744.8</v>
      </c>
      <c r="P29" s="12">
        <f ca="1">IFERROR(O29*E29,G29)</f>
        <v>7.4479999999999992E-17</v>
      </c>
      <c r="Q29" s="12">
        <f ca="1">P29-G29</f>
        <v>4.4479999999999936E-18</v>
      </c>
      <c r="R29" s="12">
        <f>F29/(1+I29-H29)</f>
        <v>517.45234224915032</v>
      </c>
      <c r="S29" s="12">
        <f>M29-F29</f>
        <v>70.032000000000039</v>
      </c>
      <c r="T29" s="12">
        <f>0.5*(R29-F29)</f>
        <v>-91.433828875424865</v>
      </c>
      <c r="U29" s="15">
        <f>S29+T29</f>
        <v>-21.401828875424826</v>
      </c>
      <c r="V29" s="12">
        <f>MAX($U$2:$U$279)-U29</f>
        <v>135.53427395660921</v>
      </c>
      <c r="W29" s="9">
        <f>IFERROR((SUBTOTAL(109,$V$2:$V$1048576)/V29)/SUBTOTAL(109,$V$2:$V$1048576),0)</f>
        <v>7.3782075249847591E-3</v>
      </c>
      <c r="X29" s="9">
        <f>V29/MAX($V$2:$V$28)</f>
        <v>0.94631378292451529</v>
      </c>
    </row>
    <row r="30" spans="1:24" x14ac:dyDescent="0.25">
      <c r="A30" t="s">
        <v>36</v>
      </c>
      <c r="B30" s="3" t="s">
        <v>23</v>
      </c>
      <c r="C30" t="s">
        <v>24</v>
      </c>
      <c r="D30" s="8">
        <v>45482</v>
      </c>
      <c r="E30" s="2">
        <v>9.9999999999999998E-20</v>
      </c>
      <c r="F30" s="1">
        <v>147.01</v>
      </c>
      <c r="G30" s="1">
        <f>E30*F30</f>
        <v>1.4700999999999999E-17</v>
      </c>
      <c r="H30" s="13">
        <v>0.15</v>
      </c>
      <c r="I30" s="11">
        <v>0.52380000000000004</v>
      </c>
      <c r="J30" s="9">
        <f>IFERROR(H30/I30,"")</f>
        <v>0.28636884306987398</v>
      </c>
      <c r="K30" s="9">
        <f>IFERROR(J30/SUBTOTAL(9,$J$2:$J$1048576),"")</f>
        <v>1.4901554476134362E-2</v>
      </c>
      <c r="L30" s="9">
        <f t="shared" si="0"/>
        <v>7.7003838000000003E-18</v>
      </c>
      <c r="M30" s="12">
        <f>F30/(1-(F30*(1+H30)-F30)/(F30*(1+H30)))</f>
        <v>169.06149999999997</v>
      </c>
      <c r="N30" s="12">
        <f>M30*E30</f>
        <v>1.6906149999999997E-17</v>
      </c>
      <c r="O30" s="12" cm="1" vm="26">
        <f t="array" aca="1" ref="O30" ca="1">_xlfn.STOCKHISTORY(C30,TODAY(),TODAY(),0,0,1)</f>
        <v>139.22999999999999</v>
      </c>
      <c r="P30" s="12">
        <f ca="1">IFERROR(O30*E30,G30)</f>
        <v>1.3922999999999999E-17</v>
      </c>
      <c r="Q30" s="12">
        <f ca="1">P30-G30</f>
        <v>-7.7800000000000002E-19</v>
      </c>
      <c r="R30" s="12">
        <f>F30/(1+I30-H30)</f>
        <v>107.00975396709855</v>
      </c>
      <c r="S30" s="12">
        <f>M30-F30</f>
        <v>22.051499999999976</v>
      </c>
      <c r="T30" s="12">
        <f>0.5*(R30-F30)</f>
        <v>-20.000123016450722</v>
      </c>
      <c r="U30" s="15">
        <f>S30+T30</f>
        <v>2.0513769835492539</v>
      </c>
      <c r="V30" s="12">
        <f>MAX($U$2:$U$279)-U30</f>
        <v>112.08106809763513</v>
      </c>
      <c r="W30" s="9">
        <f>IFERROR((SUBTOTAL(109,$V$2:$V$1048576)/V30)/SUBTOTAL(109,$V$2:$V$1048576),0)</f>
        <v>8.9221134039237406E-3</v>
      </c>
      <c r="X30" s="9">
        <f>V30/MAX($V$2:$V$28)</f>
        <v>0.78256116662896091</v>
      </c>
    </row>
    <row r="31" spans="1:24" x14ac:dyDescent="0.25">
      <c r="A31" t="s">
        <v>36</v>
      </c>
      <c r="B31" s="3" t="s">
        <v>29</v>
      </c>
      <c r="C31" t="s">
        <v>30</v>
      </c>
      <c r="D31" s="8">
        <v>45481</v>
      </c>
      <c r="E31" s="2">
        <v>9.9999999999999998E-20</v>
      </c>
      <c r="F31" s="1">
        <v>169.34</v>
      </c>
      <c r="G31" s="1">
        <f>E31*F31</f>
        <v>1.6933999999999999E-17</v>
      </c>
      <c r="H31" s="13">
        <v>0.1</v>
      </c>
      <c r="I31" s="11">
        <v>0.4259</v>
      </c>
      <c r="J31" s="9">
        <f>IFERROR(H31/I31,"")</f>
        <v>0.23479690068091102</v>
      </c>
      <c r="K31" s="9">
        <f>IFERROR(J31/SUBTOTAL(9,$J$2:$J$1048576),"")</f>
        <v>1.2217945111683776E-2</v>
      </c>
      <c r="L31" s="9">
        <f t="shared" si="0"/>
        <v>7.2121906000000005E-18</v>
      </c>
      <c r="M31" s="12">
        <f>F31/(1-(F31*(1+H31)-F31)/(F31*(1+H31)))</f>
        <v>186.27400000000003</v>
      </c>
      <c r="N31" s="12">
        <f>M31*E31</f>
        <v>1.8627400000000003E-17</v>
      </c>
      <c r="O31" s="12" cm="1" vm="27">
        <f t="array" aca="1" ref="O31" ca="1">_xlfn.STOCKHISTORY(C31,TODAY(),TODAY(),0,0,1)</f>
        <v>174.06</v>
      </c>
      <c r="P31" s="12">
        <f ca="1">IFERROR(O31*E31,G31)</f>
        <v>1.7406000000000001E-17</v>
      </c>
      <c r="Q31" s="12">
        <f ca="1">P31-G31</f>
        <v>4.720000000000018E-19</v>
      </c>
      <c r="R31" s="12">
        <f>F31/(1+I31-H31)</f>
        <v>127.71702239987934</v>
      </c>
      <c r="S31" s="12">
        <f>M31-F31</f>
        <v>16.934000000000026</v>
      </c>
      <c r="T31" s="12">
        <f>0.5*(R31-F31)</f>
        <v>-20.811488800060332</v>
      </c>
      <c r="U31" s="15">
        <f>S31+T31</f>
        <v>-3.8774888000603056</v>
      </c>
      <c r="V31" s="12">
        <f>MAX($U$2:$U$279)-U31</f>
        <v>118.00993388124469</v>
      </c>
      <c r="W31" s="9">
        <f>IFERROR((SUBTOTAL(109,$V$2:$V$1048576)/V31)/SUBTOTAL(109,$V$2:$V$1048576),0)</f>
        <v>8.4738628953585915E-3</v>
      </c>
      <c r="X31" s="9">
        <f>V31/MAX($V$2:$V$28)</f>
        <v>0.82395709729912847</v>
      </c>
    </row>
    <row r="32" spans="1:24" x14ac:dyDescent="0.25">
      <c r="A32" t="s">
        <v>40</v>
      </c>
      <c r="B32" s="7" t="s">
        <v>31</v>
      </c>
      <c r="C32" s="14" t="s">
        <v>32</v>
      </c>
      <c r="D32" s="8">
        <v>45511</v>
      </c>
      <c r="E32" s="2">
        <v>9.9999999999999998E-20</v>
      </c>
      <c r="F32" s="1">
        <v>113.58</v>
      </c>
      <c r="G32" s="1">
        <f>E32*F32</f>
        <v>1.1357999999999999E-17</v>
      </c>
      <c r="H32" s="13">
        <f>121.15/F32-1</f>
        <v>6.664905793273479E-2</v>
      </c>
      <c r="I32" s="11">
        <v>0.16439999999999999</v>
      </c>
      <c r="J32" s="9">
        <f>IFERROR(H32/I32,"")</f>
        <v>0.40540789496797319</v>
      </c>
      <c r="K32" s="9">
        <f>IFERROR(J32/SUBTOTAL(9,$J$2:$J$1048576),"")</f>
        <v>2.1095897749065375E-2</v>
      </c>
      <c r="L32" s="9">
        <f t="shared" si="0"/>
        <v>1.8672551999999998E-18</v>
      </c>
      <c r="M32" s="12">
        <f>F32/(1-(F32*(1+H32)-F32)/(F32*(1+H32)))</f>
        <v>121.15000000000002</v>
      </c>
      <c r="N32" s="12">
        <f>M32*E32</f>
        <v>1.2115000000000002E-17</v>
      </c>
      <c r="O32" s="12" cm="1" vm="28">
        <f t="array" aca="1" ref="O32" ca="1">_xlfn.STOCKHISTORY(C32,TODAY(),TODAY(),0,0,1)</f>
        <v>111.79</v>
      </c>
      <c r="P32" s="12">
        <f ca="1">IFERROR(O32*E32,G32)</f>
        <v>1.1179E-17</v>
      </c>
      <c r="Q32" s="12">
        <f ca="1">P32-G32</f>
        <v>-1.7899999999999882E-19</v>
      </c>
      <c r="R32" s="12">
        <f>F32/(1+I32-H32)</f>
        <v>103.46609203186667</v>
      </c>
      <c r="S32" s="12">
        <f>M32-F32</f>
        <v>7.5700000000000216</v>
      </c>
      <c r="T32" s="12">
        <f>0.5*(R32-F32)</f>
        <v>-5.0569539840666664</v>
      </c>
      <c r="U32" s="15">
        <f>S32+T32</f>
        <v>2.5130460159333552</v>
      </c>
      <c r="V32" s="12">
        <f>MAX($U$2:$U$279)-U32</f>
        <v>111.61939906525103</v>
      </c>
      <c r="W32" s="9">
        <f>IFERROR((SUBTOTAL(109,$V$2:$V$1048576)/V32)/SUBTOTAL(109,$V$2:$V$1048576),0)</f>
        <v>8.9590161600441413E-3</v>
      </c>
      <c r="X32" s="9">
        <f>V32/MAX($V$2:$V$28)</f>
        <v>0.77933774752071117</v>
      </c>
    </row>
    <row r="33" spans="1:24" x14ac:dyDescent="0.25">
      <c r="A33" t="s">
        <v>36</v>
      </c>
      <c r="B33" s="3" t="s">
        <v>83</v>
      </c>
      <c r="C33" t="s">
        <v>84</v>
      </c>
      <c r="D33" s="8">
        <v>45481</v>
      </c>
      <c r="E33" s="2">
        <v>9.9999999999999998E-20</v>
      </c>
      <c r="F33" s="1">
        <v>64.349999999999994</v>
      </c>
      <c r="G33" s="1">
        <f>E33*F33</f>
        <v>6.4349999999999993E-18</v>
      </c>
      <c r="H33" s="13">
        <v>0.15</v>
      </c>
      <c r="I33" s="11">
        <v>0.67300000000000004</v>
      </c>
      <c r="J33" s="9">
        <f>IFERROR(H33/I33,"")</f>
        <v>0.22288261515601782</v>
      </c>
      <c r="K33" s="9">
        <f>IFERROR(J33/SUBTOTAL(9,$J$2:$J$1048576),"")</f>
        <v>1.1597970630905169E-2</v>
      </c>
      <c r="L33" s="9">
        <f t="shared" si="0"/>
        <v>4.3307549999999997E-18</v>
      </c>
      <c r="M33" s="12">
        <f>F33/(1-(F33*(1+H33)-F33)/(F33*(1+H33)))</f>
        <v>74.002499999999984</v>
      </c>
      <c r="N33" s="12">
        <f>M33*E33</f>
        <v>7.4002499999999988E-18</v>
      </c>
      <c r="O33" s="12" cm="1" vm="29">
        <f t="array" aca="1" ref="O33" ca="1">_xlfn.STOCKHISTORY(C33,TODAY(),TODAY(),0,0,1)</f>
        <v>112.06</v>
      </c>
      <c r="P33" s="12">
        <f ca="1">IFERROR(O33*E33,G33)</f>
        <v>1.1206E-17</v>
      </c>
      <c r="Q33" s="12">
        <f ca="1">P33-G33</f>
        <v>4.771000000000001E-18</v>
      </c>
      <c r="R33" s="12">
        <f>F33/(1+I33-H33)</f>
        <v>42.252133946158892</v>
      </c>
      <c r="S33" s="12">
        <f>M33-F33</f>
        <v>9.6524999999999892</v>
      </c>
      <c r="T33" s="12">
        <f>0.5*(R33-F33)</f>
        <v>-11.048933026920551</v>
      </c>
      <c r="U33" s="15">
        <f>S33+T33</f>
        <v>-1.3964330269205618</v>
      </c>
      <c r="V33" s="12">
        <f>MAX($U$2:$U$279)-U33</f>
        <v>115.52887810810495</v>
      </c>
      <c r="W33" s="9">
        <f>IFERROR((SUBTOTAL(109,$V$2:$V$1048576)/V33)/SUBTOTAL(109,$V$2:$V$1048576),0)</f>
        <v>8.6558444639638962E-3</v>
      </c>
      <c r="X33" s="9">
        <f>V33/MAX($V$2:$V$28)</f>
        <v>0.80663411909010196</v>
      </c>
    </row>
    <row r="34" spans="1:24" x14ac:dyDescent="0.25">
      <c r="A34" t="s">
        <v>40</v>
      </c>
      <c r="B34" s="7" t="s">
        <v>49</v>
      </c>
      <c r="C34" s="14" t="s">
        <v>48</v>
      </c>
      <c r="D34" s="8">
        <v>45511</v>
      </c>
      <c r="E34" s="2">
        <v>9.9999999999999998E-20</v>
      </c>
      <c r="F34" s="1">
        <v>20.82</v>
      </c>
      <c r="G34" s="1">
        <f>E34*F34</f>
        <v>2.0820000000000002E-18</v>
      </c>
      <c r="H34" s="13">
        <v>0.05</v>
      </c>
      <c r="I34" s="11">
        <v>0.7389</v>
      </c>
      <c r="J34" s="9">
        <f>IFERROR(H34/I34,"")</f>
        <v>6.7668155366084726E-2</v>
      </c>
      <c r="K34" s="9">
        <f>IFERROR(J34/SUBTOTAL(9,$J$2:$J$1048576),"")</f>
        <v>3.521195576577426E-3</v>
      </c>
      <c r="L34" s="9">
        <f t="shared" si="0"/>
        <v>1.5383898E-18</v>
      </c>
      <c r="M34" s="12">
        <f>F34/(1-(F34*(1+H34)-F34)/(F34*(1+H34)))</f>
        <v>21.861000000000001</v>
      </c>
      <c r="N34" s="12">
        <f>M34*E34</f>
        <v>2.1860999999999999E-18</v>
      </c>
      <c r="O34" s="12" cm="1" vm="30">
        <f t="array" aca="1" ref="O34" ca="1">_xlfn.STOCKHISTORY(C34,TODAY(),TODAY(),0,0,1)</f>
        <v>23.2</v>
      </c>
      <c r="P34" s="12">
        <f ca="1">IFERROR(O34*E34,G34)</f>
        <v>2.32E-18</v>
      </c>
      <c r="Q34" s="12">
        <f ca="1">P34-G34</f>
        <v>2.3799999999999981E-19</v>
      </c>
      <c r="R34" s="12">
        <f>F34/(1+I34-H34)</f>
        <v>12.327550476641601</v>
      </c>
      <c r="S34" s="12">
        <f>M34-F34</f>
        <v>1.0410000000000004</v>
      </c>
      <c r="T34" s="12">
        <f>0.5*(R34-F34)</f>
        <v>-4.2462247616791995</v>
      </c>
      <c r="U34" s="15">
        <f>S34+T34</f>
        <v>-3.2052247616791991</v>
      </c>
      <c r="V34" s="12">
        <f>MAX($U$2:$U$279)-U34</f>
        <v>117.33766984286359</v>
      </c>
      <c r="W34" s="9">
        <f>IFERROR((SUBTOTAL(109,$V$2:$V$1048576)/V34)/SUBTOTAL(109,$V$2:$V$1048576),0)</f>
        <v>8.5224122938454567E-3</v>
      </c>
      <c r="X34" s="9">
        <f>V34/MAX($V$2:$V$28)</f>
        <v>0.81926328291024408</v>
      </c>
    </row>
    <row r="35" spans="1:24" x14ac:dyDescent="0.25">
      <c r="A35" t="s">
        <v>40</v>
      </c>
      <c r="B35" s="7" t="s">
        <v>52</v>
      </c>
      <c r="C35" t="s">
        <v>53</v>
      </c>
      <c r="D35" s="8">
        <v>45511</v>
      </c>
      <c r="E35" s="2">
        <v>9.9999999999999998E-20</v>
      </c>
      <c r="F35" s="1">
        <v>13.04</v>
      </c>
      <c r="G35" s="1">
        <f>E35*F35</f>
        <v>1.304E-18</v>
      </c>
      <c r="H35" s="13">
        <f>13.72/F35-1</f>
        <v>5.2147239263803824E-2</v>
      </c>
      <c r="I35" s="11">
        <v>0.30159999999999998</v>
      </c>
      <c r="J35" s="9">
        <f>IFERROR(H35/I35,"")</f>
        <v>0.17290198694895167</v>
      </c>
      <c r="K35" s="9">
        <f>IFERROR(J35/SUBTOTAL(9,$J$2:$J$1048576),"")</f>
        <v>8.9971672544104531E-3</v>
      </c>
      <c r="L35" s="9">
        <f t="shared" si="0"/>
        <v>3.9328639999999997E-19</v>
      </c>
      <c r="M35" s="12">
        <f>F35/(1-(F35*(1+H35)-F35)/(F35*(1+H35)))</f>
        <v>13.72</v>
      </c>
      <c r="N35" s="12">
        <f>M35*E35</f>
        <v>1.3720000000000001E-18</v>
      </c>
      <c r="O35" s="12" cm="1" vm="31">
        <f t="array" aca="1" ref="O35" ca="1">_xlfn.STOCKHISTORY(C35,TODAY(),TODAY(),0,0,1)</f>
        <v>18.309999999999999</v>
      </c>
      <c r="P35" s="12">
        <f ca="1">IFERROR(O35*E35,G35)</f>
        <v>1.8309999999999997E-18</v>
      </c>
      <c r="Q35" s="12">
        <f ca="1">P35-G35</f>
        <v>5.2699999999999978E-19</v>
      </c>
      <c r="R35" s="12">
        <f>F35/(1+I35-H35)</f>
        <v>10.436569040286594</v>
      </c>
      <c r="S35" s="12">
        <f>M35-F35</f>
        <v>0.68000000000000149</v>
      </c>
      <c r="T35" s="12">
        <f>0.5*(R35-F35)</f>
        <v>-1.3017154798567026</v>
      </c>
      <c r="U35" s="15">
        <f>S35+T35</f>
        <v>-0.62171547985670106</v>
      </c>
      <c r="V35" s="12">
        <f>MAX($U$2:$U$279)-U35</f>
        <v>114.75416056104109</v>
      </c>
      <c r="W35" s="9">
        <f>IFERROR((SUBTOTAL(109,$V$2:$V$1048576)/V35)/SUBTOTAL(109,$V$2:$V$1048576),0)</f>
        <v>8.7142809908671761E-3</v>
      </c>
      <c r="X35" s="9">
        <f>V35/MAX($V$2:$V$28)</f>
        <v>0.80122496411211674</v>
      </c>
    </row>
    <row r="36" spans="1:24" x14ac:dyDescent="0.25">
      <c r="A36" t="s">
        <v>40</v>
      </c>
      <c r="B36" s="7" t="s">
        <v>45</v>
      </c>
      <c r="C36" t="s">
        <v>44</v>
      </c>
      <c r="D36" s="8">
        <v>45511</v>
      </c>
      <c r="E36" s="2">
        <v>9.9999999999999998E-20</v>
      </c>
      <c r="F36" s="1">
        <v>11.05</v>
      </c>
      <c r="G36" s="1">
        <f>E36*F36</f>
        <v>1.1050000000000001E-18</v>
      </c>
      <c r="H36" s="13">
        <v>0.05</v>
      </c>
      <c r="I36" s="11">
        <v>0.72170000000000001</v>
      </c>
      <c r="J36" s="9">
        <f>IFERROR(H36/I36,"")</f>
        <v>6.9280864625190522E-2</v>
      </c>
      <c r="K36" s="9">
        <f>IFERROR(J36/SUBTOTAL(9,$J$2:$J$1048576),"")</f>
        <v>3.6051148836539555E-3</v>
      </c>
      <c r="L36" s="9">
        <f t="shared" si="0"/>
        <v>7.9747850000000009E-19</v>
      </c>
      <c r="M36" s="12">
        <f>F36/(1-(F36*(1+H36)-F36)/(F36*(1+H36)))</f>
        <v>11.602500000000001</v>
      </c>
      <c r="N36" s="12">
        <f>M36*E36</f>
        <v>1.16025E-18</v>
      </c>
      <c r="O36" s="12" cm="1" vm="32">
        <f t="array" aca="1" ref="O36" ca="1">_xlfn.STOCKHISTORY(C36,TODAY(),TODAY(),0,0,1)</f>
        <v>11.05</v>
      </c>
      <c r="P36" s="12">
        <f ca="1">IFERROR(O36*E36,G36)</f>
        <v>1.1050000000000001E-18</v>
      </c>
      <c r="Q36" s="12">
        <f ca="1">P36-G36</f>
        <v>0</v>
      </c>
      <c r="R36" s="12">
        <f>F36/(1+I36-H36)</f>
        <v>6.6100376861877139</v>
      </c>
      <c r="S36" s="12">
        <f>M36-F36</f>
        <v>0.55250000000000021</v>
      </c>
      <c r="T36" s="12">
        <f>0.5*(R36-F36)</f>
        <v>-2.2199811569061434</v>
      </c>
      <c r="U36" s="15">
        <f>S36+T36</f>
        <v>-1.6674811569061432</v>
      </c>
      <c r="V36" s="12">
        <f>MAX($U$2:$U$279)-U36</f>
        <v>115.79992623809053</v>
      </c>
      <c r="W36" s="9">
        <f>IFERROR((SUBTOTAL(109,$V$2:$V$1048576)/V36)/SUBTOTAL(109,$V$2:$V$1048576),0)</f>
        <v>8.6355840844315329E-3</v>
      </c>
      <c r="X36" s="9">
        <f>V36/MAX($V$2:$V$28)</f>
        <v>0.80852660409594923</v>
      </c>
    </row>
    <row r="37" spans="1:24" x14ac:dyDescent="0.25">
      <c r="A37" t="s">
        <v>74</v>
      </c>
      <c r="B37" s="7" t="s">
        <v>79</v>
      </c>
      <c r="C37" s="14" t="s">
        <v>80</v>
      </c>
      <c r="D37" s="8">
        <f ca="1">TODAY()-20</f>
        <v>45687</v>
      </c>
      <c r="E37" s="2">
        <v>9.9999999999999998E-20</v>
      </c>
      <c r="F37" s="1">
        <v>2742.9</v>
      </c>
      <c r="G37" s="1">
        <f>E37*F37</f>
        <v>2.7429000000000002E-16</v>
      </c>
      <c r="H37" s="13">
        <v>0.1</v>
      </c>
      <c r="I37" s="11">
        <v>0.5</v>
      </c>
      <c r="J37" s="9">
        <f>IFERROR(H37/I37,"")</f>
        <v>0.2</v>
      </c>
      <c r="K37" s="9">
        <f>IFERROR(J37/SUBTOTAL(9,$J$2:$J$1048576),"")</f>
        <v>1.040724564613224E-2</v>
      </c>
      <c r="L37" s="9">
        <f t="shared" si="0"/>
        <v>1.3714500000000001E-16</v>
      </c>
      <c r="M37" s="12">
        <f>F37/(1-(F37*(1+H37)-F37)/(F37*(1+H37)))</f>
        <v>3017.1900000000005</v>
      </c>
      <c r="N37" s="12">
        <f>M37*E37</f>
        <v>3.0171900000000003E-16</v>
      </c>
      <c r="O37" s="12" cm="1" vm="33">
        <f t="array" aca="1" ref="O37" ca="1">_xlfn.STOCKHISTORY(C37,TODAY(),TODAY(),0,0,1)</f>
        <v>0.78559999999999997</v>
      </c>
      <c r="P37" s="12">
        <f ca="1">IFERROR(O37*E37,G37)</f>
        <v>7.8559999999999989E-20</v>
      </c>
      <c r="Q37" s="12">
        <f ca="1">P37-G37</f>
        <v>-2.7421144000000001E-16</v>
      </c>
      <c r="R37" s="12">
        <f>F37/(1+I37-H37)</f>
        <v>1959.214285714286</v>
      </c>
      <c r="S37" s="12">
        <f>M37-F37</f>
        <v>274.29000000000042</v>
      </c>
      <c r="T37" s="12">
        <f>0.5*(R37-F37)</f>
        <v>-391.84285714285704</v>
      </c>
      <c r="U37" s="15">
        <f>S37+T37</f>
        <v>-117.55285714285662</v>
      </c>
      <c r="V37" s="12">
        <f>MAX($U$2:$U$279)-U37</f>
        <v>231.68530222404101</v>
      </c>
      <c r="W37" s="9">
        <f>IFERROR((SUBTOTAL(109,$V$2:$V$1048576)/V37)/SUBTOTAL(109,$V$2:$V$1048576),0)</f>
        <v>4.316199562080957E-3</v>
      </c>
      <c r="X37" s="9">
        <f>V37/MAX($V$2:$V$28)</f>
        <v>1.6176498268314992</v>
      </c>
    </row>
    <row r="38" spans="1:24" x14ac:dyDescent="0.25">
      <c r="A38" t="s">
        <v>38</v>
      </c>
      <c r="B38" s="5" t="s">
        <v>54</v>
      </c>
      <c r="C38" t="s">
        <v>55</v>
      </c>
      <c r="D38" s="8">
        <v>45505</v>
      </c>
      <c r="E38" s="2">
        <v>9.9999999999999998E-20</v>
      </c>
      <c r="F38" s="1">
        <v>86.6</v>
      </c>
      <c r="G38" s="1">
        <f>E38*F38</f>
        <v>8.6599999999999986E-18</v>
      </c>
      <c r="H38" s="13">
        <v>7.0000000000000007E-2</v>
      </c>
      <c r="I38" s="11">
        <v>0.17249999999999999</v>
      </c>
      <c r="J38" s="9">
        <f>IFERROR(H38/I38,"")</f>
        <v>0.40579710144927544</v>
      </c>
      <c r="K38" s="9">
        <f>IFERROR(J38/SUBTOTAL(9,$J$2:$J$1048576),"")</f>
        <v>2.1116150586355274E-2</v>
      </c>
      <c r="L38" s="9">
        <f t="shared" si="0"/>
        <v>1.4938499999999996E-18</v>
      </c>
      <c r="M38" s="12">
        <f>F38/(1-(F38*(1+H38)-F38)/(F38*(1+H38)))</f>
        <v>92.662000000000006</v>
      </c>
      <c r="N38" s="12">
        <f>M38*E38</f>
        <v>9.2662000000000008E-18</v>
      </c>
      <c r="O38" s="12" cm="1" vm="34">
        <f t="array" aca="1" ref="O38" ca="1">_xlfn.STOCKHISTORY(C38,TODAY(),TODAY(),0,0,1)</f>
        <v>104</v>
      </c>
      <c r="P38" s="12">
        <f ca="1">IFERROR(O38*E38,G38)</f>
        <v>1.04E-17</v>
      </c>
      <c r="Q38" s="12">
        <f ca="1">P38-G38</f>
        <v>1.7400000000000015E-18</v>
      </c>
      <c r="R38" s="12">
        <f>F38/(1+I38-H38)</f>
        <v>78.548752834467123</v>
      </c>
      <c r="S38" s="12">
        <f>M38-F38</f>
        <v>6.0620000000000118</v>
      </c>
      <c r="T38" s="12">
        <f>0.5*(R38-F38)</f>
        <v>-4.0256235827664355</v>
      </c>
      <c r="U38" s="15">
        <f>S38+T38</f>
        <v>2.0363764172335763</v>
      </c>
      <c r="V38" s="12">
        <f>MAX($U$2:$U$279)-U38</f>
        <v>112.0960686639508</v>
      </c>
      <c r="W38" s="9">
        <f>IFERROR((SUBTOTAL(109,$V$2:$V$1048576)/V38)/SUBTOTAL(109,$V$2:$V$1048576),0)</f>
        <v>8.9209194570227766E-3</v>
      </c>
      <c r="X38" s="9">
        <f>V38/MAX($V$2:$V$28)</f>
        <v>0.78266590207514586</v>
      </c>
    </row>
    <row r="39" spans="1:24" x14ac:dyDescent="0.25">
      <c r="A39" t="s">
        <v>71</v>
      </c>
      <c r="B39" s="5" t="s">
        <v>72</v>
      </c>
      <c r="C39" t="s">
        <v>73</v>
      </c>
      <c r="D39" s="8">
        <v>45562</v>
      </c>
      <c r="E39" s="2">
        <v>9.9999999999999998E-20</v>
      </c>
      <c r="F39" s="1">
        <v>56</v>
      </c>
      <c r="G39" s="1">
        <f>E39*F39</f>
        <v>5.5999999999999995E-18</v>
      </c>
      <c r="H39" s="13">
        <v>7.0000000000000007E-2</v>
      </c>
      <c r="I39" s="11">
        <v>0.19</v>
      </c>
      <c r="J39" s="9">
        <f>IFERROR(H39/I39,"")</f>
        <v>0.36842105263157898</v>
      </c>
      <c r="K39" s="9">
        <f>IFERROR(J39/SUBTOTAL(9,$J$2:$J$1048576),"")</f>
        <v>1.9171241979717285E-2</v>
      </c>
      <c r="L39" s="9">
        <f t="shared" si="0"/>
        <v>1.0639999999999999E-18</v>
      </c>
      <c r="M39" s="12">
        <f>F39/(1-(F39*(1+H39)-F39)/(F39*(1+H39)))</f>
        <v>59.92</v>
      </c>
      <c r="N39" s="12">
        <f>M39*E39</f>
        <v>5.9920000000000002E-18</v>
      </c>
      <c r="O39" s="12" cm="1" vm="35">
        <f t="array" aca="1" ref="O39" ca="1">_xlfn.STOCKHISTORY(C39,TODAY(),TODAY(),0,0,1)</f>
        <v>66.66</v>
      </c>
      <c r="P39" s="12">
        <f ca="1">IFERROR(O39*E39,G39)</f>
        <v>6.6659999999999998E-18</v>
      </c>
      <c r="Q39" s="12">
        <f ca="1">P39-G39</f>
        <v>1.0660000000000003E-18</v>
      </c>
      <c r="R39" s="12">
        <f>F39/(1+I39-H39)</f>
        <v>50.000000000000007</v>
      </c>
      <c r="S39" s="12">
        <f>M39-F39</f>
        <v>3.9200000000000017</v>
      </c>
      <c r="T39" s="12">
        <f>0.5*(R39-F39)</f>
        <v>-2.9999999999999964</v>
      </c>
      <c r="U39" s="15">
        <f>S39+T39</f>
        <v>0.92000000000000526</v>
      </c>
      <c r="V39" s="12">
        <f>MAX($U$2:$U$279)-U39</f>
        <v>113.21244508118438</v>
      </c>
      <c r="W39" s="9">
        <f>IFERROR((SUBTOTAL(109,$V$2:$V$1048576)/V39)/SUBTOTAL(109,$V$2:$V$1048576),0)</f>
        <v>8.832951176727102E-3</v>
      </c>
      <c r="X39" s="9">
        <f>V39/MAX($V$2:$V$28)</f>
        <v>0.79046055327088882</v>
      </c>
    </row>
    <row r="40" spans="1:24" x14ac:dyDescent="0.25">
      <c r="A40" t="s">
        <v>74</v>
      </c>
      <c r="B40" s="5" t="s">
        <v>75</v>
      </c>
      <c r="C40" t="s">
        <v>76</v>
      </c>
      <c r="D40" s="8">
        <v>45580</v>
      </c>
      <c r="E40" s="2">
        <v>9.9999999999999998E-20</v>
      </c>
      <c r="F40" s="1">
        <v>17</v>
      </c>
      <c r="G40" s="1">
        <f>E40*F40</f>
        <v>1.7E-18</v>
      </c>
      <c r="H40" s="13">
        <v>0.1</v>
      </c>
      <c r="I40" s="11">
        <v>0.15</v>
      </c>
      <c r="J40" s="9">
        <f>IFERROR(H40/I40,"")</f>
        <v>0.66666666666666674</v>
      </c>
      <c r="K40" s="9">
        <f>IFERROR(J40/SUBTOTAL(9,$J$2:$J$1048576),"")</f>
        <v>3.4690818820440804E-2</v>
      </c>
      <c r="L40" s="9">
        <f t="shared" si="0"/>
        <v>2.5499999999999999E-19</v>
      </c>
      <c r="M40" s="12">
        <v>21.2</v>
      </c>
      <c r="N40" s="12">
        <f>M40*E40</f>
        <v>2.1199999999999999E-18</v>
      </c>
      <c r="O40" s="12" cm="1" vm="36">
        <f t="array" aca="1" ref="O40" ca="1">_xlfn.STOCKHISTORY(C40,TODAY(),TODAY(),0,0,1)</f>
        <v>20.431999999999999</v>
      </c>
      <c r="P40" s="12">
        <f ca="1">IFERROR(O40*E40,G40)</f>
        <v>2.0431999999999997E-18</v>
      </c>
      <c r="Q40" s="12">
        <f ca="1">P40-G40</f>
        <v>3.4319999999999965E-19</v>
      </c>
      <c r="R40" s="12">
        <f>F40/(1+I40-H40)</f>
        <v>16.190476190476193</v>
      </c>
      <c r="S40" s="12">
        <f>M40-F40</f>
        <v>4.1999999999999993</v>
      </c>
      <c r="T40" s="12">
        <f>0.5*(R40-F40)</f>
        <v>-0.40476190476190332</v>
      </c>
      <c r="U40" s="15">
        <f>S40+T40</f>
        <v>3.795238095238096</v>
      </c>
      <c r="V40" s="12">
        <f>MAX($U$2:$U$279)-U40</f>
        <v>110.3372069859463</v>
      </c>
      <c r="W40" s="9">
        <f>IFERROR((SUBTOTAL(109,$V$2:$V$1048576)/V40)/SUBTOTAL(109,$V$2:$V$1048576),0)</f>
        <v>9.0631259147911057E-3</v>
      </c>
      <c r="X40" s="9">
        <f>V40/MAX($V$2:$V$28)</f>
        <v>0.77038535487801207</v>
      </c>
    </row>
    <row r="41" spans="1:24" x14ac:dyDescent="0.25">
      <c r="A41" t="s">
        <v>39</v>
      </c>
      <c r="B41" s="6" t="s">
        <v>57</v>
      </c>
      <c r="C41" t="s">
        <v>56</v>
      </c>
      <c r="D41" s="8">
        <v>45574</v>
      </c>
      <c r="E41" s="2">
        <v>9.9999999999999998E-20</v>
      </c>
      <c r="F41" s="1">
        <v>47.42</v>
      </c>
      <c r="G41" s="1">
        <f>E41*F41</f>
        <v>4.7419999999999999E-18</v>
      </c>
      <c r="H41" s="13">
        <v>7.0000000000000007E-2</v>
      </c>
      <c r="I41" s="11">
        <v>0.4</v>
      </c>
      <c r="J41" s="9">
        <f>IFERROR(H41/I41,"")</f>
        <v>0.17500000000000002</v>
      </c>
      <c r="K41" s="9">
        <f>IFERROR(J41/SUBTOTAL(9,$J$2:$J$1048576),"")</f>
        <v>9.1063399403657104E-3</v>
      </c>
      <c r="L41" s="9">
        <f t="shared" si="0"/>
        <v>1.8968000000000002E-18</v>
      </c>
      <c r="M41" s="12">
        <f>F41/(1-(F41*(1+H41)-F41)/(F41*(1+H41)))</f>
        <v>50.739400000000003</v>
      </c>
      <c r="N41" s="12">
        <f>M41*E41</f>
        <v>5.0739400000000001E-18</v>
      </c>
      <c r="O41" s="12" cm="1" vm="37">
        <f t="array" aca="1" ref="O41" ca="1">_xlfn.STOCKHISTORY(C41,TODAY(),TODAY(),0,0,1)</f>
        <v>47.29</v>
      </c>
      <c r="P41" s="12">
        <f ca="1">IFERROR(O41*E41,G41)</f>
        <v>4.729E-18</v>
      </c>
      <c r="Q41" s="12">
        <f ca="1">P41-G41</f>
        <v>-1.2999999999999854E-20</v>
      </c>
      <c r="R41" s="12">
        <f>F41/(1+I41-H41)</f>
        <v>35.654135338345867</v>
      </c>
      <c r="S41" s="12">
        <f>M41-F41</f>
        <v>3.3194000000000017</v>
      </c>
      <c r="T41" s="12">
        <f>0.5*(R41-F41)</f>
        <v>-5.8829323308270673</v>
      </c>
      <c r="U41" s="15">
        <f>S41+T41</f>
        <v>-2.5635323308270657</v>
      </c>
      <c r="V41" s="12">
        <f>MAX($U$2:$U$279)-U41</f>
        <v>116.69597741201144</v>
      </c>
      <c r="W41" s="9">
        <f>IFERROR((SUBTOTAL(109,$V$2:$V$1048576)/V41)/SUBTOTAL(109,$V$2:$V$1048576),0)</f>
        <v>8.5692756697976005E-3</v>
      </c>
      <c r="X41" s="9">
        <f>V41/MAX($V$2:$V$28)</f>
        <v>0.81478292252621221</v>
      </c>
    </row>
    <row r="42" spans="1:24" x14ac:dyDescent="0.25">
      <c r="A42" t="s">
        <v>39</v>
      </c>
      <c r="B42" s="6" t="s">
        <v>42</v>
      </c>
      <c r="C42" t="s">
        <v>41</v>
      </c>
      <c r="D42" s="8">
        <v>45507</v>
      </c>
      <c r="E42" s="2">
        <v>9.9999999999999998E-20</v>
      </c>
      <c r="F42" s="1">
        <v>41.8</v>
      </c>
      <c r="G42" s="1">
        <f>E42*F42</f>
        <v>4.1799999999999993E-18</v>
      </c>
      <c r="H42" s="13">
        <v>7.0000000000000007E-2</v>
      </c>
      <c r="I42" s="11">
        <v>0.4</v>
      </c>
      <c r="J42" s="9">
        <f>IFERROR(H42/I42,"")</f>
        <v>0.17500000000000002</v>
      </c>
      <c r="K42" s="9">
        <f>IFERROR(J42/SUBTOTAL(9,$J$2:$J$1048576),"")</f>
        <v>9.1063399403657104E-3</v>
      </c>
      <c r="L42" s="9">
        <f t="shared" si="0"/>
        <v>1.6719999999999998E-18</v>
      </c>
      <c r="M42" s="12">
        <f>F42/(1-(F42*(1+H42)-F42)/(F42*(1+H42)))</f>
        <v>44.725999999999999</v>
      </c>
      <c r="N42" s="12">
        <f>M42*E42</f>
        <v>4.4725999999999996E-18</v>
      </c>
      <c r="O42" s="12" cm="1" vm="38">
        <f t="array" aca="1" ref="O42" ca="1">_xlfn.STOCKHISTORY(C42,TODAY(),TODAY(),0,0,1)</f>
        <v>38.39</v>
      </c>
      <c r="P42" s="12">
        <f ca="1">IFERROR(O42*E42,G42)</f>
        <v>3.8390000000000001E-18</v>
      </c>
      <c r="Q42" s="12">
        <f ca="1">P42-G42</f>
        <v>-3.4099999999999919E-19</v>
      </c>
      <c r="R42" s="12">
        <f>F42/(1+I42-H42)</f>
        <v>31.428571428571431</v>
      </c>
      <c r="S42" s="12">
        <f>M42-F42</f>
        <v>2.9260000000000019</v>
      </c>
      <c r="T42" s="12">
        <f>0.5*(R42-F42)</f>
        <v>-5.1857142857142833</v>
      </c>
      <c r="U42" s="15">
        <f>S42+T42</f>
        <v>-2.2597142857142813</v>
      </c>
      <c r="V42" s="12">
        <f>MAX($U$2:$U$279)-U42</f>
        <v>116.39215936689867</v>
      </c>
      <c r="W42" s="9">
        <f>IFERROR((SUBTOTAL(109,$V$2:$V$1048576)/V42)/SUBTOTAL(109,$V$2:$V$1048576),0)</f>
        <v>8.5916440200042802E-3</v>
      </c>
      <c r="X42" s="9">
        <f>V42/MAX($V$2:$V$28)</f>
        <v>0.81266163471318675</v>
      </c>
    </row>
    <row r="43" spans="1:24" x14ac:dyDescent="0.25">
      <c r="A43" t="s">
        <v>74</v>
      </c>
      <c r="B43" s="7" t="s">
        <v>77</v>
      </c>
      <c r="C43" t="s">
        <v>78</v>
      </c>
      <c r="D43" s="8">
        <v>45574</v>
      </c>
      <c r="E43" s="2">
        <v>9.9999999999999998E-20</v>
      </c>
      <c r="F43" s="1">
        <v>153.7552</v>
      </c>
      <c r="G43" s="1">
        <f>E43*F43</f>
        <v>1.5375519999999999E-17</v>
      </c>
      <c r="H43" s="13">
        <v>7.0000000000000007E-2</v>
      </c>
      <c r="I43" s="11">
        <v>0.19</v>
      </c>
      <c r="J43" s="9">
        <f>IFERROR(H43/I43,"")</f>
        <v>0.36842105263157898</v>
      </c>
      <c r="K43" s="9">
        <f>IFERROR(J43/SUBTOTAL(9,$J$2:$J$1048576),"")</f>
        <v>1.9171241979717285E-2</v>
      </c>
      <c r="L43" s="9">
        <f t="shared" si="0"/>
        <v>2.9213487999999999E-18</v>
      </c>
      <c r="M43" s="12">
        <f>F43/(1-(F43*(1+H43)-F43)/(F43*(1+H43)))</f>
        <v>164.51806400000001</v>
      </c>
      <c r="N43" s="12">
        <f>M43*E43</f>
        <v>1.6451806399999999E-17</v>
      </c>
      <c r="O43" s="12" cm="1" vm="39">
        <f t="array" aca="1" ref="O43" ca="1">_xlfn.STOCKHISTORY(C43,TODAY(),TODAY(),0,0,1)</f>
        <v>151.47</v>
      </c>
      <c r="P43" s="12">
        <f ca="1">IFERROR(O43*E43,G43)</f>
        <v>1.5146999999999998E-17</v>
      </c>
      <c r="Q43" s="12">
        <f ca="1">P43-G43</f>
        <v>-2.28520000000001E-19</v>
      </c>
      <c r="R43" s="12">
        <f>F43/(1+I43-H43)</f>
        <v>137.28142857142859</v>
      </c>
      <c r="S43" s="12">
        <f>M43-F43</f>
        <v>10.762864000000008</v>
      </c>
      <c r="T43" s="12">
        <f>0.5*(R43-F43)</f>
        <v>-8.2368857142857053</v>
      </c>
      <c r="U43" s="15">
        <f>S43+T43</f>
        <v>2.5259782857143023</v>
      </c>
      <c r="V43" s="12">
        <f>MAX($U$2:$U$279)-U43</f>
        <v>111.60646679547008</v>
      </c>
      <c r="W43" s="9">
        <f>IFERROR((SUBTOTAL(109,$V$2:$V$1048576)/V43)/SUBTOTAL(109,$V$2:$V$1048576),0)</f>
        <v>8.9600542756415637E-3</v>
      </c>
      <c r="X43" s="9">
        <f>V43/MAX($V$2:$V$28)</f>
        <v>0.77924745312667376</v>
      </c>
    </row>
    <row r="44" spans="1:24" x14ac:dyDescent="0.25">
      <c r="A44" t="s">
        <v>87</v>
      </c>
      <c r="B44" t="s">
        <v>88</v>
      </c>
      <c r="C44" s="32" t="s">
        <v>89</v>
      </c>
      <c r="D44" s="8">
        <v>45627</v>
      </c>
      <c r="E44" s="2">
        <v>9.9999999999999998E-20</v>
      </c>
      <c r="F44" s="1">
        <v>133.53</v>
      </c>
      <c r="G44" s="1">
        <f>E44*F44</f>
        <v>1.3353E-17</v>
      </c>
      <c r="H44" s="13">
        <v>7.0000000000000007E-2</v>
      </c>
      <c r="I44" s="11">
        <v>0.2</v>
      </c>
      <c r="J44" s="9">
        <f>IFERROR(H44/I44,"")</f>
        <v>0.35000000000000003</v>
      </c>
      <c r="K44" s="9">
        <f>IFERROR(J44/SUBTOTAL(9,$J$2:$J$1048576),"")</f>
        <v>1.8212679880731421E-2</v>
      </c>
      <c r="L44" s="9">
        <f t="shared" si="0"/>
        <v>2.6706000000000003E-18</v>
      </c>
      <c r="M44" s="12">
        <f>F44/(1-(F44*(1+H44)-F44)/(F44*(1+H44)))</f>
        <v>142.87710000000001</v>
      </c>
      <c r="N44" s="12">
        <f>M44*E44</f>
        <v>1.428771E-17</v>
      </c>
      <c r="O44" s="12" cm="1" vm="40">
        <f t="array" aca="1" ref="O44" ca="1">_xlfn.STOCKHISTORY(C44,TODAY(),TODAY(),0,0,1)</f>
        <v>150.19999999999999</v>
      </c>
      <c r="P44" s="12">
        <f ca="1">IFERROR(O44*E44,G44)</f>
        <v>1.5019999999999999E-17</v>
      </c>
      <c r="Q44" s="12">
        <f ca="1">P44-G44</f>
        <v>1.6669999999999989E-18</v>
      </c>
      <c r="R44" s="12">
        <f>F44/(1+I44-H44)</f>
        <v>118.16814159292036</v>
      </c>
      <c r="S44" s="12">
        <f>M44-F44</f>
        <v>9.3471000000000117</v>
      </c>
      <c r="T44" s="12">
        <f>0.5*(R44-F44)</f>
        <v>-7.6809292035398187</v>
      </c>
      <c r="U44" s="15">
        <f>S44+T44</f>
        <v>1.6661707964601931</v>
      </c>
      <c r="V44" s="12">
        <f>MAX($U$2:$U$279)-U44</f>
        <v>112.46627428472419</v>
      </c>
      <c r="W44" s="9">
        <f>IFERROR((SUBTOTAL(109,$V$2:$V$1048576)/V44)/SUBTOTAL(109,$V$2:$V$1048576),0)</f>
        <v>8.8915544358512261E-3</v>
      </c>
      <c r="X44" s="9">
        <f>V44/MAX($V$2:$V$28)</f>
        <v>0.78525071454528272</v>
      </c>
    </row>
    <row r="45" spans="1:24" x14ac:dyDescent="0.25">
      <c r="A45" t="s">
        <v>40</v>
      </c>
      <c r="B45" s="7" t="s">
        <v>93</v>
      </c>
      <c r="C45" s="32" t="s">
        <v>92</v>
      </c>
      <c r="D45" s="8">
        <v>45627</v>
      </c>
      <c r="E45" s="2">
        <v>9.9999999999999998E-20</v>
      </c>
      <c r="F45" s="1">
        <v>26.63</v>
      </c>
      <c r="G45" s="1">
        <f>E45*F45</f>
        <v>2.663E-18</v>
      </c>
      <c r="H45" s="13">
        <v>0.1</v>
      </c>
      <c r="I45" s="11">
        <v>0.2</v>
      </c>
      <c r="J45" s="9">
        <f>IFERROR(H45/I45,"")</f>
        <v>0.5</v>
      </c>
      <c r="K45" s="9">
        <f>IFERROR(J45/SUBTOTAL(9,$J$2:$J$1048576),"")</f>
        <v>2.6018114115330598E-2</v>
      </c>
      <c r="L45" s="9">
        <f t="shared" si="0"/>
        <v>5.3260000000000006E-19</v>
      </c>
      <c r="M45" s="12">
        <f>F45/(1-(F45*(1+H45)-F45)/(F45*(1+H45)))</f>
        <v>29.293000000000003</v>
      </c>
      <c r="N45" s="12">
        <f>M45*E45</f>
        <v>2.9293000000000003E-18</v>
      </c>
      <c r="O45" s="12" cm="1" vm="41">
        <f t="array" aca="1" ref="O45" ca="1">_xlfn.STOCKHISTORY(C45,TODAY(),TODAY(),0,0,1)</f>
        <v>15.66</v>
      </c>
      <c r="P45" s="12">
        <f ca="1">IFERROR(O45*E45,G45)</f>
        <v>1.566E-18</v>
      </c>
      <c r="Q45" s="12">
        <f ca="1">P45-G45</f>
        <v>-1.097E-18</v>
      </c>
      <c r="R45" s="12">
        <f>F45/(1+I45-H45)</f>
        <v>24.209090909090911</v>
      </c>
      <c r="S45" s="12">
        <f>M45-F45</f>
        <v>2.6630000000000038</v>
      </c>
      <c r="T45" s="12">
        <f>0.5*(R45-F45)</f>
        <v>-1.2104545454545441</v>
      </c>
      <c r="U45" s="15">
        <f>S45+T45</f>
        <v>1.4525454545454597</v>
      </c>
      <c r="V45" s="12">
        <f>MAX($U$2:$U$279)-U45</f>
        <v>112.67989962663893</v>
      </c>
      <c r="W45" s="9">
        <f>IFERROR((SUBTOTAL(109,$V$2:$V$1048576)/V45)/SUBTOTAL(109,$V$2:$V$1048576),0)</f>
        <v>8.8746972912956655E-3</v>
      </c>
      <c r="X45" s="9">
        <f>V45/MAX($V$2:$V$28)</f>
        <v>0.78674226793273505</v>
      </c>
    </row>
    <row r="46" spans="1:24" x14ac:dyDescent="0.25">
      <c r="A46" t="s">
        <v>96</v>
      </c>
      <c r="B46" s="7" t="s">
        <v>102</v>
      </c>
      <c r="C46" s="32" t="s">
        <v>99</v>
      </c>
      <c r="D46" s="8">
        <v>45630</v>
      </c>
      <c r="E46" s="2">
        <v>9.9999999999999998E-20</v>
      </c>
      <c r="F46" s="1">
        <v>323.75</v>
      </c>
      <c r="G46" s="1">
        <f>E46*F46</f>
        <v>3.2375000000000002E-17</v>
      </c>
      <c r="H46" s="13">
        <v>0.2</v>
      </c>
      <c r="I46" s="11">
        <v>0.2</v>
      </c>
      <c r="J46" s="9">
        <f>IFERROR(H46/I46,"")</f>
        <v>1</v>
      </c>
      <c r="K46" s="9">
        <f>IFERROR(J46/SUBTOTAL(9,$J$2:$J$1048576),"")</f>
        <v>5.2036228230661195E-2</v>
      </c>
      <c r="L46" s="9">
        <f t="shared" si="0"/>
        <v>6.4750000000000006E-18</v>
      </c>
      <c r="M46" s="12">
        <f>F46/(1-(F46*(1+H46)-F46)/(F46*(1+H46)))</f>
        <v>388.5</v>
      </c>
      <c r="N46" s="12">
        <f>M46*E46</f>
        <v>3.8849999999999999E-17</v>
      </c>
      <c r="O46" s="12" cm="1" vm="42">
        <f t="array" aca="1" ref="O46" ca="1">_xlfn.STOCKHISTORY(C46,TODAY(),TODAY(),0,0,1)</f>
        <v>320.56</v>
      </c>
      <c r="P46" s="12">
        <f ca="1">IFERROR(O46*E46,G46)</f>
        <v>3.2055999999999996E-17</v>
      </c>
      <c r="Q46" s="12">
        <f ca="1">P46-G46</f>
        <v>-3.1900000000000578E-19</v>
      </c>
      <c r="R46" s="12">
        <f>F46/(1+I46-H46)</f>
        <v>323.75</v>
      </c>
      <c r="S46" s="12">
        <f>M46-F46</f>
        <v>64.75</v>
      </c>
      <c r="T46" s="12">
        <f>0.5*(R46-F46)</f>
        <v>0</v>
      </c>
      <c r="U46" s="15">
        <f>S46+T46</f>
        <v>64.75</v>
      </c>
      <c r="V46" s="12">
        <f>MAX($U$2:$U$279)-U46</f>
        <v>49.382445081184386</v>
      </c>
      <c r="W46" s="9">
        <f>IFERROR((SUBTOTAL(109,$V$2:$V$1048576)/V46)/SUBTOTAL(109,$V$2:$V$1048576),0)</f>
        <v>2.0250111114506524E-2</v>
      </c>
      <c r="X46" s="9">
        <f>V46/MAX($V$2:$V$28)</f>
        <v>0.34479314383458876</v>
      </c>
    </row>
    <row r="47" spans="1:24" x14ac:dyDescent="0.25">
      <c r="D47" s="44"/>
      <c r="L47" s="9"/>
    </row>
    <row r="51" spans="4:4" x14ac:dyDescent="0.25">
      <c r="D51" s="44"/>
    </row>
  </sheetData>
  <autoFilter ref="A1:X47" xr:uid="{00000000-0001-0000-0000-000000000000}"/>
  <conditionalFormatting sqref="W2:W46">
    <cfRule type="iconSet" priority="1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2048185B-3E19-4351-A3A9-6DB74B32B9C2}">
            <x14:iconSet iconSet="5Arrows" custom="1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  <x14:cfIcon iconSet="3Arrows" iconId="2"/>
              <x14:cfIcon iconSet="4Arrows" iconId="2"/>
              <x14:cfIcon iconSet="3Arrows" iconId="1"/>
              <x14:cfIcon iconSet="4Arrows" iconId="1"/>
              <x14:cfIcon iconSet="3Arrows" iconId="0"/>
            </x14:iconSet>
          </x14:cfRule>
          <xm:sqref>X2:X46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4B0C-3879-4A30-880B-B04980CC1636}">
  <dimension ref="A1:AV14"/>
  <sheetViews>
    <sheetView zoomScaleNormal="100" workbookViewId="0">
      <selection activeCell="A3" sqref="A3:H14"/>
    </sheetView>
  </sheetViews>
  <sheetFormatPr defaultRowHeight="15" outlineLevelCol="2" x14ac:dyDescent="0.25"/>
  <cols>
    <col min="1" max="1" width="16.140625" bestFit="1" customWidth="1"/>
    <col min="2" max="2" width="15.140625" hidden="1" customWidth="1"/>
    <col min="3" max="3" width="5.5703125" bestFit="1" customWidth="1"/>
    <col min="4" max="4" width="9.140625" customWidth="1"/>
    <col min="5" max="6" width="9" customWidth="1"/>
    <col min="7" max="7" width="10" customWidth="1"/>
    <col min="8" max="8" width="9.140625" customWidth="1"/>
    <col min="9" max="10" width="11" customWidth="1"/>
    <col min="11" max="11" width="14.28515625" customWidth="1" outlineLevel="1"/>
    <col min="12" max="12" width="15.140625" customWidth="1" outlineLevel="1"/>
    <col min="13" max="13" width="5.5703125" customWidth="1" outlineLevel="1"/>
    <col min="14" max="14" width="10.140625" hidden="1" customWidth="1" outlineLevel="2"/>
    <col min="15" max="15" width="12" hidden="1" customWidth="1" outlineLevel="2"/>
    <col min="16" max="16" width="15.5703125" hidden="1" customWidth="1" outlineLevel="2"/>
    <col min="17" max="17" width="6" customWidth="1" outlineLevel="1" collapsed="1"/>
    <col min="18" max="18" width="15.140625" customWidth="1" outlineLevel="1"/>
    <col min="19" max="19" width="5.5703125" customWidth="1" outlineLevel="1"/>
    <col min="20" max="20" width="9.140625" customWidth="1" outlineLevel="1"/>
    <col min="21" max="21" width="14.28515625" customWidth="1" outlineLevel="1"/>
    <col min="22" max="22" width="15.140625" customWidth="1" outlineLevel="1"/>
    <col min="23" max="23" width="5.5703125" customWidth="1" outlineLevel="1"/>
    <col min="24" max="24" width="15.140625" hidden="1" customWidth="1" outlineLevel="2"/>
    <col min="25" max="25" width="10.5703125" hidden="1" customWidth="1" outlineLevel="2"/>
    <col min="26" max="26" width="15" hidden="1" customWidth="1" outlineLevel="2"/>
    <col min="27" max="27" width="9.140625" customWidth="1" outlineLevel="1" collapsed="1"/>
    <col min="28" max="28" width="14.28515625" customWidth="1" outlineLevel="1"/>
    <col min="29" max="29" width="15.140625" customWidth="1" outlineLevel="1"/>
    <col min="30" max="30" width="5.5703125" customWidth="1" outlineLevel="1"/>
    <col min="31" max="31" width="15.140625" hidden="1" customWidth="1" outlineLevel="2"/>
    <col min="32" max="32" width="10.5703125" hidden="1" customWidth="1" outlineLevel="2"/>
    <col min="33" max="33" width="15.5703125" hidden="1" customWidth="1" outlineLevel="2"/>
    <col min="34" max="34" width="9.140625" customWidth="1" outlineLevel="1" collapsed="1"/>
    <col min="35" max="35" width="14.28515625" customWidth="1" outlineLevel="1"/>
    <col min="36" max="36" width="15.140625" customWidth="1" outlineLevel="1"/>
    <col min="37" max="37" width="5.5703125" customWidth="1" outlineLevel="1"/>
    <col min="38" max="38" width="15.140625" customWidth="1" outlineLevel="2"/>
    <col min="39" max="39" width="10.5703125" customWidth="1" outlineLevel="2"/>
    <col min="40" max="40" width="15.5703125" customWidth="1" outlineLevel="2"/>
    <col min="41" max="41" width="9.140625" customWidth="1" outlineLevel="1"/>
    <col min="42" max="42" width="14.28515625" bestFit="1" customWidth="1" outlineLevel="1"/>
    <col min="43" max="43" width="10.5703125" bestFit="1" customWidth="1" outlineLevel="1"/>
    <col min="44" max="48" width="9.140625" customWidth="1" outlineLevel="1"/>
  </cols>
  <sheetData>
    <row r="1" spans="1:48" x14ac:dyDescent="0.25">
      <c r="L1" s="47" t="s">
        <v>114</v>
      </c>
      <c r="M1" s="47"/>
      <c r="N1" s="47"/>
      <c r="O1" s="47"/>
      <c r="P1" s="47"/>
      <c r="Q1" s="26"/>
      <c r="R1" s="47" t="s">
        <v>109</v>
      </c>
      <c r="S1" s="47"/>
      <c r="V1" s="47" t="s">
        <v>108</v>
      </c>
      <c r="W1" s="47"/>
      <c r="X1" s="47"/>
      <c r="Y1" s="47"/>
      <c r="Z1" s="47"/>
      <c r="AC1" s="47" t="s">
        <v>108</v>
      </c>
      <c r="AD1" s="47"/>
      <c r="AE1" s="47"/>
      <c r="AF1" s="47"/>
      <c r="AG1" s="47"/>
      <c r="AJ1" s="47" t="s">
        <v>133</v>
      </c>
      <c r="AK1" s="47"/>
      <c r="AL1" s="47"/>
      <c r="AM1" s="47"/>
      <c r="AN1" s="47"/>
      <c r="AQ1" s="47" t="s">
        <v>142</v>
      </c>
      <c r="AR1" s="47"/>
      <c r="AS1" s="47"/>
      <c r="AT1" s="47"/>
      <c r="AU1" s="47"/>
      <c r="AV1" s="47"/>
    </row>
    <row r="2" spans="1:48" x14ac:dyDescent="0.25">
      <c r="L2" s="46">
        <v>46000</v>
      </c>
      <c r="M2" s="46"/>
      <c r="N2" s="46"/>
      <c r="O2" s="46"/>
      <c r="P2" s="46"/>
      <c r="Q2" s="27"/>
      <c r="R2" s="46">
        <v>45684</v>
      </c>
      <c r="S2" s="47"/>
      <c r="V2" s="46">
        <v>45685</v>
      </c>
      <c r="W2" s="46"/>
      <c r="X2" s="46"/>
      <c r="Y2" s="46"/>
      <c r="Z2" s="46"/>
      <c r="AC2" s="46">
        <v>45688</v>
      </c>
      <c r="AD2" s="46"/>
      <c r="AE2" s="46"/>
      <c r="AF2" s="46"/>
      <c r="AG2" s="46"/>
      <c r="AJ2" s="46">
        <v>45695</v>
      </c>
      <c r="AK2" s="46"/>
      <c r="AL2" s="46"/>
      <c r="AM2" s="46"/>
      <c r="AN2" s="46"/>
      <c r="AQ2" s="46">
        <v>45702</v>
      </c>
      <c r="AR2" s="46"/>
      <c r="AS2" s="46"/>
      <c r="AT2" s="46"/>
      <c r="AU2" s="46"/>
      <c r="AV2" s="46"/>
    </row>
    <row r="3" spans="1:48" ht="32.25" customHeight="1" x14ac:dyDescent="0.25">
      <c r="A3" s="20" t="s">
        <v>104</v>
      </c>
      <c r="B3" s="10" t="s">
        <v>106</v>
      </c>
      <c r="C3" s="10" t="s">
        <v>107</v>
      </c>
      <c r="D3" s="16" t="s">
        <v>144</v>
      </c>
      <c r="E3" s="16" t="s">
        <v>111</v>
      </c>
      <c r="F3" s="16" t="s">
        <v>112</v>
      </c>
      <c r="G3" s="16" t="s">
        <v>140</v>
      </c>
      <c r="H3" s="16" t="s">
        <v>141</v>
      </c>
      <c r="K3" s="28" t="s">
        <v>104</v>
      </c>
      <c r="L3" s="23" t="s">
        <v>106</v>
      </c>
      <c r="M3" s="23" t="s">
        <v>107</v>
      </c>
      <c r="N3" s="28" t="s">
        <v>111</v>
      </c>
      <c r="O3" s="28" t="s">
        <v>112</v>
      </c>
      <c r="P3" s="28" t="s">
        <v>113</v>
      </c>
      <c r="R3" s="23" t="s">
        <v>106</v>
      </c>
      <c r="S3" s="23" t="s">
        <v>107</v>
      </c>
      <c r="U3" s="28" t="s">
        <v>104</v>
      </c>
      <c r="V3" s="23" t="s">
        <v>106</v>
      </c>
      <c r="W3" s="23" t="s">
        <v>107</v>
      </c>
      <c r="X3" s="28" t="s">
        <v>111</v>
      </c>
      <c r="Y3" s="28" t="s">
        <v>112</v>
      </c>
      <c r="Z3" s="28" t="s">
        <v>113</v>
      </c>
      <c r="AB3" s="28" t="s">
        <v>104</v>
      </c>
      <c r="AC3" s="23" t="s">
        <v>106</v>
      </c>
      <c r="AD3" s="23" t="s">
        <v>107</v>
      </c>
      <c r="AE3" s="28" t="s">
        <v>111</v>
      </c>
      <c r="AF3" s="28" t="s">
        <v>112</v>
      </c>
      <c r="AG3" s="28" t="s">
        <v>113</v>
      </c>
      <c r="AI3" s="28" t="s">
        <v>104</v>
      </c>
      <c r="AJ3" s="23" t="s">
        <v>106</v>
      </c>
      <c r="AK3" s="23" t="s">
        <v>107</v>
      </c>
      <c r="AL3" s="28" t="s">
        <v>111</v>
      </c>
      <c r="AM3" s="28" t="s">
        <v>112</v>
      </c>
      <c r="AN3" s="28" t="s">
        <v>113</v>
      </c>
      <c r="AP3" s="28" t="s">
        <v>104</v>
      </c>
      <c r="AQ3" s="45" t="s">
        <v>106</v>
      </c>
      <c r="AR3" s="45" t="s">
        <v>107</v>
      </c>
      <c r="AS3" s="45" t="s">
        <v>111</v>
      </c>
      <c r="AT3" s="45" t="s">
        <v>112</v>
      </c>
      <c r="AU3" s="45" t="s">
        <v>140</v>
      </c>
      <c r="AV3" s="45" t="s">
        <v>141</v>
      </c>
    </row>
    <row r="4" spans="1:48" x14ac:dyDescent="0.25">
      <c r="A4" s="21" t="s">
        <v>38</v>
      </c>
      <c r="B4" s="12">
        <v>283.12183800000003</v>
      </c>
      <c r="C4" s="22">
        <v>0.27415794541660166</v>
      </c>
      <c r="D4" s="29">
        <v>0.18558395637569999</v>
      </c>
      <c r="E4" s="29">
        <v>0.12435576952421434</v>
      </c>
      <c r="F4" s="12">
        <v>35.207834033599966</v>
      </c>
      <c r="G4" s="29">
        <v>-1.4046235458530879E-2</v>
      </c>
      <c r="H4" s="12">
        <v>-3.9767960000000357</v>
      </c>
      <c r="I4" s="12"/>
      <c r="J4" s="12"/>
      <c r="K4" s="21" t="s">
        <v>36</v>
      </c>
      <c r="L4" s="12">
        <v>238.614968</v>
      </c>
      <c r="M4" s="22">
        <v>0.38101621514787376</v>
      </c>
      <c r="N4" s="29">
        <v>0.15967772461784535</v>
      </c>
      <c r="O4" s="12">
        <v>38.101495149999977</v>
      </c>
      <c r="P4" s="12">
        <v>1.7999999999999998</v>
      </c>
      <c r="R4" s="12">
        <v>233.65908899999999</v>
      </c>
      <c r="S4" s="22">
        <v>0.30679033555941537</v>
      </c>
      <c r="U4" s="21" t="s">
        <v>38</v>
      </c>
      <c r="V4" s="12">
        <v>210.14336800000001</v>
      </c>
      <c r="W4" s="22">
        <v>0.29827679581416749</v>
      </c>
      <c r="X4" s="29">
        <v>0.11801519297244734</v>
      </c>
      <c r="Y4" s="12">
        <v>24.8001101264</v>
      </c>
      <c r="Z4" s="12"/>
      <c r="AB4" s="40" t="s">
        <v>115</v>
      </c>
      <c r="AC4" s="41">
        <v>218.85600000000002</v>
      </c>
      <c r="AD4" s="42">
        <v>0.23199208873650332</v>
      </c>
      <c r="AE4" s="43">
        <v>3.586522645026835E-2</v>
      </c>
      <c r="AF4" s="41">
        <v>7.849319999999949</v>
      </c>
      <c r="AG4" s="12"/>
      <c r="AI4" s="40" t="s">
        <v>38</v>
      </c>
      <c r="AJ4" s="41">
        <v>262.48183799999998</v>
      </c>
      <c r="AK4" s="42">
        <v>0.2578025874699007</v>
      </c>
      <c r="AL4" s="43">
        <v>0.11840756019698384</v>
      </c>
      <c r="AM4" s="41">
        <v>31.07983403359998</v>
      </c>
      <c r="AN4" s="12"/>
      <c r="AP4" s="40" t="s">
        <v>38</v>
      </c>
      <c r="AQ4" s="41">
        <v>262.48183799999998</v>
      </c>
      <c r="AR4" s="42">
        <v>0.25445195244463964</v>
      </c>
      <c r="AS4" s="43">
        <v>0.11840756019698384</v>
      </c>
      <c r="AT4" s="41">
        <v>31.07983403359998</v>
      </c>
      <c r="AU4" s="43">
        <v>-2.8863414161249615E-2</v>
      </c>
      <c r="AV4" s="41">
        <v>-7.576121999999998</v>
      </c>
    </row>
    <row r="5" spans="1:48" x14ac:dyDescent="0.25">
      <c r="A5" s="21" t="s">
        <v>115</v>
      </c>
      <c r="B5" s="12">
        <v>222.11800000000002</v>
      </c>
      <c r="C5" s="22">
        <v>0.21508554391358795</v>
      </c>
      <c r="D5" s="29">
        <v>0.2</v>
      </c>
      <c r="E5" s="29">
        <v>3.5999378708614138E-2</v>
      </c>
      <c r="F5" s="12">
        <v>7.996109999999959</v>
      </c>
      <c r="G5" s="29">
        <v>1.5672750519993752E-2</v>
      </c>
      <c r="H5" s="12">
        <v>3.4811999999999728</v>
      </c>
      <c r="I5" s="12"/>
      <c r="J5" s="12"/>
      <c r="K5" s="21" t="s">
        <v>38</v>
      </c>
      <c r="L5" s="12">
        <v>159.887845</v>
      </c>
      <c r="M5" s="22">
        <v>0.25530611956434301</v>
      </c>
      <c r="N5" s="29">
        <v>0.1083576745186603</v>
      </c>
      <c r="O5" s="12">
        <v>17.32507506799999</v>
      </c>
      <c r="P5" s="12"/>
      <c r="R5" s="12">
        <v>210.14336800000001</v>
      </c>
      <c r="S5" s="22">
        <v>0.27591460131176709</v>
      </c>
      <c r="U5" s="21" t="s">
        <v>36</v>
      </c>
      <c r="V5" s="12">
        <v>177.40437299999999</v>
      </c>
      <c r="W5" s="22">
        <v>0.25180717547965348</v>
      </c>
      <c r="X5" s="29">
        <v>0.17124807148919596</v>
      </c>
      <c r="Y5" s="12">
        <v>30.380156749999998</v>
      </c>
      <c r="Z5" s="12"/>
      <c r="AB5" s="40" t="s">
        <v>38</v>
      </c>
      <c r="AC5" s="41">
        <v>210.14336800000001</v>
      </c>
      <c r="AD5" s="42">
        <v>0.22275651056605106</v>
      </c>
      <c r="AE5" s="43">
        <v>0.11801519297244734</v>
      </c>
      <c r="AF5" s="41">
        <v>24.8001101264</v>
      </c>
      <c r="AG5" s="12"/>
      <c r="AI5" s="40" t="s">
        <v>115</v>
      </c>
      <c r="AJ5" s="41">
        <v>218.85600000000002</v>
      </c>
      <c r="AK5" s="42">
        <v>0.21495446509069555</v>
      </c>
      <c r="AL5" s="43">
        <v>3.586522645026835E-2</v>
      </c>
      <c r="AM5" s="41">
        <v>7.849319999999949</v>
      </c>
      <c r="AN5" s="12"/>
      <c r="AP5" s="40" t="s">
        <v>115</v>
      </c>
      <c r="AQ5" s="41">
        <v>218.85400000000001</v>
      </c>
      <c r="AR5" s="42">
        <v>0.21215878410726144</v>
      </c>
      <c r="AS5" s="43">
        <v>3.5865142972027142E-2</v>
      </c>
      <c r="AT5" s="41">
        <v>7.8492300000000057</v>
      </c>
      <c r="AU5" s="43">
        <v>1.3728787228015007E-2</v>
      </c>
      <c r="AV5" s="41">
        <v>3.0045999999999822</v>
      </c>
    </row>
    <row r="6" spans="1:48" x14ac:dyDescent="0.25">
      <c r="A6" s="21" t="s">
        <v>40</v>
      </c>
      <c r="B6" s="12">
        <v>220.93703800000003</v>
      </c>
      <c r="C6" s="22">
        <v>0.21394197223496991</v>
      </c>
      <c r="D6" s="29">
        <v>0.34066889766486314</v>
      </c>
      <c r="E6" s="29">
        <v>0.12678864283497804</v>
      </c>
      <c r="F6" s="12">
        <v>28.012307199999981</v>
      </c>
      <c r="G6" s="29">
        <v>-2.8620103977314997E-2</v>
      </c>
      <c r="H6" s="12">
        <v>-6.3232409999999959</v>
      </c>
      <c r="I6" s="12"/>
      <c r="J6" s="12"/>
      <c r="K6" s="21" t="s">
        <v>37</v>
      </c>
      <c r="L6" s="12">
        <v>84.915515999999997</v>
      </c>
      <c r="M6" s="22">
        <v>0.13559161348859186</v>
      </c>
      <c r="N6" s="29">
        <v>0.28530609176301791</v>
      </c>
      <c r="O6" s="12">
        <v>24.226914000000008</v>
      </c>
      <c r="P6" s="12"/>
      <c r="R6" s="12">
        <v>149.810948</v>
      </c>
      <c r="S6" s="22">
        <v>0.19669917915067334</v>
      </c>
      <c r="U6" s="21" t="s">
        <v>40</v>
      </c>
      <c r="V6" s="12">
        <v>162.11427700000002</v>
      </c>
      <c r="W6" s="22">
        <v>0.23010446420222211</v>
      </c>
      <c r="X6" s="29">
        <v>0.13072196842971429</v>
      </c>
      <c r="Y6" s="12">
        <v>21.191897399999959</v>
      </c>
      <c r="Z6" s="12"/>
      <c r="AB6" s="40" t="s">
        <v>36</v>
      </c>
      <c r="AC6" s="41">
        <v>177.40437299999999</v>
      </c>
      <c r="AD6" s="42">
        <v>0.18805246848731463</v>
      </c>
      <c r="AE6" s="43">
        <v>0.17124807148919596</v>
      </c>
      <c r="AF6" s="41">
        <v>30.380156749999998</v>
      </c>
      <c r="AG6" s="12"/>
      <c r="AI6" s="40" t="s">
        <v>36</v>
      </c>
      <c r="AJ6" s="41">
        <v>196.93234799999999</v>
      </c>
      <c r="AK6" s="42">
        <v>0.19342164493271694</v>
      </c>
      <c r="AL6" s="43">
        <v>0.17126296386818063</v>
      </c>
      <c r="AM6" s="41">
        <v>33.727217599999989</v>
      </c>
      <c r="AN6" s="12"/>
      <c r="AP6" s="40" t="s">
        <v>40</v>
      </c>
      <c r="AQ6" s="41">
        <v>200.93234200000001</v>
      </c>
      <c r="AR6" s="42">
        <v>0.19478538827960382</v>
      </c>
      <c r="AS6" s="43">
        <v>0.12945570305451382</v>
      </c>
      <c r="AT6" s="41">
        <v>26.011837600000035</v>
      </c>
      <c r="AU6" s="43">
        <v>-4.2687363888885548E-2</v>
      </c>
      <c r="AV6" s="41">
        <v>-8.577272000000022</v>
      </c>
    </row>
    <row r="7" spans="1:48" x14ac:dyDescent="0.25">
      <c r="A7" s="21" t="s">
        <v>36</v>
      </c>
      <c r="B7" s="12">
        <v>155.61477000000002</v>
      </c>
      <c r="C7" s="22">
        <v>0.15068786611817991</v>
      </c>
      <c r="D7" s="29">
        <v>0.28791727261236189</v>
      </c>
      <c r="E7" s="29">
        <v>0.16617375651424315</v>
      </c>
      <c r="F7" s="12">
        <v>25.859090899999956</v>
      </c>
      <c r="G7" s="29">
        <v>2.2745687957511699E-2</v>
      </c>
      <c r="H7" s="12">
        <v>3.5395649999999534</v>
      </c>
      <c r="I7" s="12"/>
      <c r="J7" s="12"/>
      <c r="K7" s="21" t="s">
        <v>39</v>
      </c>
      <c r="L7" s="12">
        <v>76.938714000000004</v>
      </c>
      <c r="M7" s="22">
        <v>0.12285439531448307</v>
      </c>
      <c r="N7" s="29">
        <v>7.9955036025166626E-2</v>
      </c>
      <c r="O7" s="12">
        <v>6.1516376495999907</v>
      </c>
      <c r="P7" s="12">
        <v>-4.4000000000000004</v>
      </c>
      <c r="R7" s="12">
        <v>108.030807</v>
      </c>
      <c r="S7" s="22">
        <v>0.14184257788612895</v>
      </c>
      <c r="U7" s="21" t="s">
        <v>37</v>
      </c>
      <c r="V7" s="12">
        <v>94.882213999999991</v>
      </c>
      <c r="W7" s="22">
        <v>0.13467549816596705</v>
      </c>
      <c r="X7" s="29">
        <v>0.28159743932619463</v>
      </c>
      <c r="Y7" s="12">
        <v>26.71858850000001</v>
      </c>
      <c r="Z7" s="12">
        <v>10.31</v>
      </c>
      <c r="AB7" s="40" t="s">
        <v>40</v>
      </c>
      <c r="AC7" s="41">
        <v>172.11133100000001</v>
      </c>
      <c r="AD7" s="42">
        <v>0.18244172960261401</v>
      </c>
      <c r="AE7" s="43">
        <v>0.1289374887235053</v>
      </c>
      <c r="AF7" s="41">
        <v>22.191602799999998</v>
      </c>
      <c r="AG7" s="12">
        <v>0</v>
      </c>
      <c r="AI7" s="40" t="s">
        <v>40</v>
      </c>
      <c r="AJ7" s="41">
        <v>188.97588910000002</v>
      </c>
      <c r="AK7" s="42">
        <v>0.18560702542552684</v>
      </c>
      <c r="AL7" s="43">
        <v>0.14271594343831007</v>
      </c>
      <c r="AM7" s="41">
        <v>26.969872299999963</v>
      </c>
      <c r="AN7" s="12">
        <v>0</v>
      </c>
      <c r="AP7" s="40" t="s">
        <v>36</v>
      </c>
      <c r="AQ7" s="41">
        <v>198.38494800000001</v>
      </c>
      <c r="AR7" s="42">
        <v>0.19231592455638136</v>
      </c>
      <c r="AS7" s="43">
        <v>0.16268682642193188</v>
      </c>
      <c r="AT7" s="41">
        <v>32.274617599999971</v>
      </c>
      <c r="AU7" s="43">
        <v>3.5134338921721006E-2</v>
      </c>
      <c r="AV7" s="41">
        <v>6.9701239999999984</v>
      </c>
    </row>
    <row r="8" spans="1:48" x14ac:dyDescent="0.25">
      <c r="A8" s="21" t="s">
        <v>37</v>
      </c>
      <c r="B8" s="12">
        <v>94.882213999999991</v>
      </c>
      <c r="C8" s="22">
        <v>9.1878157582525696E-2</v>
      </c>
      <c r="D8" s="29">
        <v>0.32806755026869422</v>
      </c>
      <c r="E8" s="29">
        <v>0.28159743932619463</v>
      </c>
      <c r="F8" s="12">
        <v>26.71858850000001</v>
      </c>
      <c r="G8" s="29">
        <v>0.12702033913331739</v>
      </c>
      <c r="H8" s="12">
        <v>12.051970999999995</v>
      </c>
      <c r="I8" s="12"/>
      <c r="J8" s="12"/>
      <c r="K8" s="21" t="s">
        <v>40</v>
      </c>
      <c r="L8" s="12">
        <v>65.902309000000002</v>
      </c>
      <c r="M8" s="22">
        <v>0.10523165648470827</v>
      </c>
      <c r="N8" s="29">
        <v>0.29383162280399011</v>
      </c>
      <c r="O8" s="12">
        <v>19.364182400000004</v>
      </c>
      <c r="P8" s="12"/>
      <c r="R8" s="12">
        <v>59.980460999999991</v>
      </c>
      <c r="S8" s="22">
        <v>7.875330609201521E-2</v>
      </c>
      <c r="U8" s="21" t="s">
        <v>39</v>
      </c>
      <c r="V8" s="12">
        <v>59.980460999999991</v>
      </c>
      <c r="W8" s="22">
        <v>8.5136066337989938E-2</v>
      </c>
      <c r="X8" s="29">
        <v>9.1757028336277635E-2</v>
      </c>
      <c r="Y8" s="12">
        <v>5.5036288595999991</v>
      </c>
      <c r="Z8" s="12"/>
      <c r="AB8" s="40" t="s">
        <v>37</v>
      </c>
      <c r="AC8" s="41">
        <v>94.882213999999991</v>
      </c>
      <c r="AD8" s="42">
        <v>0.10057719692310878</v>
      </c>
      <c r="AE8" s="43">
        <v>0.28159743932619463</v>
      </c>
      <c r="AF8" s="41">
        <v>26.71858850000001</v>
      </c>
      <c r="AG8" s="12"/>
      <c r="AI8" s="40" t="s">
        <v>37</v>
      </c>
      <c r="AJ8" s="41">
        <v>94.882213999999991</v>
      </c>
      <c r="AK8" s="42">
        <v>9.3190753541099625E-2</v>
      </c>
      <c r="AL8" s="43">
        <v>0.28159743932619463</v>
      </c>
      <c r="AM8" s="41">
        <v>26.71858850000001</v>
      </c>
      <c r="AN8" s="12"/>
      <c r="AP8" s="40" t="s">
        <v>37</v>
      </c>
      <c r="AQ8" s="41">
        <v>94.882213999999991</v>
      </c>
      <c r="AR8" s="42">
        <v>9.197956242812548E-2</v>
      </c>
      <c r="AS8" s="43">
        <v>0.28159743932619463</v>
      </c>
      <c r="AT8" s="41">
        <v>26.71858850000001</v>
      </c>
      <c r="AU8" s="43">
        <v>0.12357189514991723</v>
      </c>
      <c r="AV8" s="41">
        <v>11.724775000000008</v>
      </c>
    </row>
    <row r="9" spans="1:48" x14ac:dyDescent="0.25">
      <c r="A9" s="21" t="s">
        <v>39</v>
      </c>
      <c r="B9" s="12">
        <v>46.022978999999999</v>
      </c>
      <c r="C9" s="22">
        <v>4.4565850001974779E-2</v>
      </c>
      <c r="D9" s="29">
        <v>0.33695129288566916</v>
      </c>
      <c r="E9" s="29">
        <v>0.12015729349462578</v>
      </c>
      <c r="F9" s="12">
        <v>5.5299965951999965</v>
      </c>
      <c r="G9" s="29">
        <v>-3.7756486819334412E-2</v>
      </c>
      <c r="H9" s="12">
        <v>-1.7376660000000044</v>
      </c>
      <c r="I9" s="12"/>
      <c r="J9" s="12"/>
      <c r="K9" s="21" t="s">
        <v>74</v>
      </c>
      <c r="L9" s="12">
        <v>2.9170551999999998E-16</v>
      </c>
      <c r="M9" s="22">
        <v>4.657902817234096E-19</v>
      </c>
      <c r="N9" s="29">
        <v>9.799364235548258E-2</v>
      </c>
      <c r="O9" s="12">
        <v>2.8585286400000075E-17</v>
      </c>
      <c r="P9" s="12"/>
      <c r="R9" s="12">
        <v>2.9170551999999998E-16</v>
      </c>
      <c r="S9" s="22">
        <v>3.830042937697739E-19</v>
      </c>
      <c r="U9" s="21" t="s">
        <v>74</v>
      </c>
      <c r="V9" s="12">
        <v>2.9170551999999998E-16</v>
      </c>
      <c r="W9" s="22">
        <v>4.1404584239320622E-19</v>
      </c>
      <c r="X9" s="29">
        <v>9.799364235548258E-2</v>
      </c>
      <c r="Y9" s="12">
        <v>2.8585286400000075E-17</v>
      </c>
      <c r="Z9" s="12"/>
      <c r="AB9" s="40" t="s">
        <v>39</v>
      </c>
      <c r="AC9" s="41">
        <v>59.980460999999991</v>
      </c>
      <c r="AD9" s="42">
        <v>6.35805846345011E-2</v>
      </c>
      <c r="AE9" s="43">
        <v>9.1757028336277635E-2</v>
      </c>
      <c r="AF9" s="41">
        <v>5.5036288595999991</v>
      </c>
      <c r="AG9" s="12"/>
      <c r="AI9" s="40" t="s">
        <v>39</v>
      </c>
      <c r="AJ9" s="41">
        <v>46.022978999999999</v>
      </c>
      <c r="AK9" s="42">
        <v>4.5202529667111309E-2</v>
      </c>
      <c r="AL9" s="43">
        <v>0.12015729349462578</v>
      </c>
      <c r="AM9" s="41">
        <v>5.5299965951999965</v>
      </c>
      <c r="AN9" s="12">
        <v>2.76</v>
      </c>
      <c r="AP9" s="40" t="s">
        <v>39</v>
      </c>
      <c r="AQ9" s="41">
        <v>46.022978999999999</v>
      </c>
      <c r="AR9" s="42">
        <v>4.4615036808255848E-2</v>
      </c>
      <c r="AS9" s="43">
        <v>0.12015729349462578</v>
      </c>
      <c r="AT9" s="41">
        <v>5.5299965951999965</v>
      </c>
      <c r="AU9" s="43">
        <v>-3.8592156322605695E-2</v>
      </c>
      <c r="AV9" s="41">
        <v>-1.7761259999999979</v>
      </c>
    </row>
    <row r="10" spans="1:48" x14ac:dyDescent="0.25">
      <c r="A10" s="21" t="s">
        <v>96</v>
      </c>
      <c r="B10" s="12">
        <v>9.99925</v>
      </c>
      <c r="C10" s="22">
        <v>9.6826647321601317E-3</v>
      </c>
      <c r="D10" s="29">
        <v>0.2</v>
      </c>
      <c r="E10" s="29">
        <v>0.19999999999999996</v>
      </c>
      <c r="F10" s="12">
        <v>1.9998499999999986</v>
      </c>
      <c r="G10" s="29">
        <v>-2.1851638872915528E-2</v>
      </c>
      <c r="H10" s="12">
        <v>-0.21850000000000058</v>
      </c>
      <c r="I10" s="12"/>
      <c r="J10" s="12"/>
      <c r="K10" s="21" t="s">
        <v>96</v>
      </c>
      <c r="L10" s="12">
        <v>3.8291999999999999E-17</v>
      </c>
      <c r="M10" s="22">
        <v>6.1143997095950747E-20</v>
      </c>
      <c r="N10" s="29">
        <v>0.19999999999999996</v>
      </c>
      <c r="O10" s="12">
        <v>7.6584000000000023E-18</v>
      </c>
      <c r="P10" s="12"/>
      <c r="R10" s="12">
        <v>3.8291999999999999E-17</v>
      </c>
      <c r="S10" s="22">
        <v>5.0276732565884192E-20</v>
      </c>
      <c r="U10" s="21" t="s">
        <v>96</v>
      </c>
      <c r="V10" s="12">
        <v>3.8291999999999999E-17</v>
      </c>
      <c r="W10" s="22">
        <v>5.4351537114966676E-20</v>
      </c>
      <c r="X10" s="29">
        <v>0.19999999999999996</v>
      </c>
      <c r="Y10" s="12">
        <v>7.6584000000000023E-18</v>
      </c>
      <c r="Z10" s="12"/>
      <c r="AB10" s="40" t="s">
        <v>96</v>
      </c>
      <c r="AC10" s="41">
        <v>9.99925</v>
      </c>
      <c r="AD10" s="42">
        <v>1.0599421049907156E-2</v>
      </c>
      <c r="AE10" s="43">
        <v>0.19999999999999996</v>
      </c>
      <c r="AF10" s="41">
        <v>1.9998499999999986</v>
      </c>
      <c r="AG10" s="12"/>
      <c r="AI10" s="40" t="s">
        <v>96</v>
      </c>
      <c r="AJ10" s="41">
        <v>9.99925</v>
      </c>
      <c r="AK10" s="42">
        <v>9.8209938729490499E-3</v>
      </c>
      <c r="AL10" s="43">
        <v>0.19999999999999996</v>
      </c>
      <c r="AM10" s="41">
        <v>1.9998499999999986</v>
      </c>
      <c r="AN10" s="12"/>
      <c r="AP10" s="40" t="s">
        <v>96</v>
      </c>
      <c r="AQ10" s="41">
        <v>9.99925</v>
      </c>
      <c r="AR10" s="42">
        <v>9.6933513757323769E-3</v>
      </c>
      <c r="AS10" s="43">
        <v>0.19999999999999996</v>
      </c>
      <c r="AT10" s="41">
        <v>1.9998499999999986</v>
      </c>
      <c r="AU10" s="43">
        <v>-4.4853364002300271E-2</v>
      </c>
      <c r="AV10" s="41">
        <v>-0.44850000000000101</v>
      </c>
    </row>
    <row r="11" spans="1:48" x14ac:dyDescent="0.25">
      <c r="A11" s="21" t="s">
        <v>74</v>
      </c>
      <c r="B11" s="12">
        <v>2.9136552000000001E-16</v>
      </c>
      <c r="C11" s="22">
        <v>2.8214062501402581E-19</v>
      </c>
      <c r="D11" s="29">
        <v>0.48159901967810059</v>
      </c>
      <c r="E11" s="29">
        <v>9.9274912144717842E-2</v>
      </c>
      <c r="F11" s="12">
        <v>2.8925286400000047E-17</v>
      </c>
      <c r="G11" s="29">
        <v>-0.9407316280938115</v>
      </c>
      <c r="H11" s="12">
        <v>-2.7409676E-16</v>
      </c>
      <c r="I11" s="12"/>
      <c r="J11" s="12"/>
      <c r="K11" s="21" t="s">
        <v>87</v>
      </c>
      <c r="L11" s="12">
        <v>1.3353E-17</v>
      </c>
      <c r="M11" s="22">
        <v>2.1321837282519334E-20</v>
      </c>
      <c r="N11" s="29">
        <v>7.0000000000000062E-2</v>
      </c>
      <c r="O11" s="12">
        <v>9.3470999999999986E-19</v>
      </c>
      <c r="P11" s="12"/>
      <c r="R11" s="12">
        <v>1.3353E-17</v>
      </c>
      <c r="S11" s="22">
        <v>1.7532257650481865E-20</v>
      </c>
      <c r="U11" s="21" t="s">
        <v>87</v>
      </c>
      <c r="V11" s="12">
        <v>1.3353E-17</v>
      </c>
      <c r="W11" s="22">
        <v>1.8953203674296199E-20</v>
      </c>
      <c r="X11" s="29">
        <v>7.0000000000000062E-2</v>
      </c>
      <c r="Y11" s="12">
        <v>9.3470999999999986E-19</v>
      </c>
      <c r="Z11" s="12"/>
      <c r="AB11" s="40" t="s">
        <v>74</v>
      </c>
      <c r="AC11" s="41">
        <v>2.9170551999999998E-16</v>
      </c>
      <c r="AD11" s="42">
        <v>3.0921415396775884E-19</v>
      </c>
      <c r="AE11" s="43">
        <v>9.799364235548258E-2</v>
      </c>
      <c r="AF11" s="41">
        <v>2.8585286400000075E-17</v>
      </c>
      <c r="AG11" s="12"/>
      <c r="AI11" s="40" t="s">
        <v>74</v>
      </c>
      <c r="AJ11" s="41">
        <v>2.9170551999999998E-16</v>
      </c>
      <c r="AK11" s="42">
        <v>2.8650530036006862E-19</v>
      </c>
      <c r="AL11" s="43">
        <v>9.799364235548258E-2</v>
      </c>
      <c r="AM11" s="41">
        <v>2.8585286400000075E-17</v>
      </c>
      <c r="AN11" s="12"/>
      <c r="AP11" s="40" t="s">
        <v>74</v>
      </c>
      <c r="AQ11" s="41">
        <v>2.9136552000000001E-16</v>
      </c>
      <c r="AR11" s="42">
        <v>2.8245202031482155E-19</v>
      </c>
      <c r="AS11" s="43">
        <v>9.9274912144717842E-2</v>
      </c>
      <c r="AT11" s="41">
        <v>2.8925286400000047E-17</v>
      </c>
      <c r="AU11" s="43">
        <v>-0.94049398844448029</v>
      </c>
      <c r="AV11" s="41">
        <v>-2.7402751999999999E-16</v>
      </c>
    </row>
    <row r="12" spans="1:48" x14ac:dyDescent="0.25">
      <c r="A12" s="21" t="s">
        <v>87</v>
      </c>
      <c r="B12" s="12">
        <v>1.3353E-17</v>
      </c>
      <c r="C12" s="22">
        <v>1.2930231984252241E-20</v>
      </c>
      <c r="D12" s="29">
        <v>0.2</v>
      </c>
      <c r="E12" s="29">
        <v>7.0000000000000062E-2</v>
      </c>
      <c r="F12" s="12">
        <v>9.3470999999999986E-19</v>
      </c>
      <c r="G12" s="29">
        <v>0.12484085973189538</v>
      </c>
      <c r="H12" s="12">
        <v>1.6669999999999989E-18</v>
      </c>
      <c r="I12" s="12"/>
      <c r="J12" s="12"/>
      <c r="K12" s="21" t="s">
        <v>71</v>
      </c>
      <c r="L12" s="12">
        <v>5.5999999999999995E-18</v>
      </c>
      <c r="M12" s="22">
        <v>8.9419822348616982E-21</v>
      </c>
      <c r="N12" s="29">
        <v>7.0000000000000062E-2</v>
      </c>
      <c r="O12" s="12">
        <v>3.9200000000000069E-19</v>
      </c>
      <c r="P12" s="12"/>
      <c r="R12" s="12">
        <v>5.5999999999999995E-18</v>
      </c>
      <c r="S12" s="22">
        <v>7.3527029763123223E-21</v>
      </c>
      <c r="U12" s="21" t="s">
        <v>71</v>
      </c>
      <c r="V12" s="12">
        <v>5.5999999999999995E-18</v>
      </c>
      <c r="W12" s="22">
        <v>7.9486213267474501E-21</v>
      </c>
      <c r="X12" s="29">
        <v>7.0000000000000062E-2</v>
      </c>
      <c r="Y12" s="12">
        <v>3.9200000000000069E-19</v>
      </c>
      <c r="Z12" s="12"/>
      <c r="AB12" s="40" t="s">
        <v>87</v>
      </c>
      <c r="AC12" s="41">
        <v>1.3353E-17</v>
      </c>
      <c r="AD12" s="42">
        <v>1.4154468513079507E-20</v>
      </c>
      <c r="AE12" s="43">
        <v>7.0000000000000062E-2</v>
      </c>
      <c r="AF12" s="41">
        <v>9.3470999999999986E-19</v>
      </c>
      <c r="AG12" s="12"/>
      <c r="AI12" s="40" t="s">
        <v>87</v>
      </c>
      <c r="AJ12" s="41">
        <v>1.3353E-17</v>
      </c>
      <c r="AK12" s="42">
        <v>1.3114956740304389E-20</v>
      </c>
      <c r="AL12" s="43">
        <v>7.0000000000000062E-2</v>
      </c>
      <c r="AM12" s="41">
        <v>9.3470999999999986E-19</v>
      </c>
      <c r="AN12" s="12"/>
      <c r="AP12" s="40" t="s">
        <v>87</v>
      </c>
      <c r="AQ12" s="41">
        <v>1.3353E-17</v>
      </c>
      <c r="AR12" s="42">
        <v>1.2944502929735173E-20</v>
      </c>
      <c r="AS12" s="43">
        <v>7.0000000000000062E-2</v>
      </c>
      <c r="AT12" s="41">
        <v>9.3470999999999986E-19</v>
      </c>
      <c r="AU12" s="43">
        <v>0.11300831273871043</v>
      </c>
      <c r="AV12" s="41">
        <v>1.5090000000000002E-18</v>
      </c>
    </row>
    <row r="13" spans="1:48" x14ac:dyDescent="0.25">
      <c r="A13" s="21" t="s">
        <v>71</v>
      </c>
      <c r="B13" s="12">
        <v>5.5999999999999995E-18</v>
      </c>
      <c r="C13" s="22">
        <v>5.4226989524311053E-21</v>
      </c>
      <c r="D13" s="29">
        <v>0.19</v>
      </c>
      <c r="E13" s="29">
        <v>7.0000000000000062E-2</v>
      </c>
      <c r="F13" s="12">
        <v>3.9200000000000069E-19</v>
      </c>
      <c r="G13" s="29">
        <v>0.19035714285714295</v>
      </c>
      <c r="H13" s="12">
        <v>1.0660000000000003E-18</v>
      </c>
      <c r="I13" s="12"/>
      <c r="J13" s="12"/>
      <c r="K13" s="31" t="s">
        <v>105</v>
      </c>
      <c r="L13" s="24">
        <v>626.25935200000004</v>
      </c>
      <c r="M13" s="25">
        <v>1</v>
      </c>
      <c r="N13" s="30">
        <v>0.16793250900243595</v>
      </c>
      <c r="O13" s="24">
        <v>105.16930426759973</v>
      </c>
      <c r="P13" s="24">
        <f>SUM(P4:P12)</f>
        <v>-2.6000000000000005</v>
      </c>
      <c r="R13" s="24">
        <v>761.62467300000003</v>
      </c>
      <c r="S13" s="25">
        <v>1</v>
      </c>
      <c r="U13" s="31" t="s">
        <v>105</v>
      </c>
      <c r="V13" s="24">
        <v>704.52469299999996</v>
      </c>
      <c r="W13" s="25">
        <v>1</v>
      </c>
      <c r="X13" s="30">
        <v>0.15413850318515387</v>
      </c>
      <c r="Y13" s="24">
        <v>108.59438163600009</v>
      </c>
      <c r="Z13" s="24">
        <f>SUM(Z4:Z12)</f>
        <v>10.31</v>
      </c>
      <c r="AB13" s="40" t="s">
        <v>71</v>
      </c>
      <c r="AC13" s="41">
        <v>5.5999999999999995E-18</v>
      </c>
      <c r="AD13" s="42">
        <v>5.9361209970227834E-21</v>
      </c>
      <c r="AE13" s="43">
        <v>7.0000000000000062E-2</v>
      </c>
      <c r="AF13" s="41">
        <v>3.9200000000000069E-19</v>
      </c>
      <c r="AI13" s="40" t="s">
        <v>71</v>
      </c>
      <c r="AJ13" s="41">
        <v>5.5999999999999995E-18</v>
      </c>
      <c r="AK13" s="42">
        <v>5.5001690815325816E-21</v>
      </c>
      <c r="AL13" s="43">
        <v>7.0000000000000062E-2</v>
      </c>
      <c r="AM13" s="41">
        <v>3.9200000000000069E-19</v>
      </c>
      <c r="AP13" s="40" t="s">
        <v>71</v>
      </c>
      <c r="AQ13" s="41">
        <v>5.5999999999999995E-18</v>
      </c>
      <c r="AR13" s="42">
        <v>5.4286839217042587E-21</v>
      </c>
      <c r="AS13" s="43">
        <v>7.0000000000000062E-2</v>
      </c>
      <c r="AT13" s="41">
        <v>3.9200000000000069E-19</v>
      </c>
      <c r="AU13" s="43">
        <v>0.19642857142857151</v>
      </c>
      <c r="AV13" s="41">
        <v>1.1000000000000003E-18</v>
      </c>
    </row>
    <row r="14" spans="1:48" x14ac:dyDescent="0.25">
      <c r="A14" s="21" t="s">
        <v>105</v>
      </c>
      <c r="B14" s="12">
        <v>1032.696089</v>
      </c>
      <c r="C14" s="22">
        <v>1</v>
      </c>
      <c r="D14" s="29">
        <v>0.25726073604346722</v>
      </c>
      <c r="E14" s="29">
        <v>0.12716594807284087</v>
      </c>
      <c r="F14" s="12">
        <v>131.32377722879983</v>
      </c>
      <c r="G14" s="29">
        <v>6.6007154211270916E-3</v>
      </c>
      <c r="H14" s="12">
        <v>6.8165329999999358</v>
      </c>
      <c r="I14" s="12"/>
      <c r="J14" s="12"/>
      <c r="AB14" s="31" t="s">
        <v>105</v>
      </c>
      <c r="AC14" s="24">
        <v>943.37699699999996</v>
      </c>
      <c r="AD14" s="25">
        <v>1</v>
      </c>
      <c r="AE14" s="30">
        <v>0.12661243322217675</v>
      </c>
      <c r="AF14" s="24">
        <v>119.4432570360002</v>
      </c>
      <c r="AG14" s="24">
        <f>SUM(AG4:AG13)</f>
        <v>0</v>
      </c>
      <c r="AI14" s="31" t="s">
        <v>105</v>
      </c>
      <c r="AJ14" s="24">
        <v>1018.1505181</v>
      </c>
      <c r="AK14" s="25">
        <v>1</v>
      </c>
      <c r="AL14" s="30">
        <v>0.13148810185612581</v>
      </c>
      <c r="AM14" s="24">
        <v>133.87467902879996</v>
      </c>
      <c r="AN14" s="24">
        <f>SUM(AN4:AN13)</f>
        <v>2.76</v>
      </c>
      <c r="AP14" s="31" t="s">
        <v>105</v>
      </c>
      <c r="AQ14" s="24">
        <v>1031.5575710000001</v>
      </c>
      <c r="AR14" s="25">
        <v>1</v>
      </c>
      <c r="AS14" s="30">
        <v>0.12744218841936039</v>
      </c>
      <c r="AT14" s="24">
        <v>131.46395432879967</v>
      </c>
      <c r="AU14" s="30">
        <v>3.2198677934961082E-3</v>
      </c>
      <c r="AV14" s="24">
        <v>3.3214789999999539</v>
      </c>
    </row>
  </sheetData>
  <mergeCells count="12">
    <mergeCell ref="L1:P1"/>
    <mergeCell ref="L2:P2"/>
    <mergeCell ref="R2:S2"/>
    <mergeCell ref="R1:S1"/>
    <mergeCell ref="V2:Z2"/>
    <mergeCell ref="V1:Z1"/>
    <mergeCell ref="AQ2:AV2"/>
    <mergeCell ref="AQ1:AV1"/>
    <mergeCell ref="AJ1:AN1"/>
    <mergeCell ref="AJ2:AN2"/>
    <mergeCell ref="AC1:AG1"/>
    <mergeCell ref="AC2:AG2"/>
  </mergeCells>
  <conditionalFormatting sqref="K4:K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5064-D029-4982-9C03-6BDB75C18181}">
  <dimension ref="B1:AJ42"/>
  <sheetViews>
    <sheetView topLeftCell="E1" zoomScale="85" zoomScaleNormal="85" workbookViewId="0">
      <selection activeCell="AC28" sqref="AC28"/>
    </sheetView>
  </sheetViews>
  <sheetFormatPr defaultRowHeight="15" x14ac:dyDescent="0.25"/>
  <cols>
    <col min="2" max="2" width="9.140625" bestFit="1" customWidth="1"/>
    <col min="3" max="3" width="8.85546875" bestFit="1" customWidth="1"/>
    <col min="4" max="4" width="9.7109375" bestFit="1" customWidth="1"/>
    <col min="5" max="5" width="7.85546875" bestFit="1" customWidth="1"/>
    <col min="7" max="7" width="9.140625" bestFit="1" customWidth="1"/>
    <col min="8" max="8" width="8.85546875" bestFit="1" customWidth="1"/>
    <col min="9" max="9" width="9.7109375" bestFit="1" customWidth="1"/>
    <col min="10" max="10" width="7.85546875" bestFit="1" customWidth="1"/>
    <col min="11" max="11" width="7.42578125" bestFit="1" customWidth="1"/>
    <col min="28" max="28" width="11.7109375" bestFit="1" customWidth="1"/>
    <col min="29" max="29" width="10" bestFit="1" customWidth="1"/>
    <col min="30" max="30" width="7.140625" bestFit="1" customWidth="1"/>
  </cols>
  <sheetData>
    <row r="1" spans="2:36" x14ac:dyDescent="0.25">
      <c r="W1" t="s">
        <v>124</v>
      </c>
      <c r="X1" t="s">
        <v>125</v>
      </c>
      <c r="Y1" t="s">
        <v>122</v>
      </c>
      <c r="Z1" s="29">
        <v>0.2356</v>
      </c>
    </row>
    <row r="2" spans="2:36" x14ac:dyDescent="0.25">
      <c r="B2" t="s">
        <v>124</v>
      </c>
      <c r="C2" t="s">
        <v>125</v>
      </c>
      <c r="D2" t="s">
        <v>122</v>
      </c>
      <c r="E2" s="29">
        <v>8.8700000000000001E-2</v>
      </c>
      <c r="G2" t="s">
        <v>124</v>
      </c>
      <c r="H2" t="s">
        <v>125</v>
      </c>
      <c r="I2" t="s">
        <v>122</v>
      </c>
      <c r="J2" s="29">
        <v>0.24129999999999999</v>
      </c>
      <c r="M2" t="s">
        <v>124</v>
      </c>
      <c r="N2" t="s">
        <v>125</v>
      </c>
      <c r="O2" t="s">
        <v>122</v>
      </c>
      <c r="P2" s="29">
        <v>0.44950000000000001</v>
      </c>
      <c r="R2" t="s">
        <v>124</v>
      </c>
      <c r="S2" t="s">
        <v>125</v>
      </c>
      <c r="T2" t="s">
        <v>122</v>
      </c>
      <c r="U2" s="29">
        <v>0.54500000000000004</v>
      </c>
      <c r="W2" t="s">
        <v>124</v>
      </c>
      <c r="X2" t="s">
        <v>125</v>
      </c>
      <c r="Y2" t="s">
        <v>126</v>
      </c>
      <c r="Z2" s="29">
        <v>0.22670000000000001</v>
      </c>
      <c r="AB2" t="s">
        <v>124</v>
      </c>
      <c r="AC2" t="s">
        <v>125</v>
      </c>
      <c r="AD2" t="s">
        <v>122</v>
      </c>
      <c r="AE2" s="29">
        <v>8.2299999999999998E-2</v>
      </c>
      <c r="AG2" t="s">
        <v>124</v>
      </c>
      <c r="AH2" t="s">
        <v>125</v>
      </c>
      <c r="AI2" t="s">
        <v>122</v>
      </c>
      <c r="AJ2" s="29">
        <v>5.79E-2</v>
      </c>
    </row>
    <row r="3" spans="2:36" x14ac:dyDescent="0.25">
      <c r="B3" t="s">
        <v>124</v>
      </c>
      <c r="C3" t="s">
        <v>125</v>
      </c>
      <c r="D3" t="s">
        <v>126</v>
      </c>
      <c r="E3" s="29">
        <v>0.1077</v>
      </c>
      <c r="G3" t="s">
        <v>124</v>
      </c>
      <c r="H3" t="s">
        <v>125</v>
      </c>
      <c r="I3" t="s">
        <v>126</v>
      </c>
      <c r="J3" s="29">
        <v>0.30709999999999998</v>
      </c>
      <c r="M3" t="s">
        <v>124</v>
      </c>
      <c r="N3" t="s">
        <v>125</v>
      </c>
      <c r="O3" t="s">
        <v>126</v>
      </c>
      <c r="P3" s="29">
        <v>0.46850000000000003</v>
      </c>
      <c r="R3" t="s">
        <v>124</v>
      </c>
      <c r="S3" t="s">
        <v>125</v>
      </c>
      <c r="T3" t="s">
        <v>126</v>
      </c>
      <c r="U3" s="29">
        <v>0.3967</v>
      </c>
      <c r="AB3" t="s">
        <v>124</v>
      </c>
      <c r="AC3" t="s">
        <v>125</v>
      </c>
      <c r="AD3" t="s">
        <v>126</v>
      </c>
      <c r="AE3" s="29">
        <v>0.11260000000000001</v>
      </c>
      <c r="AG3" t="s">
        <v>124</v>
      </c>
      <c r="AH3" t="s">
        <v>125</v>
      </c>
      <c r="AI3" t="s">
        <v>126</v>
      </c>
      <c r="AJ3" s="29">
        <v>0.2074</v>
      </c>
    </row>
    <row r="4" spans="2:36" x14ac:dyDescent="0.25">
      <c r="W4" t="s">
        <v>36</v>
      </c>
    </row>
    <row r="5" spans="2:36" x14ac:dyDescent="0.25">
      <c r="B5" s="39" t="s">
        <v>82</v>
      </c>
      <c r="C5" s="39" t="s">
        <v>2</v>
      </c>
      <c r="D5" s="39" t="s">
        <v>123</v>
      </c>
      <c r="E5" s="39" t="s">
        <v>127</v>
      </c>
      <c r="G5" s="39" t="s">
        <v>82</v>
      </c>
      <c r="H5" s="39" t="s">
        <v>2</v>
      </c>
      <c r="I5" s="39" t="s">
        <v>123</v>
      </c>
      <c r="J5" s="39" t="s">
        <v>127</v>
      </c>
      <c r="M5" s="39" t="s">
        <v>82</v>
      </c>
      <c r="N5" s="39" t="s">
        <v>2</v>
      </c>
      <c r="O5" s="39" t="s">
        <v>123</v>
      </c>
      <c r="P5" s="39" t="s">
        <v>127</v>
      </c>
      <c r="R5" s="39" t="s">
        <v>82</v>
      </c>
      <c r="S5" s="39" t="s">
        <v>2</v>
      </c>
      <c r="T5" s="39" t="s">
        <v>123</v>
      </c>
      <c r="U5" s="39" t="s">
        <v>127</v>
      </c>
      <c r="W5" s="39" t="s">
        <v>82</v>
      </c>
      <c r="X5" s="39" t="s">
        <v>2</v>
      </c>
      <c r="Y5" s="39" t="s">
        <v>123</v>
      </c>
      <c r="Z5" s="39" t="s">
        <v>127</v>
      </c>
      <c r="AB5" t="s">
        <v>135</v>
      </c>
      <c r="AG5" t="s">
        <v>136</v>
      </c>
    </row>
    <row r="6" spans="2:36" x14ac:dyDescent="0.25">
      <c r="B6" s="33" t="s">
        <v>94</v>
      </c>
      <c r="C6" s="34">
        <v>0.25440000000000002</v>
      </c>
      <c r="D6" s="34">
        <v>0</v>
      </c>
      <c r="E6" s="34">
        <f t="shared" ref="E6:E16" si="0">D6-C6</f>
        <v>-0.25440000000000002</v>
      </c>
      <c r="G6" s="33" t="s">
        <v>94</v>
      </c>
      <c r="H6" s="34">
        <v>0.25440000000000002</v>
      </c>
      <c r="I6" s="34">
        <v>0.2651</v>
      </c>
      <c r="J6" s="34">
        <f>I6-H6</f>
        <v>1.0699999999999987E-2</v>
      </c>
      <c r="M6" s="33" t="s">
        <v>86</v>
      </c>
      <c r="N6" s="34">
        <v>4.1399999999999999E-2</v>
      </c>
      <c r="O6" s="34">
        <v>0.59519999999999995</v>
      </c>
      <c r="P6" s="34">
        <f>O6-N6</f>
        <v>0.55379999999999996</v>
      </c>
      <c r="R6" s="33" t="s">
        <v>86</v>
      </c>
      <c r="S6" s="34">
        <v>4.1399999999999999E-2</v>
      </c>
      <c r="T6" s="34">
        <v>0</v>
      </c>
      <c r="U6" s="34">
        <f>T6-S6</f>
        <v>-4.1399999999999999E-2</v>
      </c>
      <c r="W6" s="33" t="s">
        <v>22</v>
      </c>
      <c r="X6" s="34">
        <v>0.43940000000000001</v>
      </c>
      <c r="Y6" s="34">
        <v>0.15629999999999999</v>
      </c>
      <c r="Z6" s="34">
        <f>Y6-X6</f>
        <v>-0.28310000000000002</v>
      </c>
      <c r="AB6" s="39" t="s">
        <v>82</v>
      </c>
      <c r="AC6" s="39" t="s">
        <v>2</v>
      </c>
      <c r="AD6" s="39" t="s">
        <v>123</v>
      </c>
      <c r="AE6" s="39" t="s">
        <v>127</v>
      </c>
      <c r="AG6" s="39" t="s">
        <v>82</v>
      </c>
      <c r="AH6" s="39" t="s">
        <v>2</v>
      </c>
      <c r="AI6" s="39" t="s">
        <v>134</v>
      </c>
      <c r="AJ6" s="39" t="s">
        <v>127</v>
      </c>
    </row>
    <row r="7" spans="2:36" x14ac:dyDescent="0.25">
      <c r="B7" s="33" t="s">
        <v>50</v>
      </c>
      <c r="C7" s="34">
        <v>0</v>
      </c>
      <c r="D7" s="34">
        <v>0</v>
      </c>
      <c r="E7" s="34">
        <f t="shared" si="0"/>
        <v>0</v>
      </c>
      <c r="G7" s="33" t="s">
        <v>50</v>
      </c>
      <c r="H7" s="34">
        <v>0</v>
      </c>
      <c r="I7" s="34">
        <v>0.1207</v>
      </c>
      <c r="J7" s="34">
        <f t="shared" ref="J7:J16" si="1">I7-H7</f>
        <v>0.1207</v>
      </c>
      <c r="M7" s="33" t="s">
        <v>94</v>
      </c>
      <c r="N7" s="34">
        <v>5.6899999999999999E-2</v>
      </c>
      <c r="O7" s="34">
        <v>0</v>
      </c>
      <c r="P7" s="34">
        <f t="shared" ref="P7:P42" si="2">O7-N7</f>
        <v>-5.6899999999999999E-2</v>
      </c>
      <c r="R7" s="33" t="s">
        <v>94</v>
      </c>
      <c r="S7" s="34">
        <v>5.6899999999999999E-2</v>
      </c>
      <c r="T7" s="34">
        <v>0</v>
      </c>
      <c r="U7" s="34">
        <f t="shared" ref="U7:U42" si="3">T7-S7</f>
        <v>-5.6899999999999999E-2</v>
      </c>
      <c r="W7" s="33" t="s">
        <v>13</v>
      </c>
      <c r="X7" s="34">
        <v>0.2412</v>
      </c>
      <c r="Y7" s="34">
        <v>0.1038</v>
      </c>
      <c r="Z7" s="34">
        <f t="shared" ref="Z7:Z14" si="4">Y7-X7</f>
        <v>-0.13739999999999999</v>
      </c>
      <c r="AB7" s="33" t="s">
        <v>5</v>
      </c>
      <c r="AC7" s="34">
        <v>0.29170000000000001</v>
      </c>
      <c r="AD7" s="34">
        <v>0.16020000000000001</v>
      </c>
      <c r="AE7" s="34">
        <f>AD7-AC7</f>
        <v>-0.13150000000000001</v>
      </c>
      <c r="AG7" s="33" t="s">
        <v>100</v>
      </c>
      <c r="AH7" s="34">
        <v>1</v>
      </c>
      <c r="AI7" s="34">
        <v>5.5399999999999998E-2</v>
      </c>
      <c r="AJ7" s="34">
        <f>AI7-AH7</f>
        <v>-0.9446</v>
      </c>
    </row>
    <row r="8" spans="2:36" x14ac:dyDescent="0.25">
      <c r="B8" s="35" t="s">
        <v>27</v>
      </c>
      <c r="C8" s="36">
        <v>0.21579999999999999</v>
      </c>
      <c r="D8" s="36">
        <v>5.21E-2</v>
      </c>
      <c r="E8" s="36">
        <f t="shared" si="0"/>
        <v>-0.16369999999999998</v>
      </c>
      <c r="G8" s="35" t="s">
        <v>27</v>
      </c>
      <c r="H8" s="36">
        <v>0.21579999999999999</v>
      </c>
      <c r="I8" s="36">
        <v>5.4899999999999997E-2</v>
      </c>
      <c r="J8" s="36">
        <f t="shared" si="1"/>
        <v>-0.16089999999999999</v>
      </c>
      <c r="M8" s="33" t="s">
        <v>5</v>
      </c>
      <c r="N8" s="34">
        <v>0.1242</v>
      </c>
      <c r="O8" s="34">
        <v>0</v>
      </c>
      <c r="P8" s="34">
        <f t="shared" si="2"/>
        <v>-0.1242</v>
      </c>
      <c r="R8" s="33" t="s">
        <v>5</v>
      </c>
      <c r="S8" s="34">
        <v>0.1242</v>
      </c>
      <c r="T8" s="34">
        <v>0</v>
      </c>
      <c r="U8" s="34">
        <f t="shared" si="3"/>
        <v>-0.1242</v>
      </c>
      <c r="W8" s="33" t="s">
        <v>12</v>
      </c>
      <c r="X8" s="34">
        <v>0.31940000000000002</v>
      </c>
      <c r="Y8" s="34">
        <v>0.3624</v>
      </c>
      <c r="Z8" s="34">
        <f t="shared" si="4"/>
        <v>4.2999999999999983E-2</v>
      </c>
      <c r="AB8" s="33" t="s">
        <v>98</v>
      </c>
      <c r="AC8" s="34">
        <v>6.6000000000000003E-2</v>
      </c>
      <c r="AD8" s="34">
        <v>1.41E-2</v>
      </c>
      <c r="AE8" s="34">
        <f t="shared" ref="AE8:AE16" si="5">AD8-AC8</f>
        <v>-5.1900000000000002E-2</v>
      </c>
      <c r="AG8" s="33" t="s">
        <v>73</v>
      </c>
      <c r="AH8" s="34">
        <v>0</v>
      </c>
      <c r="AI8" s="34">
        <v>0.12520000000000001</v>
      </c>
      <c r="AJ8" s="34">
        <f t="shared" ref="AJ8:AJ10" si="6">AI8-AH8</f>
        <v>0.12520000000000001</v>
      </c>
    </row>
    <row r="9" spans="2:36" x14ac:dyDescent="0.25">
      <c r="B9" s="37" t="s">
        <v>103</v>
      </c>
      <c r="C9" s="38">
        <v>0.1852</v>
      </c>
      <c r="D9" s="38">
        <v>0.1951</v>
      </c>
      <c r="E9" s="38">
        <f t="shared" si="0"/>
        <v>9.8999999999999921E-3</v>
      </c>
      <c r="G9" s="37" t="s">
        <v>103</v>
      </c>
      <c r="H9" s="38">
        <v>0.1852</v>
      </c>
      <c r="I9" s="38">
        <v>0.27689999999999998</v>
      </c>
      <c r="J9" s="38">
        <f t="shared" si="1"/>
        <v>9.1699999999999976E-2</v>
      </c>
      <c r="M9" s="33" t="s">
        <v>103</v>
      </c>
      <c r="N9" s="34">
        <v>5.5199999999999999E-2</v>
      </c>
      <c r="O9" s="34">
        <v>0</v>
      </c>
      <c r="P9" s="34">
        <f t="shared" si="2"/>
        <v>-5.5199999999999999E-2</v>
      </c>
      <c r="R9" s="33" t="s">
        <v>103</v>
      </c>
      <c r="S9" s="34">
        <v>5.5199999999999999E-2</v>
      </c>
      <c r="T9" s="34">
        <v>0</v>
      </c>
      <c r="U9" s="34">
        <f t="shared" si="3"/>
        <v>-5.5199999999999999E-2</v>
      </c>
      <c r="W9" s="33" t="s">
        <v>9</v>
      </c>
      <c r="X9" s="34">
        <v>0</v>
      </c>
      <c r="Y9" s="34">
        <v>7.6200000000000004E-2</v>
      </c>
      <c r="Z9" s="34">
        <f t="shared" si="4"/>
        <v>7.6200000000000004E-2</v>
      </c>
      <c r="AB9" s="33" t="s">
        <v>20</v>
      </c>
      <c r="AC9" s="34">
        <v>0.23069999999999999</v>
      </c>
      <c r="AD9" s="34">
        <v>0.1757</v>
      </c>
      <c r="AE9" s="34">
        <f t="shared" si="5"/>
        <v>-5.4999999999999993E-2</v>
      </c>
      <c r="AG9" s="33" t="s">
        <v>89</v>
      </c>
      <c r="AH9" s="34">
        <v>0</v>
      </c>
      <c r="AI9" s="34">
        <v>0.56210000000000004</v>
      </c>
      <c r="AJ9" s="34">
        <f t="shared" si="6"/>
        <v>0.56210000000000004</v>
      </c>
    </row>
    <row r="10" spans="2:36" x14ac:dyDescent="0.25">
      <c r="B10" s="35" t="s">
        <v>46</v>
      </c>
      <c r="C10" s="36">
        <v>0.2772</v>
      </c>
      <c r="D10" s="36">
        <v>0</v>
      </c>
      <c r="E10" s="36">
        <f t="shared" si="0"/>
        <v>-0.2772</v>
      </c>
      <c r="G10" s="35" t="s">
        <v>46</v>
      </c>
      <c r="H10" s="36">
        <v>0.2772</v>
      </c>
      <c r="I10" s="36">
        <v>0</v>
      </c>
      <c r="J10" s="36">
        <f t="shared" si="1"/>
        <v>-0.2772</v>
      </c>
      <c r="M10" s="33" t="s">
        <v>27</v>
      </c>
      <c r="N10" s="34">
        <v>4.8300000000000003E-2</v>
      </c>
      <c r="O10" s="34">
        <v>0</v>
      </c>
      <c r="P10" s="34">
        <f t="shared" si="2"/>
        <v>-4.8300000000000003E-2</v>
      </c>
      <c r="R10" s="33" t="s">
        <v>27</v>
      </c>
      <c r="S10" s="34">
        <v>4.8300000000000003E-2</v>
      </c>
      <c r="T10" s="34">
        <v>0</v>
      </c>
      <c r="U10" s="34">
        <f t="shared" si="3"/>
        <v>-4.8300000000000003E-2</v>
      </c>
      <c r="W10" s="33" t="s">
        <v>17</v>
      </c>
      <c r="X10" s="34">
        <v>0</v>
      </c>
      <c r="Y10" s="34">
        <v>0.27429999999999999</v>
      </c>
      <c r="Z10" s="34">
        <f t="shared" si="4"/>
        <v>0.27429999999999999</v>
      </c>
      <c r="AB10" s="33" t="s">
        <v>16</v>
      </c>
      <c r="AC10" s="34">
        <v>0.26240000000000002</v>
      </c>
      <c r="AD10" s="34">
        <v>0.21079999999999999</v>
      </c>
      <c r="AE10" s="34">
        <f t="shared" si="5"/>
        <v>-5.1600000000000035E-2</v>
      </c>
      <c r="AG10" s="33" t="s">
        <v>99</v>
      </c>
      <c r="AH10" s="34">
        <v>0</v>
      </c>
      <c r="AI10" s="34">
        <v>0.25729999999999997</v>
      </c>
      <c r="AJ10" s="34">
        <f t="shared" si="6"/>
        <v>0.25729999999999997</v>
      </c>
    </row>
    <row r="11" spans="2:36" x14ac:dyDescent="0.25">
      <c r="B11" s="33" t="s">
        <v>32</v>
      </c>
      <c r="C11" s="34">
        <v>0</v>
      </c>
      <c r="D11" s="34">
        <v>0.33910000000000001</v>
      </c>
      <c r="E11" s="34">
        <f t="shared" si="0"/>
        <v>0.33910000000000001</v>
      </c>
      <c r="G11" s="33" t="s">
        <v>32</v>
      </c>
      <c r="H11" s="34">
        <v>0</v>
      </c>
      <c r="I11" s="34">
        <v>0</v>
      </c>
      <c r="J11" s="34">
        <f t="shared" si="1"/>
        <v>0</v>
      </c>
      <c r="M11" s="33" t="s">
        <v>16</v>
      </c>
      <c r="N11" s="34">
        <v>9.6600000000000005E-2</v>
      </c>
      <c r="O11" s="34">
        <v>0</v>
      </c>
      <c r="P11" s="34">
        <f t="shared" si="2"/>
        <v>-9.6600000000000005E-2</v>
      </c>
      <c r="R11" s="33" t="s">
        <v>16</v>
      </c>
      <c r="S11" s="34">
        <v>9.6600000000000005E-2</v>
      </c>
      <c r="T11" s="34">
        <v>0</v>
      </c>
      <c r="U11" s="34">
        <f t="shared" si="3"/>
        <v>-9.6600000000000005E-2</v>
      </c>
      <c r="W11" s="33" t="s">
        <v>60</v>
      </c>
      <c r="X11" s="34">
        <v>0</v>
      </c>
      <c r="Y11" s="34">
        <v>0</v>
      </c>
      <c r="Z11" s="34">
        <f t="shared" si="4"/>
        <v>0</v>
      </c>
      <c r="AB11" s="33" t="s">
        <v>43</v>
      </c>
      <c r="AC11" s="34">
        <v>0.14910000000000001</v>
      </c>
      <c r="AD11" s="34">
        <v>0.1583</v>
      </c>
      <c r="AE11" s="34">
        <f t="shared" si="5"/>
        <v>9.199999999999986E-3</v>
      </c>
    </row>
    <row r="12" spans="2:36" x14ac:dyDescent="0.25">
      <c r="B12" s="33" t="s">
        <v>48</v>
      </c>
      <c r="C12" s="34">
        <v>0</v>
      </c>
      <c r="D12" s="34">
        <v>0</v>
      </c>
      <c r="E12" s="34">
        <f t="shared" si="0"/>
        <v>0</v>
      </c>
      <c r="G12" s="33" t="s">
        <v>48</v>
      </c>
      <c r="H12" s="34">
        <v>0</v>
      </c>
      <c r="I12" s="34">
        <v>0</v>
      </c>
      <c r="J12" s="34">
        <f t="shared" si="1"/>
        <v>0</v>
      </c>
      <c r="M12" s="33" t="s">
        <v>22</v>
      </c>
      <c r="N12" s="34">
        <v>0.1076</v>
      </c>
      <c r="O12" s="34">
        <v>0</v>
      </c>
      <c r="P12" s="34">
        <f t="shared" si="2"/>
        <v>-0.1076</v>
      </c>
      <c r="R12" s="33" t="s">
        <v>22</v>
      </c>
      <c r="S12" s="34">
        <v>0.1076</v>
      </c>
      <c r="T12" s="34">
        <v>0</v>
      </c>
      <c r="U12" s="34">
        <f t="shared" si="3"/>
        <v>-0.1076</v>
      </c>
      <c r="W12" s="33" t="s">
        <v>24</v>
      </c>
      <c r="X12" s="34">
        <v>0</v>
      </c>
      <c r="Y12" s="34">
        <v>2.7E-2</v>
      </c>
      <c r="Z12" s="34">
        <f t="shared" si="4"/>
        <v>2.7E-2</v>
      </c>
      <c r="AB12" s="33" t="s">
        <v>59</v>
      </c>
      <c r="AC12" s="34">
        <v>1E-4</v>
      </c>
      <c r="AD12" s="34">
        <v>9.4299999999999995E-2</v>
      </c>
      <c r="AE12" s="34">
        <f t="shared" si="5"/>
        <v>9.4199999999999992E-2</v>
      </c>
    </row>
    <row r="13" spans="2:36" x14ac:dyDescent="0.25">
      <c r="B13" s="33" t="s">
        <v>53</v>
      </c>
      <c r="C13" s="34">
        <v>0</v>
      </c>
      <c r="D13" s="34">
        <v>0</v>
      </c>
      <c r="E13" s="34">
        <f t="shared" si="0"/>
        <v>0</v>
      </c>
      <c r="G13" s="33" t="s">
        <v>53</v>
      </c>
      <c r="H13" s="34">
        <v>0</v>
      </c>
      <c r="I13" s="34">
        <v>0</v>
      </c>
      <c r="J13" s="34">
        <f t="shared" si="1"/>
        <v>0</v>
      </c>
      <c r="M13" s="33" t="s">
        <v>20</v>
      </c>
      <c r="N13" s="34">
        <v>6.93E-2</v>
      </c>
      <c r="O13" s="34">
        <v>0</v>
      </c>
      <c r="P13" s="34">
        <f t="shared" si="2"/>
        <v>-6.93E-2</v>
      </c>
      <c r="R13" s="33" t="s">
        <v>20</v>
      </c>
      <c r="S13" s="34">
        <v>6.93E-2</v>
      </c>
      <c r="T13" s="34">
        <v>0</v>
      </c>
      <c r="U13" s="34">
        <f t="shared" si="3"/>
        <v>-6.93E-2</v>
      </c>
      <c r="W13" s="33" t="s">
        <v>30</v>
      </c>
      <c r="X13" s="34">
        <v>0</v>
      </c>
      <c r="Y13" s="34">
        <v>0</v>
      </c>
      <c r="Z13" s="34">
        <f t="shared" si="4"/>
        <v>0</v>
      </c>
      <c r="AB13" s="33" t="s">
        <v>34</v>
      </c>
      <c r="AC13" s="34">
        <v>0</v>
      </c>
      <c r="AD13" s="34">
        <v>0</v>
      </c>
      <c r="AE13" s="34">
        <f t="shared" si="5"/>
        <v>0</v>
      </c>
    </row>
    <row r="14" spans="2:36" x14ac:dyDescent="0.25">
      <c r="B14" s="33" t="s">
        <v>44</v>
      </c>
      <c r="C14" s="34">
        <v>0</v>
      </c>
      <c r="D14" s="34">
        <v>0</v>
      </c>
      <c r="E14" s="34">
        <f t="shared" si="0"/>
        <v>0</v>
      </c>
      <c r="G14" s="33" t="s">
        <v>44</v>
      </c>
      <c r="H14" s="34">
        <v>0</v>
      </c>
      <c r="I14" s="34">
        <v>0</v>
      </c>
      <c r="J14" s="34">
        <f t="shared" si="1"/>
        <v>0</v>
      </c>
      <c r="M14" s="33" t="s">
        <v>100</v>
      </c>
      <c r="N14" s="34">
        <v>1.38E-2</v>
      </c>
      <c r="O14" s="34">
        <v>0</v>
      </c>
      <c r="P14" s="34">
        <f t="shared" si="2"/>
        <v>-1.38E-2</v>
      </c>
      <c r="R14" s="33" t="s">
        <v>100</v>
      </c>
      <c r="S14" s="34">
        <v>1.38E-2</v>
      </c>
      <c r="T14" s="34">
        <v>0</v>
      </c>
      <c r="U14" s="34">
        <f t="shared" si="3"/>
        <v>-1.38E-2</v>
      </c>
      <c r="W14" s="33" t="s">
        <v>84</v>
      </c>
      <c r="X14" s="34">
        <v>0</v>
      </c>
      <c r="Y14" s="34">
        <v>0</v>
      </c>
      <c r="Z14" s="34">
        <f t="shared" si="4"/>
        <v>0</v>
      </c>
      <c r="AB14" s="33" t="s">
        <v>55</v>
      </c>
      <c r="AC14" s="34">
        <v>0</v>
      </c>
      <c r="AD14" s="34">
        <v>0.1656</v>
      </c>
      <c r="AE14" s="34">
        <f t="shared" si="5"/>
        <v>0.1656</v>
      </c>
    </row>
    <row r="15" spans="2:36" x14ac:dyDescent="0.25">
      <c r="B15" s="37" t="s">
        <v>91</v>
      </c>
      <c r="C15" s="38">
        <v>6.7400000000000002E-2</v>
      </c>
      <c r="D15" s="38">
        <v>0.19650000000000001</v>
      </c>
      <c r="E15" s="38">
        <f t="shared" si="0"/>
        <v>0.12909999999999999</v>
      </c>
      <c r="G15" s="37" t="s">
        <v>91</v>
      </c>
      <c r="H15" s="38">
        <v>6.7400000000000002E-2</v>
      </c>
      <c r="I15" s="38">
        <v>0.16420000000000001</v>
      </c>
      <c r="J15" s="38">
        <f t="shared" si="1"/>
        <v>9.6800000000000011E-2</v>
      </c>
      <c r="M15" s="33" t="s">
        <v>91</v>
      </c>
      <c r="N15" s="34">
        <v>1.5100000000000001E-2</v>
      </c>
      <c r="O15" s="34">
        <v>0</v>
      </c>
      <c r="P15" s="34">
        <f t="shared" si="2"/>
        <v>-1.5100000000000001E-2</v>
      </c>
      <c r="R15" s="33" t="s">
        <v>91</v>
      </c>
      <c r="S15" s="34">
        <v>1.5100000000000001E-2</v>
      </c>
      <c r="T15" s="34">
        <v>0</v>
      </c>
      <c r="U15" s="34">
        <f t="shared" si="3"/>
        <v>-1.5100000000000001E-2</v>
      </c>
      <c r="AB15" s="33" t="s">
        <v>56</v>
      </c>
      <c r="AC15" s="34">
        <v>0</v>
      </c>
      <c r="AD15" s="34">
        <v>0</v>
      </c>
      <c r="AE15" s="34">
        <f t="shared" si="5"/>
        <v>0</v>
      </c>
    </row>
    <row r="16" spans="2:36" x14ac:dyDescent="0.25">
      <c r="B16" s="37" t="s">
        <v>92</v>
      </c>
      <c r="C16" s="38">
        <v>0</v>
      </c>
      <c r="D16" s="38">
        <v>0.2172</v>
      </c>
      <c r="E16" s="38">
        <f t="shared" si="0"/>
        <v>0.2172</v>
      </c>
      <c r="G16" s="37" t="s">
        <v>92</v>
      </c>
      <c r="H16" s="38">
        <v>0</v>
      </c>
      <c r="I16" s="38">
        <v>0.1183</v>
      </c>
      <c r="J16" s="38">
        <f t="shared" si="1"/>
        <v>0.1183</v>
      </c>
      <c r="M16" s="33" t="s">
        <v>59</v>
      </c>
      <c r="N16" s="34">
        <v>4.6899999999999997E-2</v>
      </c>
      <c r="O16" s="34">
        <v>0</v>
      </c>
      <c r="P16" s="34">
        <f t="shared" si="2"/>
        <v>-4.6899999999999997E-2</v>
      </c>
      <c r="R16" s="33" t="s">
        <v>59</v>
      </c>
      <c r="S16" s="34">
        <v>4.6899999999999997E-2</v>
      </c>
      <c r="T16" s="34">
        <v>0</v>
      </c>
      <c r="U16" s="34">
        <f t="shared" si="3"/>
        <v>-4.6899999999999997E-2</v>
      </c>
      <c r="AB16" s="33" t="s">
        <v>41</v>
      </c>
      <c r="AC16" s="34">
        <v>0</v>
      </c>
      <c r="AD16" s="34">
        <v>2.1000000000000001E-2</v>
      </c>
      <c r="AE16" s="34">
        <f t="shared" si="5"/>
        <v>2.1000000000000001E-2</v>
      </c>
    </row>
    <row r="17" spans="13:21" x14ac:dyDescent="0.25">
      <c r="M17" s="33" t="s">
        <v>46</v>
      </c>
      <c r="N17" s="34">
        <v>6.2E-2</v>
      </c>
      <c r="O17" s="34">
        <v>0</v>
      </c>
      <c r="P17" s="34">
        <f t="shared" si="2"/>
        <v>-6.2E-2</v>
      </c>
      <c r="R17" s="33" t="s">
        <v>46</v>
      </c>
      <c r="S17" s="34">
        <v>6.2E-2</v>
      </c>
      <c r="T17" s="34">
        <v>0</v>
      </c>
      <c r="U17" s="34">
        <f t="shared" si="3"/>
        <v>-6.2E-2</v>
      </c>
    </row>
    <row r="18" spans="13:21" x14ac:dyDescent="0.25">
      <c r="M18" s="33" t="s">
        <v>43</v>
      </c>
      <c r="N18" s="34">
        <v>3.5900000000000001E-2</v>
      </c>
      <c r="O18" s="34">
        <v>0</v>
      </c>
      <c r="P18" s="34">
        <f t="shared" si="2"/>
        <v>-3.5900000000000001E-2</v>
      </c>
      <c r="R18" s="33" t="s">
        <v>43</v>
      </c>
      <c r="S18" s="34">
        <v>3.5900000000000001E-2</v>
      </c>
      <c r="T18" s="34">
        <v>0</v>
      </c>
      <c r="U18" s="34">
        <f t="shared" si="3"/>
        <v>-3.5900000000000001E-2</v>
      </c>
    </row>
    <row r="19" spans="13:21" x14ac:dyDescent="0.25">
      <c r="M19" s="33" t="s">
        <v>13</v>
      </c>
      <c r="N19" s="34">
        <v>5.91E-2</v>
      </c>
      <c r="O19" s="34">
        <v>0</v>
      </c>
      <c r="P19" s="34">
        <f t="shared" si="2"/>
        <v>-5.91E-2</v>
      </c>
      <c r="R19" s="33" t="s">
        <v>13</v>
      </c>
      <c r="S19" s="34">
        <v>5.91E-2</v>
      </c>
      <c r="T19" s="34">
        <v>0</v>
      </c>
      <c r="U19" s="34">
        <f t="shared" si="3"/>
        <v>-5.91E-2</v>
      </c>
    </row>
    <row r="20" spans="13:21" x14ac:dyDescent="0.25">
      <c r="M20" s="33" t="s">
        <v>12</v>
      </c>
      <c r="N20" s="34">
        <v>7.8200000000000006E-2</v>
      </c>
      <c r="O20" s="34">
        <v>0</v>
      </c>
      <c r="P20" s="34">
        <f t="shared" si="2"/>
        <v>-7.8200000000000006E-2</v>
      </c>
      <c r="R20" s="33" t="s">
        <v>12</v>
      </c>
      <c r="S20" s="34">
        <v>7.8200000000000006E-2</v>
      </c>
      <c r="T20" s="34">
        <v>0</v>
      </c>
      <c r="U20" s="34">
        <f t="shared" si="3"/>
        <v>-7.8200000000000006E-2</v>
      </c>
    </row>
    <row r="21" spans="13:21" x14ac:dyDescent="0.25">
      <c r="M21" s="33" t="s">
        <v>28</v>
      </c>
      <c r="N21" s="34">
        <v>8.9599999999999999E-2</v>
      </c>
      <c r="O21" s="34">
        <v>0</v>
      </c>
      <c r="P21" s="34">
        <f t="shared" si="2"/>
        <v>-8.9599999999999999E-2</v>
      </c>
      <c r="R21" s="33" t="s">
        <v>28</v>
      </c>
      <c r="S21" s="34">
        <v>8.9599999999999999E-2</v>
      </c>
      <c r="T21" s="34">
        <v>0</v>
      </c>
      <c r="U21" s="34">
        <f t="shared" si="3"/>
        <v>-8.9599999999999999E-2</v>
      </c>
    </row>
    <row r="22" spans="13:21" x14ac:dyDescent="0.25">
      <c r="M22" s="33" t="s">
        <v>50</v>
      </c>
      <c r="N22" s="34">
        <v>0</v>
      </c>
      <c r="O22" s="34">
        <v>0.1867</v>
      </c>
      <c r="P22" s="34">
        <f t="shared" si="2"/>
        <v>0.1867</v>
      </c>
      <c r="R22" s="33" t="s">
        <v>50</v>
      </c>
      <c r="S22" s="34">
        <v>0</v>
      </c>
      <c r="T22" s="34">
        <v>0</v>
      </c>
      <c r="U22" s="34">
        <f t="shared" si="3"/>
        <v>0</v>
      </c>
    </row>
    <row r="23" spans="13:21" x14ac:dyDescent="0.25">
      <c r="M23" s="33" t="s">
        <v>25</v>
      </c>
      <c r="N23" s="34">
        <v>0</v>
      </c>
      <c r="O23" s="34">
        <v>0.21809999999999999</v>
      </c>
      <c r="P23" s="34">
        <f t="shared" si="2"/>
        <v>0.21809999999999999</v>
      </c>
      <c r="R23" s="33" t="s">
        <v>25</v>
      </c>
      <c r="S23" s="34">
        <v>0</v>
      </c>
      <c r="T23" s="34">
        <v>0</v>
      </c>
      <c r="U23" s="34">
        <f t="shared" si="3"/>
        <v>0</v>
      </c>
    </row>
    <row r="24" spans="13:21" x14ac:dyDescent="0.25">
      <c r="M24" s="33" t="s">
        <v>9</v>
      </c>
      <c r="N24" s="34">
        <v>0</v>
      </c>
      <c r="O24" s="34">
        <v>0</v>
      </c>
      <c r="P24" s="34">
        <f t="shared" si="2"/>
        <v>0</v>
      </c>
      <c r="R24" s="33" t="s">
        <v>9</v>
      </c>
      <c r="S24" s="34">
        <v>0</v>
      </c>
      <c r="T24" s="34">
        <v>0</v>
      </c>
      <c r="U24" s="34">
        <f t="shared" si="3"/>
        <v>0</v>
      </c>
    </row>
    <row r="25" spans="13:21" x14ac:dyDescent="0.25">
      <c r="M25" s="33" t="s">
        <v>17</v>
      </c>
      <c r="N25" s="34">
        <v>0</v>
      </c>
      <c r="O25" s="34">
        <v>0</v>
      </c>
      <c r="P25" s="34">
        <f t="shared" si="2"/>
        <v>0</v>
      </c>
      <c r="R25" s="33" t="s">
        <v>17</v>
      </c>
      <c r="S25" s="34">
        <v>0</v>
      </c>
      <c r="T25" s="34">
        <v>0</v>
      </c>
      <c r="U25" s="34">
        <f t="shared" si="3"/>
        <v>0</v>
      </c>
    </row>
    <row r="26" spans="13:21" x14ac:dyDescent="0.25">
      <c r="M26" s="33" t="s">
        <v>34</v>
      </c>
      <c r="N26" s="34">
        <v>0</v>
      </c>
      <c r="O26" s="34">
        <v>0</v>
      </c>
      <c r="P26" s="34">
        <f t="shared" si="2"/>
        <v>0</v>
      </c>
      <c r="R26" s="33" t="s">
        <v>34</v>
      </c>
      <c r="S26" s="34">
        <v>0</v>
      </c>
      <c r="T26" s="34">
        <v>0</v>
      </c>
      <c r="U26" s="34">
        <f t="shared" si="3"/>
        <v>0</v>
      </c>
    </row>
    <row r="27" spans="13:21" x14ac:dyDescent="0.25">
      <c r="M27" s="33" t="s">
        <v>60</v>
      </c>
      <c r="N27" s="34">
        <v>0</v>
      </c>
      <c r="O27" s="34">
        <v>0</v>
      </c>
      <c r="P27" s="34">
        <f t="shared" si="2"/>
        <v>0</v>
      </c>
      <c r="R27" s="33" t="s">
        <v>60</v>
      </c>
      <c r="S27" s="34">
        <v>0</v>
      </c>
      <c r="T27" s="34">
        <v>0</v>
      </c>
      <c r="U27" s="34">
        <f t="shared" si="3"/>
        <v>0</v>
      </c>
    </row>
    <row r="28" spans="13:21" x14ac:dyDescent="0.25">
      <c r="M28" s="33" t="s">
        <v>24</v>
      </c>
      <c r="N28" s="34">
        <v>0</v>
      </c>
      <c r="O28" s="34">
        <v>0</v>
      </c>
      <c r="P28" s="34">
        <f t="shared" si="2"/>
        <v>0</v>
      </c>
      <c r="R28" s="33" t="s">
        <v>24</v>
      </c>
      <c r="S28" s="34">
        <v>0</v>
      </c>
      <c r="T28" s="34">
        <v>0.73240000000000005</v>
      </c>
      <c r="U28" s="34">
        <f t="shared" si="3"/>
        <v>0.73240000000000005</v>
      </c>
    </row>
    <row r="29" spans="13:21" x14ac:dyDescent="0.25">
      <c r="M29" s="33" t="s">
        <v>30</v>
      </c>
      <c r="N29" s="34">
        <v>0</v>
      </c>
      <c r="O29" s="34">
        <v>0</v>
      </c>
      <c r="P29" s="34">
        <f t="shared" si="2"/>
        <v>0</v>
      </c>
      <c r="R29" s="33" t="s">
        <v>30</v>
      </c>
      <c r="S29" s="34">
        <v>0</v>
      </c>
      <c r="T29" s="34">
        <v>0</v>
      </c>
      <c r="U29" s="34">
        <f t="shared" si="3"/>
        <v>0</v>
      </c>
    </row>
    <row r="30" spans="13:21" x14ac:dyDescent="0.25">
      <c r="M30" s="33" t="s">
        <v>32</v>
      </c>
      <c r="N30" s="34">
        <v>0</v>
      </c>
      <c r="O30" s="34">
        <v>0</v>
      </c>
      <c r="P30" s="34">
        <f t="shared" si="2"/>
        <v>0</v>
      </c>
      <c r="R30" s="33" t="s">
        <v>32</v>
      </c>
      <c r="S30" s="34">
        <v>0</v>
      </c>
      <c r="T30" s="34">
        <v>0</v>
      </c>
      <c r="U30" s="34">
        <f t="shared" si="3"/>
        <v>0</v>
      </c>
    </row>
    <row r="31" spans="13:21" x14ac:dyDescent="0.25">
      <c r="M31" s="33" t="s">
        <v>84</v>
      </c>
      <c r="N31" s="34">
        <v>0</v>
      </c>
      <c r="O31" s="34">
        <v>0</v>
      </c>
      <c r="P31" s="34">
        <f t="shared" si="2"/>
        <v>0</v>
      </c>
      <c r="R31" s="33" t="s">
        <v>84</v>
      </c>
      <c r="S31" s="34">
        <v>0</v>
      </c>
      <c r="T31" s="34">
        <v>0.2676</v>
      </c>
      <c r="U31" s="34">
        <f t="shared" si="3"/>
        <v>0.2676</v>
      </c>
    </row>
    <row r="32" spans="13:21" x14ac:dyDescent="0.25">
      <c r="M32" s="33" t="s">
        <v>48</v>
      </c>
      <c r="N32" s="34">
        <v>0</v>
      </c>
      <c r="O32" s="34">
        <v>0</v>
      </c>
      <c r="P32" s="34">
        <f t="shared" si="2"/>
        <v>0</v>
      </c>
      <c r="R32" s="33" t="s">
        <v>48</v>
      </c>
      <c r="S32" s="34">
        <v>0</v>
      </c>
      <c r="T32" s="34">
        <v>0</v>
      </c>
      <c r="U32" s="34">
        <f t="shared" si="3"/>
        <v>0</v>
      </c>
    </row>
    <row r="33" spans="13:21" x14ac:dyDescent="0.25">
      <c r="M33" s="33" t="s">
        <v>53</v>
      </c>
      <c r="N33" s="34">
        <v>0</v>
      </c>
      <c r="O33" s="34">
        <v>0</v>
      </c>
      <c r="P33" s="34">
        <f t="shared" si="2"/>
        <v>0</v>
      </c>
      <c r="R33" s="33" t="s">
        <v>53</v>
      </c>
      <c r="S33" s="34">
        <v>0</v>
      </c>
      <c r="T33" s="34">
        <v>0</v>
      </c>
      <c r="U33" s="34">
        <f t="shared" si="3"/>
        <v>0</v>
      </c>
    </row>
    <row r="34" spans="13:21" x14ac:dyDescent="0.25">
      <c r="M34" s="33" t="s">
        <v>44</v>
      </c>
      <c r="N34" s="34">
        <v>0</v>
      </c>
      <c r="O34" s="34">
        <v>0</v>
      </c>
      <c r="P34" s="34">
        <f t="shared" si="2"/>
        <v>0</v>
      </c>
      <c r="R34" s="33" t="s">
        <v>44</v>
      </c>
      <c r="S34" s="34">
        <v>0</v>
      </c>
      <c r="T34" s="34">
        <v>0</v>
      </c>
      <c r="U34" s="34">
        <f t="shared" si="3"/>
        <v>0</v>
      </c>
    </row>
    <row r="35" spans="13:21" x14ac:dyDescent="0.25">
      <c r="M35" s="33" t="s">
        <v>55</v>
      </c>
      <c r="N35" s="34">
        <v>0</v>
      </c>
      <c r="O35" s="34">
        <v>0</v>
      </c>
      <c r="P35" s="34">
        <f t="shared" si="2"/>
        <v>0</v>
      </c>
      <c r="R35" s="33" t="s">
        <v>55</v>
      </c>
      <c r="S35" s="34">
        <v>0</v>
      </c>
      <c r="T35" s="34">
        <v>0</v>
      </c>
      <c r="U35" s="34">
        <f t="shared" si="3"/>
        <v>0</v>
      </c>
    </row>
    <row r="36" spans="13:21" x14ac:dyDescent="0.25">
      <c r="M36" s="33" t="s">
        <v>73</v>
      </c>
      <c r="N36" s="34">
        <v>0</v>
      </c>
      <c r="O36" s="34">
        <v>0</v>
      </c>
      <c r="P36" s="34">
        <f t="shared" si="2"/>
        <v>0</v>
      </c>
      <c r="R36" s="33" t="s">
        <v>73</v>
      </c>
      <c r="S36" s="34">
        <v>0</v>
      </c>
      <c r="T36" s="34">
        <v>0</v>
      </c>
      <c r="U36" s="34">
        <f t="shared" si="3"/>
        <v>0</v>
      </c>
    </row>
    <row r="37" spans="13:21" x14ac:dyDescent="0.25">
      <c r="M37" s="33" t="s">
        <v>56</v>
      </c>
      <c r="N37" s="34">
        <v>0</v>
      </c>
      <c r="O37" s="34">
        <v>0</v>
      </c>
      <c r="P37" s="34">
        <f t="shared" si="2"/>
        <v>0</v>
      </c>
      <c r="R37" s="33" t="s">
        <v>56</v>
      </c>
      <c r="S37" s="34">
        <v>0</v>
      </c>
      <c r="T37" s="34">
        <v>0</v>
      </c>
      <c r="U37" s="34">
        <f t="shared" si="3"/>
        <v>0</v>
      </c>
    </row>
    <row r="38" spans="13:21" x14ac:dyDescent="0.25">
      <c r="M38" s="33" t="s">
        <v>41</v>
      </c>
      <c r="N38" s="34">
        <v>0</v>
      </c>
      <c r="O38" s="34">
        <v>0</v>
      </c>
      <c r="P38" s="34">
        <f t="shared" si="2"/>
        <v>0</v>
      </c>
      <c r="R38" s="33" t="s">
        <v>41</v>
      </c>
      <c r="S38" s="34">
        <v>0</v>
      </c>
      <c r="T38" s="34">
        <v>0</v>
      </c>
      <c r="U38" s="34">
        <f t="shared" si="3"/>
        <v>0</v>
      </c>
    </row>
    <row r="39" spans="13:21" x14ac:dyDescent="0.25">
      <c r="M39" s="33" t="s">
        <v>89</v>
      </c>
      <c r="N39" s="34">
        <v>0</v>
      </c>
      <c r="O39" s="34">
        <v>0</v>
      </c>
      <c r="P39" s="34">
        <f t="shared" si="2"/>
        <v>0</v>
      </c>
      <c r="R39" s="33" t="s">
        <v>89</v>
      </c>
      <c r="S39" s="34">
        <v>0</v>
      </c>
      <c r="T39" s="34">
        <v>0</v>
      </c>
      <c r="U39" s="34">
        <f t="shared" si="3"/>
        <v>0</v>
      </c>
    </row>
    <row r="40" spans="13:21" x14ac:dyDescent="0.25">
      <c r="M40" s="33" t="s">
        <v>92</v>
      </c>
      <c r="N40" s="34">
        <v>0</v>
      </c>
      <c r="O40" s="34">
        <v>0</v>
      </c>
      <c r="P40" s="34">
        <f t="shared" si="2"/>
        <v>0</v>
      </c>
      <c r="R40" s="33" t="s">
        <v>92</v>
      </c>
      <c r="S40" s="34">
        <v>0</v>
      </c>
      <c r="T40" s="34">
        <v>0</v>
      </c>
      <c r="U40" s="34">
        <f t="shared" si="3"/>
        <v>0</v>
      </c>
    </row>
    <row r="41" spans="13:21" x14ac:dyDescent="0.25">
      <c r="M41" s="33" t="s">
        <v>98</v>
      </c>
      <c r="N41" s="34">
        <v>0</v>
      </c>
      <c r="O41" s="34">
        <v>0</v>
      </c>
      <c r="P41" s="34">
        <f t="shared" si="2"/>
        <v>0</v>
      </c>
      <c r="R41" s="33" t="s">
        <v>98</v>
      </c>
      <c r="S41" s="34">
        <v>0</v>
      </c>
      <c r="T41" s="34">
        <v>0</v>
      </c>
      <c r="U41" s="34">
        <f t="shared" si="3"/>
        <v>0</v>
      </c>
    </row>
    <row r="42" spans="13:21" x14ac:dyDescent="0.25">
      <c r="M42" s="33" t="s">
        <v>99</v>
      </c>
      <c r="N42" s="34">
        <v>0</v>
      </c>
      <c r="O42" s="34">
        <v>0</v>
      </c>
      <c r="P42" s="34">
        <f t="shared" si="2"/>
        <v>0</v>
      </c>
      <c r="R42" s="33" t="s">
        <v>99</v>
      </c>
      <c r="S42" s="34">
        <v>0</v>
      </c>
      <c r="T42" s="34">
        <v>0</v>
      </c>
      <c r="U42" s="34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Positions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walton</cp:lastModifiedBy>
  <dcterms:created xsi:type="dcterms:W3CDTF">2015-06-05T18:17:20Z</dcterms:created>
  <dcterms:modified xsi:type="dcterms:W3CDTF">2025-02-20T03:57:22Z</dcterms:modified>
</cp:coreProperties>
</file>