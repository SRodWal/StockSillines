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8F7B9D9F-2DDF-4EDA-BB36-C5277B5FE46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H33" i="1"/>
  <c r="M33" i="1" s="1"/>
  <c r="O33" i="1" s="1"/>
  <c r="G33" i="1"/>
  <c r="L12" i="1"/>
  <c r="N12" i="1" s="1"/>
  <c r="H8" i="1"/>
  <c r="L8" i="1" s="1"/>
  <c r="N8" i="1" s="1"/>
  <c r="H7" i="1"/>
  <c r="L7" i="1" s="1"/>
  <c r="N7" i="1" s="1"/>
  <c r="H27" i="1"/>
  <c r="H29" i="1"/>
  <c r="H30" i="1"/>
  <c r="M30" i="1" s="1"/>
  <c r="O30" i="1" s="1"/>
  <c r="H6" i="1"/>
  <c r="L6" i="1" s="1"/>
  <c r="N6" i="1" s="1"/>
  <c r="H4" i="1"/>
  <c r="J4" i="1" s="1"/>
  <c r="H5" i="1"/>
  <c r="M5" i="1" s="1"/>
  <c r="O5" i="1" s="1"/>
  <c r="H15" i="1"/>
  <c r="J15" i="1" s="1"/>
  <c r="H10" i="1"/>
  <c r="L10" i="1" s="1"/>
  <c r="N10" i="1" s="1"/>
  <c r="H17" i="1"/>
  <c r="M17" i="1" s="1"/>
  <c r="O17" i="1" s="1"/>
  <c r="H23" i="1"/>
  <c r="J23" i="1" s="1"/>
  <c r="H25" i="1"/>
  <c r="M25" i="1" s="1"/>
  <c r="O25" i="1" s="1"/>
  <c r="H26" i="1"/>
  <c r="L26" i="1" s="1"/>
  <c r="N26" i="1" s="1"/>
  <c r="H20" i="1"/>
  <c r="L20" i="1" s="1"/>
  <c r="N20" i="1" s="1"/>
  <c r="H3" i="1"/>
  <c r="M3" i="1" s="1"/>
  <c r="O3" i="1" s="1"/>
  <c r="M32" i="1"/>
  <c r="O32" i="1" s="1"/>
  <c r="L32" i="1"/>
  <c r="N32" i="1" s="1"/>
  <c r="J32" i="1"/>
  <c r="G32" i="1"/>
  <c r="D32" i="1"/>
  <c r="M31" i="1"/>
  <c r="O31" i="1" s="1"/>
  <c r="L31" i="1"/>
  <c r="N31" i="1" s="1"/>
  <c r="J31" i="1"/>
  <c r="G31" i="1"/>
  <c r="J19" i="1"/>
  <c r="M19" i="1"/>
  <c r="O19" i="1" s="1"/>
  <c r="N19" i="1"/>
  <c r="G19" i="1"/>
  <c r="M16" i="1"/>
  <c r="O16" i="1" s="1"/>
  <c r="L16" i="1"/>
  <c r="N16" i="1" s="1"/>
  <c r="J16" i="1"/>
  <c r="G16" i="1"/>
  <c r="L2" i="1"/>
  <c r="N2" i="1" s="1"/>
  <c r="M2" i="1"/>
  <c r="O2" i="1" s="1"/>
  <c r="L21" i="1"/>
  <c r="N21" i="1" s="1"/>
  <c r="M21" i="1"/>
  <c r="O21" i="1" s="1"/>
  <c r="L22" i="1"/>
  <c r="N22" i="1" s="1"/>
  <c r="M22" i="1"/>
  <c r="O22" i="1" s="1"/>
  <c r="L28" i="1"/>
  <c r="N28" i="1" s="1"/>
  <c r="M28" i="1"/>
  <c r="O28" i="1" s="1"/>
  <c r="L27" i="1"/>
  <c r="N27" i="1" s="1"/>
  <c r="M27" i="1"/>
  <c r="O27" i="1" s="1"/>
  <c r="L4" i="1"/>
  <c r="N4" i="1" s="1"/>
  <c r="M4" i="1"/>
  <c r="O4" i="1" s="1"/>
  <c r="M8" i="1"/>
  <c r="O8" i="1" s="1"/>
  <c r="L9" i="1"/>
  <c r="N9" i="1" s="1"/>
  <c r="M9" i="1"/>
  <c r="O9" i="1" s="1"/>
  <c r="L11" i="1"/>
  <c r="N11" i="1" s="1"/>
  <c r="M11" i="1"/>
  <c r="O11" i="1" s="1"/>
  <c r="L13" i="1"/>
  <c r="N13" i="1" s="1"/>
  <c r="M13" i="1"/>
  <c r="O13" i="1" s="1"/>
  <c r="L24" i="1"/>
  <c r="N24" i="1" s="1"/>
  <c r="M24" i="1"/>
  <c r="O24" i="1" s="1"/>
  <c r="M10" i="1"/>
  <c r="O10" i="1" s="1"/>
  <c r="L14" i="1"/>
  <c r="N14" i="1" s="1"/>
  <c r="M14" i="1"/>
  <c r="O14" i="1" s="1"/>
  <c r="L18" i="1"/>
  <c r="N18" i="1" s="1"/>
  <c r="M18" i="1"/>
  <c r="O18" i="1" s="1"/>
  <c r="J2" i="1"/>
  <c r="J21" i="1"/>
  <c r="J22" i="1"/>
  <c r="J28" i="1"/>
  <c r="J27" i="1"/>
  <c r="J30" i="1"/>
  <c r="J9" i="1"/>
  <c r="J11" i="1"/>
  <c r="J13" i="1"/>
  <c r="J24" i="1"/>
  <c r="J10" i="1"/>
  <c r="J14" i="1"/>
  <c r="J18" i="1"/>
  <c r="G24" i="1"/>
  <c r="G22" i="1"/>
  <c r="G3" i="1"/>
  <c r="G17" i="1"/>
  <c r="G8" i="1"/>
  <c r="G7" i="1"/>
  <c r="G29" i="1"/>
  <c r="G30" i="1"/>
  <c r="G6" i="1"/>
  <c r="G5" i="1"/>
  <c r="G21" i="1"/>
  <c r="G2" i="1"/>
  <c r="G20" i="1"/>
  <c r="G4" i="1"/>
  <c r="G26" i="1"/>
  <c r="G28" i="1"/>
  <c r="G27" i="1"/>
  <c r="G12" i="1"/>
  <c r="G23" i="1"/>
  <c r="G15" i="1"/>
  <c r="G14" i="1"/>
  <c r="G25" i="1"/>
  <c r="G18" i="1"/>
  <c r="G11" i="1"/>
  <c r="G9" i="1"/>
  <c r="G13" i="1"/>
  <c r="G10" i="1"/>
  <c r="L5" i="1" l="1"/>
  <c r="N5" i="1" s="1"/>
  <c r="J33" i="1"/>
  <c r="K33" i="1" s="1"/>
  <c r="L33" i="1"/>
  <c r="N33" i="1" s="1"/>
  <c r="P33" i="1" s="1"/>
  <c r="M12" i="1"/>
  <c r="O12" i="1" s="1"/>
  <c r="P12" i="1" s="1"/>
  <c r="J12" i="1"/>
  <c r="L17" i="1"/>
  <c r="N17" i="1" s="1"/>
  <c r="M15" i="1"/>
  <c r="O15" i="1" s="1"/>
  <c r="J8" i="1"/>
  <c r="J7" i="1"/>
  <c r="J5" i="1"/>
  <c r="M7" i="1"/>
  <c r="O7" i="1" s="1"/>
  <c r="P7" i="1" s="1"/>
  <c r="L23" i="1"/>
  <c r="N23" i="1" s="1"/>
  <c r="J17" i="1"/>
  <c r="K21" i="1" s="1"/>
  <c r="L30" i="1"/>
  <c r="N30" i="1" s="1"/>
  <c r="P30" i="1" s="1"/>
  <c r="M23" i="1"/>
  <c r="O23" i="1" s="1"/>
  <c r="J6" i="1"/>
  <c r="L15" i="1"/>
  <c r="N15" i="1" s="1"/>
  <c r="M6" i="1"/>
  <c r="O6" i="1" s="1"/>
  <c r="P6" i="1" s="1"/>
  <c r="L25" i="1"/>
  <c r="N25" i="1" s="1"/>
  <c r="P25" i="1" s="1"/>
  <c r="J29" i="1"/>
  <c r="K29" i="1" s="1"/>
  <c r="M29" i="1"/>
  <c r="O29" i="1" s="1"/>
  <c r="L29" i="1"/>
  <c r="N29" i="1" s="1"/>
  <c r="J25" i="1"/>
  <c r="M20" i="1"/>
  <c r="O20" i="1" s="1"/>
  <c r="P20" i="1" s="1"/>
  <c r="J20" i="1"/>
  <c r="J26" i="1"/>
  <c r="M26" i="1"/>
  <c r="O26" i="1" s="1"/>
  <c r="P26" i="1" s="1"/>
  <c r="L3" i="1"/>
  <c r="N3" i="1" s="1"/>
  <c r="P3" i="1" s="1"/>
  <c r="J3" i="1"/>
  <c r="P19" i="1"/>
  <c r="P32" i="1"/>
  <c r="P31" i="1"/>
  <c r="P16" i="1"/>
  <c r="P8" i="1"/>
  <c r="P13" i="1"/>
  <c r="P17" i="1"/>
  <c r="P10" i="1"/>
  <c r="P21" i="1"/>
  <c r="P11" i="1"/>
  <c r="P22" i="1"/>
  <c r="P27" i="1"/>
  <c r="P18" i="1"/>
  <c r="P5" i="1"/>
  <c r="P28" i="1"/>
  <c r="P24" i="1"/>
  <c r="P9" i="1"/>
  <c r="P14" i="1"/>
  <c r="P2" i="1"/>
  <c r="P4" i="1"/>
  <c r="P23" i="1" l="1"/>
  <c r="P15" i="1"/>
  <c r="K11" i="1"/>
  <c r="P29" i="1"/>
  <c r="Q33" i="1" s="1"/>
  <c r="K23" i="1"/>
  <c r="K13" i="1"/>
  <c r="K26" i="1"/>
  <c r="K7" i="1"/>
  <c r="K22" i="1"/>
  <c r="K28" i="1"/>
  <c r="K17" i="1"/>
  <c r="K4" i="1"/>
  <c r="K20" i="1"/>
  <c r="K30" i="1"/>
  <c r="K24" i="1"/>
  <c r="K25" i="1"/>
  <c r="K10" i="1"/>
  <c r="K14" i="1"/>
  <c r="K27" i="1"/>
  <c r="K5" i="1"/>
  <c r="K15" i="1"/>
  <c r="K19" i="1"/>
  <c r="K12" i="1"/>
  <c r="K9" i="1"/>
  <c r="K32" i="1"/>
  <c r="K16" i="1"/>
  <c r="K6" i="1"/>
  <c r="K8" i="1"/>
  <c r="K18" i="1"/>
  <c r="K2" i="1"/>
  <c r="K31" i="1"/>
  <c r="K3" i="1"/>
  <c r="Q2" i="1"/>
  <c r="Q3" i="1"/>
  <c r="Q11" i="1"/>
  <c r="Q20" i="1"/>
  <c r="Q19" i="1"/>
  <c r="Q22" i="1"/>
  <c r="Q14" i="1"/>
  <c r="Q13" i="1"/>
  <c r="Q15" i="1"/>
  <c r="Q28" i="1"/>
  <c r="Q4" i="1"/>
  <c r="Q16" i="1"/>
  <c r="Q29" i="1"/>
  <c r="Q8" i="1"/>
  <c r="Q18" i="1"/>
  <c r="Q21" i="1"/>
  <c r="Q5" i="1"/>
  <c r="Q17" i="1"/>
  <c r="Q24" i="1"/>
  <c r="Q31" i="1"/>
  <c r="Q12" i="1"/>
  <c r="Q6" i="1"/>
  <c r="Q9" i="1"/>
  <c r="Q30" i="1"/>
  <c r="Q7" i="1"/>
  <c r="Q32" i="1"/>
  <c r="Q10" i="1"/>
  <c r="Q27" i="1"/>
  <c r="Q25" i="1"/>
  <c r="Q26" i="1"/>
  <c r="Q23" i="1"/>
  <c r="S33" i="1" l="1"/>
  <c r="R33" i="1"/>
  <c r="R20" i="1"/>
  <c r="R3" i="1"/>
  <c r="R11" i="1"/>
  <c r="R7" i="1"/>
  <c r="R25" i="1"/>
  <c r="R28" i="1"/>
  <c r="R4" i="1"/>
  <c r="R16" i="1"/>
  <c r="R29" i="1"/>
  <c r="R14" i="1"/>
  <c r="R26" i="1"/>
  <c r="R5" i="1"/>
  <c r="R17" i="1"/>
  <c r="R24" i="1"/>
  <c r="R19" i="1"/>
  <c r="R13" i="1"/>
  <c r="R6" i="1"/>
  <c r="R9" i="1"/>
  <c r="R30" i="1"/>
  <c r="R31" i="1"/>
  <c r="R8" i="1"/>
  <c r="R22" i="1"/>
  <c r="R32" i="1"/>
  <c r="R18" i="1"/>
  <c r="R23" i="1"/>
  <c r="R12" i="1"/>
  <c r="R2" i="1"/>
  <c r="R21" i="1"/>
  <c r="R10" i="1"/>
  <c r="R27" i="1"/>
  <c r="R15" i="1"/>
  <c r="S3" i="1"/>
  <c r="S16" i="1"/>
  <c r="S26" i="1"/>
  <c r="S12" i="1"/>
  <c r="S15" i="1"/>
  <c r="S9" i="1"/>
  <c r="S23" i="1"/>
  <c r="S13" i="1"/>
  <c r="S14" i="1"/>
  <c r="S20" i="1"/>
  <c r="S25" i="1"/>
  <c r="S8" i="1"/>
  <c r="S30" i="1"/>
  <c r="S28" i="1"/>
  <c r="S6" i="1"/>
  <c r="S22" i="1"/>
  <c r="S32" i="1"/>
  <c r="S19" i="1"/>
  <c r="S27" i="1"/>
  <c r="S31" i="1"/>
  <c r="S17" i="1"/>
  <c r="S21" i="1"/>
  <c r="S4" i="1"/>
  <c r="S10" i="1"/>
  <c r="S2" i="1"/>
  <c r="S18" i="1"/>
  <c r="S5" i="1"/>
  <c r="S24" i="1"/>
  <c r="S29" i="1"/>
  <c r="S7" i="1"/>
  <c r="S11" i="1"/>
</calcChain>
</file>

<file path=xl/sharedStrings.xml><?xml version="1.0" encoding="utf-8"?>
<sst xmlns="http://schemas.openxmlformats.org/spreadsheetml/2006/main" count="115" uniqueCount="89">
  <si>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</si>
  <si>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</si>
  <si>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</si>
  <si>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</si>
  <si>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</si>
  <si>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</si>
  <si>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</si>
  <si>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</si>
  <si>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</si>
  <si>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</si>
  <si>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</si>
  <si>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</si>
  <si>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</si>
  <si>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</si>
  <si>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</si>
  <si>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</si>
  <si>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</si>
  <si>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</si>
  <si>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</si>
  <si>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</si>
  <si>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</si>
  <si>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</si>
  <si>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</si>
  <si>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</si>
  <si>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</si>
  <si>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</si>
  <si>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</si>
  <si>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</si>
  <si>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</si>
  <si>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</si>
  <si>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</si>
  <si>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</si>
  <si>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</si>
  <si>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</si>
  <si>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</si>
  <si>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</si>
  <si>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</si>
  <si>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</si>
  <si>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</si>
  <si>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</si>
  <si>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</si>
  <si>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</si>
  <si>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</si>
  <si>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</si>
  <si>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</si>
  <si>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</si>
  <si>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</si>
  <si>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</si>
  <si>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</si>
  <si>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</si>
  <si>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</si>
  <si>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</si>
  <si>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</si>
  <si>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</si>
  <si>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</si>
  <si>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</si>
  <si>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</si>
  <si>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</si>
  <si>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</si>
  <si>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</si>
  <si>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</si>
  <si>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</si>
  <si>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</si>
  <si>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</si>
  <si>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</si>
  <si>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</si>
  <si>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</si>
  <si>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</si>
  <si>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</si>
  <si>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</si>
  <si>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</si>
  <si>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</si>
  <si>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</si>
  <si>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</si>
  <si>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</si>
  <si>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</si>
  <si>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</si>
  <si>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</si>
  <si>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</si>
  <si>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</si>
  <si>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</si>
  <si>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</si>
  <si>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</si>
  <si>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</si>
  <si>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</si>
  <si>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</si>
  <si>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</si>
  <si>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</si>
  <si>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Forex2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</si>
</sst>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33"/>
  <sheetViews>
    <sheetView tabSelected="1" workbookViewId="0">
      <selection activeCell="H19" sqref="H19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hidden="1" x14ac:dyDescent="0.25">
      <c r="A2" t="s">
        <v>39</v>
      </c>
      <c r="B2" s="6" t="s">
        <v>42</v>
      </c>
      <c r="C2" t="s">
        <v>41</v>
      </c>
      <c r="D2" s="8">
        <v>45507</v>
      </c>
      <c r="E2" s="2">
        <v>9.9999999999999998E-46</v>
      </c>
      <c r="F2" s="1">
        <v>41.8</v>
      </c>
      <c r="G2" s="1">
        <f t="shared" ref="G2:G8" si="0">E2*F2</f>
        <v>4.1799999999999994E-44</v>
      </c>
      <c r="H2" s="11">
        <v>0</v>
      </c>
      <c r="I2" s="11">
        <v>0.4</v>
      </c>
      <c r="J2" s="9">
        <f t="shared" ref="J2:J8" si="1">IFERROR(H2/I2,"")</f>
        <v>0</v>
      </c>
      <c r="K2" s="9">
        <f t="shared" ref="K2:K33" si="2">IFERROR(J2/SUBTOTAL(9,$J$2:$J$1048576),"")</f>
        <v>0</v>
      </c>
      <c r="L2" s="12">
        <f t="shared" ref="L2:L8" si="3">F2/(1-(F2*(1+H2)-F2)/(F2*(1+H2)))</f>
        <v>41.8</v>
      </c>
      <c r="M2" s="12">
        <f t="shared" ref="M2:M8" si="4">F2/(1+I2-H2)</f>
        <v>29.857142857142858</v>
      </c>
      <c r="N2" s="12">
        <f t="shared" ref="N2:N8" si="5">L2-F2</f>
        <v>0</v>
      </c>
      <c r="O2" s="12">
        <f t="shared" ref="O2:O8" si="6">0.5*(M2-F2)</f>
        <v>-5.9714285714285698</v>
      </c>
      <c r="P2" s="15">
        <f t="shared" ref="P2:P8" si="7">N2+O2</f>
        <v>-5.9714285714285698</v>
      </c>
      <c r="Q2" s="12">
        <f>MAX($P$2:$P$280)-P2</f>
        <v>89.398549926326339</v>
      </c>
      <c r="R2" s="9">
        <f>IFERROR((SUBTOTAL(109,$Q$2:$Q$1048576)/Q2)/SUBTOTAL(109,$Q$2:$Q$1048576),0)</f>
        <v>1.1185863762042041E-2</v>
      </c>
      <c r="S2" s="9">
        <f t="shared" ref="S2:S33" si="8">Q2/MAX($Q$2:$Q$28)</f>
        <v>0.29521259291506552</v>
      </c>
    </row>
    <row r="3" spans="1:19" hidden="1" x14ac:dyDescent="0.25">
      <c r="A3" t="s">
        <v>39</v>
      </c>
      <c r="B3" s="6" t="s">
        <v>59</v>
      </c>
      <c r="C3" t="s">
        <v>58</v>
      </c>
      <c r="D3" s="8">
        <v>45574</v>
      </c>
      <c r="E3" s="2">
        <v>9.9999999999999998E-46</v>
      </c>
      <c r="F3" s="1">
        <v>47.42</v>
      </c>
      <c r="G3" s="1">
        <f t="shared" si="0"/>
        <v>4.7420000000000006E-44</v>
      </c>
      <c r="H3" s="11">
        <f>48.37/F3-1</f>
        <v>2.0033741037536856E-2</v>
      </c>
      <c r="I3" s="11">
        <v>0.4</v>
      </c>
      <c r="J3" s="9">
        <f t="shared" si="1"/>
        <v>5.0084352593842141E-2</v>
      </c>
      <c r="K3" s="9">
        <f t="shared" si="2"/>
        <v>6.03528490259903E-2</v>
      </c>
      <c r="L3" s="12">
        <f t="shared" si="3"/>
        <v>48.37</v>
      </c>
      <c r="M3" s="12">
        <f t="shared" si="4"/>
        <v>34.36315902075247</v>
      </c>
      <c r="N3" s="12">
        <f t="shared" si="5"/>
        <v>0.94999999999999574</v>
      </c>
      <c r="O3" s="12">
        <f t="shared" si="6"/>
        <v>-6.5284204896237661</v>
      </c>
      <c r="P3" s="15">
        <f t="shared" si="7"/>
        <v>-5.5784204896237704</v>
      </c>
      <c r="Q3" s="12">
        <f t="shared" ref="Q3:Q33" si="9">MAX($P$2:$P$280)-P3</f>
        <v>89.005541844521531</v>
      </c>
      <c r="R3" s="9">
        <f t="shared" ref="R3:R33" si="10">IFERROR((SUBTOTAL(109,$Q$2:$Q$1048576)/Q3)/SUBTOTAL(109,$Q$2:$Q$1048576),0)</f>
        <v>1.123525546023685E-2</v>
      </c>
      <c r="S3" s="9">
        <f t="shared" si="8"/>
        <v>0.29391479854410774</v>
      </c>
    </row>
    <row r="4" spans="1:19" hidden="1" x14ac:dyDescent="0.25">
      <c r="A4" t="s">
        <v>40</v>
      </c>
      <c r="B4" s="7" t="s">
        <v>31</v>
      </c>
      <c r="C4" s="14" t="s">
        <v>32</v>
      </c>
      <c r="D4" s="8">
        <v>45511</v>
      </c>
      <c r="E4" s="2">
        <v>1E-22</v>
      </c>
      <c r="F4" s="1">
        <v>113.58</v>
      </c>
      <c r="G4" s="1">
        <f t="shared" si="0"/>
        <v>1.1358E-20</v>
      </c>
      <c r="H4" s="11">
        <f>121.15/F4-1</f>
        <v>6.664905793273479E-2</v>
      </c>
      <c r="I4" s="11">
        <v>0.16439999999999999</v>
      </c>
      <c r="J4" s="9">
        <f t="shared" si="1"/>
        <v>0.40540789496797319</v>
      </c>
      <c r="K4" s="9">
        <f t="shared" si="2"/>
        <v>0.48852626043437952</v>
      </c>
      <c r="L4" s="12">
        <f t="shared" si="3"/>
        <v>121.15000000000002</v>
      </c>
      <c r="M4" s="12">
        <f t="shared" si="4"/>
        <v>103.46609203186667</v>
      </c>
      <c r="N4" s="12">
        <f t="shared" si="5"/>
        <v>7.5700000000000216</v>
      </c>
      <c r="O4" s="12">
        <f t="shared" si="6"/>
        <v>-5.0569539840666664</v>
      </c>
      <c r="P4" s="15">
        <f t="shared" si="7"/>
        <v>2.5130460159333552</v>
      </c>
      <c r="Q4" s="12">
        <f t="shared" si="9"/>
        <v>80.914075338964409</v>
      </c>
      <c r="R4" s="9">
        <f t="shared" si="10"/>
        <v>1.2358789194720577E-2</v>
      </c>
      <c r="S4" s="9">
        <f t="shared" si="8"/>
        <v>0.26719509437038835</v>
      </c>
    </row>
    <row r="5" spans="1:19" hidden="1" x14ac:dyDescent="0.25">
      <c r="A5" t="s">
        <v>40</v>
      </c>
      <c r="B5" s="7" t="s">
        <v>45</v>
      </c>
      <c r="C5" t="s">
        <v>44</v>
      </c>
      <c r="D5" s="8">
        <v>45511</v>
      </c>
      <c r="E5" s="2">
        <v>1E-22</v>
      </c>
      <c r="F5" s="1">
        <v>11.05</v>
      </c>
      <c r="G5" s="1">
        <f t="shared" si="0"/>
        <v>1.1050000000000002E-21</v>
      </c>
      <c r="H5" s="11">
        <f>9.52/F5-1</f>
        <v>-0.13846153846153852</v>
      </c>
      <c r="I5" s="11">
        <v>0.72170000000000001</v>
      </c>
      <c r="J5" s="9">
        <f t="shared" si="1"/>
        <v>-0.19185470203898922</v>
      </c>
      <c r="K5" s="9">
        <f t="shared" si="2"/>
        <v>-0.23118952861355549</v>
      </c>
      <c r="L5" s="12">
        <f t="shared" si="3"/>
        <v>9.52</v>
      </c>
      <c r="M5" s="12">
        <f t="shared" si="4"/>
        <v>5.9403443042581081</v>
      </c>
      <c r="N5" s="12">
        <f t="shared" si="5"/>
        <v>-1.5300000000000011</v>
      </c>
      <c r="O5" s="12">
        <f t="shared" si="6"/>
        <v>-2.5548278478709463</v>
      </c>
      <c r="P5" s="15">
        <f t="shared" si="7"/>
        <v>-4.0848278478709474</v>
      </c>
      <c r="Q5" s="12">
        <f t="shared" si="9"/>
        <v>87.511949202768704</v>
      </c>
      <c r="R5" s="9">
        <f t="shared" si="10"/>
        <v>1.1427010929478438E-2</v>
      </c>
      <c r="S5" s="9">
        <f t="shared" si="8"/>
        <v>0.28898264520499783</v>
      </c>
    </row>
    <row r="6" spans="1:19" hidden="1" x14ac:dyDescent="0.25">
      <c r="A6" t="s">
        <v>40</v>
      </c>
      <c r="B6" s="7" t="s">
        <v>47</v>
      </c>
      <c r="C6" t="s">
        <v>46</v>
      </c>
      <c r="D6" s="8">
        <v>45511</v>
      </c>
      <c r="E6" s="2">
        <v>1E-22</v>
      </c>
      <c r="F6" s="1">
        <v>187.36</v>
      </c>
      <c r="G6" s="1">
        <f t="shared" si="0"/>
        <v>1.8736000000000003E-20</v>
      </c>
      <c r="H6" s="11">
        <f>196.02/F6-1</f>
        <v>4.6221178479931568E-2</v>
      </c>
      <c r="I6" s="11">
        <v>0.52980000000000005</v>
      </c>
      <c r="J6" s="9">
        <f t="shared" si="1"/>
        <v>8.7242692487602053E-2</v>
      </c>
      <c r="K6" s="9">
        <f t="shared" si="2"/>
        <v>0.10512954197540167</v>
      </c>
      <c r="L6" s="12">
        <f t="shared" si="3"/>
        <v>196.01999999999998</v>
      </c>
      <c r="M6" s="12">
        <f t="shared" si="4"/>
        <v>126.28921179127629</v>
      </c>
      <c r="N6" s="12">
        <f t="shared" si="5"/>
        <v>8.6599999999999682</v>
      </c>
      <c r="O6" s="12">
        <f t="shared" si="6"/>
        <v>-30.535394104361863</v>
      </c>
      <c r="P6" s="15">
        <f t="shared" si="7"/>
        <v>-21.875394104361895</v>
      </c>
      <c r="Q6" s="12">
        <f t="shared" si="9"/>
        <v>105.30251545925967</v>
      </c>
      <c r="R6" s="9">
        <f t="shared" si="10"/>
        <v>9.4964493073946415E-3</v>
      </c>
      <c r="S6" s="9">
        <f t="shared" si="8"/>
        <v>0.34773079266750317</v>
      </c>
    </row>
    <row r="7" spans="1:19" hidden="1" x14ac:dyDescent="0.25">
      <c r="A7" t="s">
        <v>40</v>
      </c>
      <c r="B7" s="7" t="s">
        <v>53</v>
      </c>
      <c r="C7" t="s">
        <v>52</v>
      </c>
      <c r="D7" s="8">
        <v>45511</v>
      </c>
      <c r="E7" s="2">
        <v>1E-22</v>
      </c>
      <c r="F7" s="1">
        <v>10.47</v>
      </c>
      <c r="G7" s="1">
        <f t="shared" si="0"/>
        <v>1.0470000000000001E-21</v>
      </c>
      <c r="H7" s="11">
        <f>6.42/F7-1</f>
        <v>-0.38681948424068768</v>
      </c>
      <c r="I7" s="11">
        <v>0.85599999999999998</v>
      </c>
      <c r="J7" s="9">
        <f t="shared" si="1"/>
        <v>-0.45189192084192487</v>
      </c>
      <c r="K7" s="9">
        <f t="shared" si="2"/>
        <v>-0.54454062920223623</v>
      </c>
      <c r="L7" s="12">
        <f t="shared" si="3"/>
        <v>6.419999999999999</v>
      </c>
      <c r="M7" s="12">
        <f t="shared" si="4"/>
        <v>4.6682312480197874</v>
      </c>
      <c r="N7" s="12">
        <f t="shared" si="5"/>
        <v>-4.0500000000000016</v>
      </c>
      <c r="O7" s="12">
        <f t="shared" si="6"/>
        <v>-2.9008843759901066</v>
      </c>
      <c r="P7" s="15">
        <f t="shared" si="7"/>
        <v>-6.9508843759901087</v>
      </c>
      <c r="Q7" s="12">
        <f t="shared" si="9"/>
        <v>90.378005730887878</v>
      </c>
      <c r="R7" s="9">
        <f t="shared" si="10"/>
        <v>1.1064638923076357E-2</v>
      </c>
      <c r="S7" s="9">
        <f t="shared" si="8"/>
        <v>0.29844695955690265</v>
      </c>
    </row>
    <row r="8" spans="1:19" hidden="1" x14ac:dyDescent="0.25">
      <c r="A8" t="s">
        <v>40</v>
      </c>
      <c r="B8" s="7" t="s">
        <v>54</v>
      </c>
      <c r="C8" t="s">
        <v>55</v>
      </c>
      <c r="D8" s="8">
        <v>45511</v>
      </c>
      <c r="E8" s="2">
        <v>1E-22</v>
      </c>
      <c r="F8" s="1">
        <v>13.04</v>
      </c>
      <c r="G8" s="1">
        <f t="shared" si="0"/>
        <v>1.304E-21</v>
      </c>
      <c r="H8" s="11">
        <f>13.72/F8-1</f>
        <v>5.2147239263803824E-2</v>
      </c>
      <c r="I8" s="11">
        <v>0.30159999999999998</v>
      </c>
      <c r="J8" s="9">
        <f t="shared" si="1"/>
        <v>0.17290198694895167</v>
      </c>
      <c r="K8" s="9">
        <f t="shared" si="2"/>
        <v>0.20835105126040546</v>
      </c>
      <c r="L8" s="12">
        <f t="shared" si="3"/>
        <v>13.72</v>
      </c>
      <c r="M8" s="12">
        <f t="shared" si="4"/>
        <v>10.436569040286594</v>
      </c>
      <c r="N8" s="12">
        <f t="shared" si="5"/>
        <v>0.68000000000000149</v>
      </c>
      <c r="O8" s="12">
        <f t="shared" si="6"/>
        <v>-1.3017154798567026</v>
      </c>
      <c r="P8" s="15">
        <f t="shared" si="7"/>
        <v>-0.62171547985670106</v>
      </c>
      <c r="Q8" s="12">
        <f t="shared" si="9"/>
        <v>84.048836834754468</v>
      </c>
      <c r="R8" s="9">
        <f t="shared" si="10"/>
        <v>1.1897844606297951E-2</v>
      </c>
      <c r="S8" s="9">
        <f t="shared" si="8"/>
        <v>0.27754672837457672</v>
      </c>
    </row>
    <row r="9" spans="1:19" hidden="1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0.13370000000000001</v>
      </c>
      <c r="F9" s="1">
        <v>423.77</v>
      </c>
      <c r="G9" s="1">
        <f t="shared" ref="G9:G31" si="11">E9*F9</f>
        <v>56.658049000000005</v>
      </c>
      <c r="H9" s="11">
        <v>1.14E-2</v>
      </c>
      <c r="I9" s="11">
        <v>0.1963</v>
      </c>
      <c r="J9" s="9">
        <f t="shared" ref="J9:J31" si="12">IFERROR(H9/I9,"")</f>
        <v>5.8074375955170655E-2</v>
      </c>
      <c r="K9" s="9">
        <f t="shared" ref="K9:K31" si="13">IFERROR(J9/SUBTOTAL(9,$J$2:$J$1048576),"")</f>
        <v>6.9981019276107184E-2</v>
      </c>
      <c r="L9" s="12">
        <f t="shared" ref="L9:L31" si="14">F9/(1-(F9*(1+H9)-F9)/(F9*(1+H9)))</f>
        <v>428.600978</v>
      </c>
      <c r="M9" s="12">
        <f t="shared" ref="M9:M31" si="15">F9/(1+I9-H9)</f>
        <v>357.64199510507217</v>
      </c>
      <c r="N9" s="12">
        <f t="shared" ref="N9:N31" si="16">L9-F9</f>
        <v>4.830978000000016</v>
      </c>
      <c r="O9" s="12">
        <f t="shared" ref="O9:O31" si="17">0.5*(M9-F9)</f>
        <v>-33.064002447463906</v>
      </c>
      <c r="P9" s="15">
        <f t="shared" ref="P9:P31" si="18">N9+O9</f>
        <v>-28.23302444746389</v>
      </c>
      <c r="Q9" s="12">
        <f t="shared" ref="Q9:Q31" si="19">MAX($P$2:$P$280)-P9</f>
        <v>111.66014580236165</v>
      </c>
      <c r="R9" s="9">
        <f t="shared" ref="R9:R31" si="20">IFERROR((SUBTOTAL(109,$Q$2:$Q$1048576)/Q9)/SUBTOTAL(109,$Q$2:$Q$1048576),0)</f>
        <v>8.9557468585971488E-3</v>
      </c>
      <c r="S9" s="9">
        <f t="shared" ref="S9:S31" si="21">Q9/MAX($Q$2:$Q$28)</f>
        <v>0.36872500946329412</v>
      </c>
    </row>
    <row r="10" spans="1:19" hidden="1" x14ac:dyDescent="0.25">
      <c r="A10" t="s">
        <v>38</v>
      </c>
      <c r="B10" s="5" t="s">
        <v>6</v>
      </c>
      <c r="C10" t="s">
        <v>5</v>
      </c>
      <c r="D10" s="8">
        <v>45553</v>
      </c>
      <c r="E10" s="2">
        <v>1.0751999999999999</v>
      </c>
      <c r="F10" s="1">
        <v>51.15</v>
      </c>
      <c r="G10" s="1">
        <f t="shared" si="11"/>
        <v>54.996479999999998</v>
      </c>
      <c r="H10" s="11">
        <f>16.68%+7%/4</f>
        <v>0.18430000000000002</v>
      </c>
      <c r="I10" s="11">
        <v>0.19980000000000001</v>
      </c>
      <c r="J10" s="9">
        <f t="shared" si="12"/>
        <v>0.92242242242242245</v>
      </c>
      <c r="K10" s="9">
        <f t="shared" si="13"/>
        <v>1.1115411963115487</v>
      </c>
      <c r="L10" s="12">
        <f t="shared" si="14"/>
        <v>60.576944999999995</v>
      </c>
      <c r="M10" s="12">
        <f t="shared" si="15"/>
        <v>50.369276218611525</v>
      </c>
      <c r="N10" s="12">
        <f t="shared" si="16"/>
        <v>9.4269449999999964</v>
      </c>
      <c r="O10" s="12">
        <f t="shared" si="17"/>
        <v>-0.39036189069423699</v>
      </c>
      <c r="P10" s="15">
        <f t="shared" si="18"/>
        <v>9.0365831093057594</v>
      </c>
      <c r="Q10" s="12">
        <f t="shared" si="19"/>
        <v>74.390538245592012</v>
      </c>
      <c r="R10" s="9">
        <f t="shared" si="20"/>
        <v>1.3442569762012102E-2</v>
      </c>
      <c r="S10" s="9">
        <f t="shared" si="21"/>
        <v>0.24565301900228498</v>
      </c>
    </row>
    <row r="11" spans="1:19" hidden="1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 t="shared" si="11"/>
        <v>42.792915999999998</v>
      </c>
      <c r="H11" s="11">
        <v>4.9299999999999997E-2</v>
      </c>
      <c r="I11" s="11">
        <v>0.2271</v>
      </c>
      <c r="J11" s="9">
        <f t="shared" si="12"/>
        <v>0.21708498458828709</v>
      </c>
      <c r="K11" s="9">
        <f t="shared" si="13"/>
        <v>0.26159262568319935</v>
      </c>
      <c r="L11" s="12">
        <f t="shared" si="14"/>
        <v>238.58983399999997</v>
      </c>
      <c r="M11" s="12">
        <f t="shared" si="15"/>
        <v>193.05484802173541</v>
      </c>
      <c r="N11" s="12">
        <f t="shared" si="16"/>
        <v>11.209833999999972</v>
      </c>
      <c r="O11" s="12">
        <f t="shared" si="17"/>
        <v>-17.162575989132293</v>
      </c>
      <c r="P11" s="15">
        <f t="shared" si="18"/>
        <v>-5.9527419891323206</v>
      </c>
      <c r="Q11" s="12">
        <f t="shared" si="19"/>
        <v>89.379863344030085</v>
      </c>
      <c r="R11" s="9">
        <f t="shared" si="20"/>
        <v>1.1188202382352295E-2</v>
      </c>
      <c r="S11" s="9">
        <f t="shared" si="21"/>
        <v>0.29515088593640709</v>
      </c>
    </row>
    <row r="12" spans="1:19" hidden="1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0.14610000000000001</v>
      </c>
      <c r="F12" s="1">
        <v>273.45999999999998</v>
      </c>
      <c r="G12" s="1">
        <f t="shared" si="11"/>
        <v>39.952506</v>
      </c>
      <c r="H12" s="11">
        <v>0.16769999999999999</v>
      </c>
      <c r="I12" s="11">
        <v>0.16700000000000001</v>
      </c>
      <c r="J12" s="9">
        <f t="shared" si="12"/>
        <v>1.0041916167664668</v>
      </c>
      <c r="K12" s="9">
        <f t="shared" si="13"/>
        <v>1.2100750414276724</v>
      </c>
      <c r="L12" s="12">
        <f t="shared" si="14"/>
        <v>319.31924199999997</v>
      </c>
      <c r="M12" s="12">
        <f t="shared" si="15"/>
        <v>273.65155608926244</v>
      </c>
      <c r="N12" s="12">
        <f t="shared" si="16"/>
        <v>45.859241999999995</v>
      </c>
      <c r="O12" s="12">
        <f t="shared" si="17"/>
        <v>9.5778044631231296E-2</v>
      </c>
      <c r="P12" s="15">
        <f t="shared" si="18"/>
        <v>45.955020044631226</v>
      </c>
      <c r="Q12" s="12">
        <f t="shared" si="19"/>
        <v>37.472101310266538</v>
      </c>
      <c r="R12" s="9">
        <f t="shared" si="20"/>
        <v>2.6686520505483952E-2</v>
      </c>
      <c r="S12" s="9">
        <f t="shared" si="21"/>
        <v>0.12374066692240798</v>
      </c>
    </row>
    <row r="13" spans="1:19" hidden="1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0.1928</v>
      </c>
      <c r="F13" s="1">
        <v>188.12</v>
      </c>
      <c r="G13" s="1">
        <f t="shared" si="11"/>
        <v>36.269536000000002</v>
      </c>
      <c r="H13" s="11">
        <v>-6.8599999999999994E-2</v>
      </c>
      <c r="I13" s="11">
        <v>0.37780000000000002</v>
      </c>
      <c r="J13" s="9">
        <f t="shared" si="12"/>
        <v>-0.18157755426151401</v>
      </c>
      <c r="K13" s="9">
        <f t="shared" si="13"/>
        <v>-0.21880531845391346</v>
      </c>
      <c r="L13" s="12">
        <f t="shared" si="14"/>
        <v>175.214968</v>
      </c>
      <c r="M13" s="12">
        <f t="shared" si="15"/>
        <v>130.06084070796459</v>
      </c>
      <c r="N13" s="12">
        <f t="shared" si="16"/>
        <v>-12.905032000000006</v>
      </c>
      <c r="O13" s="12">
        <f t="shared" si="17"/>
        <v>-29.029579646017709</v>
      </c>
      <c r="P13" s="15">
        <f t="shared" si="18"/>
        <v>-41.934611646017714</v>
      </c>
      <c r="Q13" s="12">
        <f t="shared" si="19"/>
        <v>125.36173300091548</v>
      </c>
      <c r="R13" s="9">
        <f t="shared" si="20"/>
        <v>7.9769158902158552E-3</v>
      </c>
      <c r="S13" s="9">
        <f t="shared" si="21"/>
        <v>0.4139704982018737</v>
      </c>
    </row>
    <row r="14" spans="1:19" hidden="1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0.24390000000000001</v>
      </c>
      <c r="F14" s="1">
        <v>144.28</v>
      </c>
      <c r="G14" s="1">
        <f t="shared" si="11"/>
        <v>35.189892</v>
      </c>
      <c r="H14" s="11">
        <v>-2.8000000000000001E-2</v>
      </c>
      <c r="I14" s="11">
        <v>0.18340000000000001</v>
      </c>
      <c r="J14" s="9">
        <f t="shared" si="12"/>
        <v>-0.15267175572519084</v>
      </c>
      <c r="K14" s="9">
        <f t="shared" si="13"/>
        <v>-0.18397313625150449</v>
      </c>
      <c r="L14" s="12">
        <f t="shared" si="14"/>
        <v>140.24016</v>
      </c>
      <c r="M14" s="12">
        <f t="shared" si="15"/>
        <v>119.10186561003798</v>
      </c>
      <c r="N14" s="12">
        <f t="shared" si="16"/>
        <v>-4.0398399999999981</v>
      </c>
      <c r="O14" s="12">
        <f t="shared" si="17"/>
        <v>-12.589067194981013</v>
      </c>
      <c r="P14" s="15">
        <f t="shared" si="18"/>
        <v>-16.628907194981011</v>
      </c>
      <c r="Q14" s="12">
        <f t="shared" si="19"/>
        <v>100.05602854987877</v>
      </c>
      <c r="R14" s="9">
        <f t="shared" si="20"/>
        <v>9.9944002824526607E-3</v>
      </c>
      <c r="S14" s="9">
        <f t="shared" si="21"/>
        <v>0.33040580243567419</v>
      </c>
    </row>
    <row r="15" spans="1:19" hidden="1" x14ac:dyDescent="0.25">
      <c r="A15" t="s">
        <v>36</v>
      </c>
      <c r="B15" s="3" t="s">
        <v>21</v>
      </c>
      <c r="C15" t="s">
        <v>22</v>
      </c>
      <c r="D15" s="8">
        <v>45484</v>
      </c>
      <c r="E15" s="2">
        <v>0.24990000000000001</v>
      </c>
      <c r="F15" s="1">
        <v>191.91</v>
      </c>
      <c r="G15" s="1">
        <f t="shared" si="11"/>
        <v>47.958309</v>
      </c>
      <c r="H15" s="11">
        <f>227.4/F15-1</f>
        <v>0.18493043614194149</v>
      </c>
      <c r="I15" s="11">
        <v>0.37</v>
      </c>
      <c r="J15" s="9">
        <f t="shared" si="12"/>
        <v>0.49981198957281486</v>
      </c>
      <c r="K15" s="9">
        <f t="shared" si="13"/>
        <v>0.60228546413868833</v>
      </c>
      <c r="L15" s="12">
        <f t="shared" si="14"/>
        <v>227.39999999999998</v>
      </c>
      <c r="M15" s="12">
        <f t="shared" si="15"/>
        <v>161.93986062322494</v>
      </c>
      <c r="N15" s="12">
        <f t="shared" si="16"/>
        <v>35.489999999999981</v>
      </c>
      <c r="O15" s="12">
        <f t="shared" si="17"/>
        <v>-14.985069688387526</v>
      </c>
      <c r="P15" s="15">
        <f t="shared" si="18"/>
        <v>20.504930311612455</v>
      </c>
      <c r="Q15" s="12">
        <f t="shared" si="19"/>
        <v>62.922191043285309</v>
      </c>
      <c r="R15" s="9">
        <f t="shared" si="20"/>
        <v>1.5892644286847578E-2</v>
      </c>
      <c r="S15" s="9">
        <f t="shared" si="21"/>
        <v>0.20778215289949825</v>
      </c>
    </row>
    <row r="16" spans="1:19" hidden="1" x14ac:dyDescent="0.25">
      <c r="A16" t="s">
        <v>74</v>
      </c>
      <c r="B16" s="5" t="s">
        <v>75</v>
      </c>
      <c r="C16" t="s">
        <v>76</v>
      </c>
      <c r="D16" s="8">
        <v>45562</v>
      </c>
      <c r="E16" s="2">
        <v>1E-35</v>
      </c>
      <c r="F16" s="1">
        <v>56</v>
      </c>
      <c r="G16" s="1">
        <f t="shared" si="11"/>
        <v>5.5999999999999999E-34</v>
      </c>
      <c r="H16" s="11">
        <v>0.08</v>
      </c>
      <c r="I16" s="11">
        <v>0.19</v>
      </c>
      <c r="J16" s="9">
        <f t="shared" si="12"/>
        <v>0.42105263157894735</v>
      </c>
      <c r="K16" s="9">
        <f t="shared" si="13"/>
        <v>0.5073785441883597</v>
      </c>
      <c r="L16" s="12">
        <f t="shared" si="14"/>
        <v>60.480000000000004</v>
      </c>
      <c r="M16" s="12">
        <f t="shared" si="15"/>
        <v>50.450450450450454</v>
      </c>
      <c r="N16" s="12">
        <f t="shared" si="16"/>
        <v>4.480000000000004</v>
      </c>
      <c r="O16" s="12">
        <f t="shared" si="17"/>
        <v>-2.7747747747747731</v>
      </c>
      <c r="P16" s="15">
        <f t="shared" si="18"/>
        <v>1.7052252252252309</v>
      </c>
      <c r="Q16" s="12">
        <f t="shared" si="19"/>
        <v>81.72189612967253</v>
      </c>
      <c r="R16" s="9">
        <f t="shared" si="20"/>
        <v>1.2236622586598408E-2</v>
      </c>
      <c r="S16" s="9">
        <f t="shared" si="21"/>
        <v>0.26986268652296996</v>
      </c>
    </row>
    <row r="17" spans="1:19" hidden="1" x14ac:dyDescent="0.25">
      <c r="A17" t="s">
        <v>38</v>
      </c>
      <c r="B17" s="5" t="s">
        <v>56</v>
      </c>
      <c r="C17" t="s">
        <v>57</v>
      </c>
      <c r="D17" s="8">
        <v>45505</v>
      </c>
      <c r="E17" s="2">
        <v>1E-35</v>
      </c>
      <c r="F17" s="1">
        <v>86.6</v>
      </c>
      <c r="G17" s="1">
        <f t="shared" si="11"/>
        <v>8.6599999999999988E-34</v>
      </c>
      <c r="H17" s="11">
        <f>89.44/F17-1</f>
        <v>3.2794457274826883E-2</v>
      </c>
      <c r="I17" s="11">
        <v>0.17249999999999999</v>
      </c>
      <c r="J17" s="9">
        <f t="shared" si="12"/>
        <v>0.19011279579609788</v>
      </c>
      <c r="K17" s="9">
        <f t="shared" si="13"/>
        <v>0.22909048971118229</v>
      </c>
      <c r="L17" s="12">
        <f t="shared" si="14"/>
        <v>89.44</v>
      </c>
      <c r="M17" s="12">
        <f t="shared" si="15"/>
        <v>75.984538772119137</v>
      </c>
      <c r="N17" s="12">
        <f t="shared" si="16"/>
        <v>2.8400000000000034</v>
      </c>
      <c r="O17" s="12">
        <f t="shared" si="17"/>
        <v>-5.3077306139404286</v>
      </c>
      <c r="P17" s="15">
        <f t="shared" si="18"/>
        <v>-2.4677306139404251</v>
      </c>
      <c r="Q17" s="12">
        <f t="shared" si="19"/>
        <v>85.894851968838196</v>
      </c>
      <c r="R17" s="9">
        <f t="shared" si="20"/>
        <v>1.1642141258509767E-2</v>
      </c>
      <c r="S17" s="9">
        <f t="shared" si="21"/>
        <v>0.28364265403268213</v>
      </c>
    </row>
    <row r="18" spans="1:19" hidden="1" x14ac:dyDescent="0.25">
      <c r="A18" t="s">
        <v>38</v>
      </c>
      <c r="B18" s="5" t="s">
        <v>15</v>
      </c>
      <c r="C18" t="s">
        <v>16</v>
      </c>
      <c r="D18" s="8">
        <v>45460</v>
      </c>
      <c r="E18" s="2">
        <v>0.1807</v>
      </c>
      <c r="F18" s="1">
        <v>165.59</v>
      </c>
      <c r="G18" s="1">
        <f t="shared" si="11"/>
        <v>29.922113</v>
      </c>
      <c r="H18" s="11">
        <v>6.7199999999999996E-2</v>
      </c>
      <c r="I18" s="11">
        <v>0.16439999999999999</v>
      </c>
      <c r="J18" s="9">
        <f t="shared" si="12"/>
        <v>0.40875912408759124</v>
      </c>
      <c r="K18" s="9">
        <f t="shared" si="13"/>
        <v>0.49256457209526899</v>
      </c>
      <c r="L18" s="12">
        <f t="shared" si="14"/>
        <v>176.717648</v>
      </c>
      <c r="M18" s="12">
        <f t="shared" si="15"/>
        <v>150.92052497265766</v>
      </c>
      <c r="N18" s="12">
        <f t="shared" si="16"/>
        <v>11.127647999999994</v>
      </c>
      <c r="O18" s="12">
        <f t="shared" si="17"/>
        <v>-7.3347375136711719</v>
      </c>
      <c r="P18" s="15">
        <f t="shared" si="18"/>
        <v>3.7929104863288217</v>
      </c>
      <c r="Q18" s="12">
        <f t="shared" si="19"/>
        <v>79.634210868568942</v>
      </c>
      <c r="R18" s="9">
        <f t="shared" si="20"/>
        <v>1.2557417083600347E-2</v>
      </c>
      <c r="S18" s="9">
        <f t="shared" si="21"/>
        <v>0.26296871587547221</v>
      </c>
    </row>
    <row r="19" spans="1:19" x14ac:dyDescent="0.25">
      <c r="A19" t="s">
        <v>77</v>
      </c>
      <c r="B19" s="5" t="s">
        <v>78</v>
      </c>
      <c r="C19" t="s">
        <v>79</v>
      </c>
      <c r="D19" s="8">
        <v>45580</v>
      </c>
      <c r="E19" s="2">
        <v>1E-35</v>
      </c>
      <c r="F19" s="1">
        <v>20.399999999999999</v>
      </c>
      <c r="G19" s="1">
        <f t="shared" si="11"/>
        <v>2.0399999999999999E-34</v>
      </c>
      <c r="H19" s="11">
        <f>L19/F19-1</f>
        <v>3.9215686274509887E-2</v>
      </c>
      <c r="I19" s="11">
        <v>0.15</v>
      </c>
      <c r="J19" s="9">
        <f t="shared" si="12"/>
        <v>0.2614379084967326</v>
      </c>
      <c r="K19" s="9">
        <f t="shared" si="13"/>
        <v>0.31503896534571424</v>
      </c>
      <c r="L19" s="12">
        <v>21.2</v>
      </c>
      <c r="M19" s="12">
        <f t="shared" si="15"/>
        <v>18.365401588702561</v>
      </c>
      <c r="N19" s="12">
        <f t="shared" si="16"/>
        <v>0.80000000000000071</v>
      </c>
      <c r="O19" s="12">
        <f t="shared" si="17"/>
        <v>-1.0172992056487189</v>
      </c>
      <c r="P19" s="15">
        <f t="shared" si="18"/>
        <v>-0.21729920564871819</v>
      </c>
      <c r="Q19" s="12">
        <f t="shared" si="19"/>
        <v>83.644420560546479</v>
      </c>
      <c r="R19" s="9">
        <f t="shared" si="20"/>
        <v>1.1955370044988768E-2</v>
      </c>
      <c r="S19" s="9">
        <f t="shared" si="21"/>
        <v>0.27621126178116578</v>
      </c>
    </row>
    <row r="20" spans="1:19" hidden="1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4.0300000000000002E-2</v>
      </c>
      <c r="F20" s="1">
        <v>668.82</v>
      </c>
      <c r="G20" s="1">
        <f t="shared" si="11"/>
        <v>26.953446000000003</v>
      </c>
      <c r="H20" s="11">
        <f>553.57/F20-1</f>
        <v>-0.17231841153075567</v>
      </c>
      <c r="I20" s="11">
        <v>0.28000000000000003</v>
      </c>
      <c r="J20" s="9">
        <f t="shared" si="12"/>
        <v>-0.61542289832412733</v>
      </c>
      <c r="K20" s="9">
        <f t="shared" si="13"/>
        <v>-0.74159938875320708</v>
      </c>
      <c r="L20" s="12">
        <f t="shared" si="14"/>
        <v>553.57000000000005</v>
      </c>
      <c r="M20" s="12">
        <f t="shared" si="15"/>
        <v>460.51884675555289</v>
      </c>
      <c r="N20" s="12">
        <f t="shared" si="16"/>
        <v>-115.25</v>
      </c>
      <c r="O20" s="12">
        <f t="shared" si="17"/>
        <v>-104.15057662222358</v>
      </c>
      <c r="P20" s="15">
        <f t="shared" si="18"/>
        <v>-219.40057662222358</v>
      </c>
      <c r="Q20" s="12">
        <f t="shared" si="19"/>
        <v>302.82769797712137</v>
      </c>
      <c r="R20" s="9">
        <f t="shared" si="20"/>
        <v>3.3022078451871006E-3</v>
      </c>
      <c r="S20" s="9">
        <f t="shared" si="21"/>
        <v>1</v>
      </c>
    </row>
    <row r="21" spans="1:19" hidden="1" x14ac:dyDescent="0.25">
      <c r="A21" t="s">
        <v>39</v>
      </c>
      <c r="B21" s="6" t="s">
        <v>42</v>
      </c>
      <c r="C21" t="s">
        <v>43</v>
      </c>
      <c r="D21" s="8">
        <v>45580</v>
      </c>
      <c r="E21" s="2">
        <v>0.19139999999999999</v>
      </c>
      <c r="F21" s="1">
        <v>135.82</v>
      </c>
      <c r="G21" s="1">
        <f t="shared" si="11"/>
        <v>25.995947999999999</v>
      </c>
      <c r="H21" s="11">
        <v>0.1202</v>
      </c>
      <c r="I21" s="11">
        <v>0.33710000000000001</v>
      </c>
      <c r="J21" s="9">
        <f t="shared" si="12"/>
        <v>0.35657075051913378</v>
      </c>
      <c r="K21" s="9">
        <f t="shared" si="13"/>
        <v>0.42967632720905369</v>
      </c>
      <c r="L21" s="12">
        <f t="shared" si="14"/>
        <v>152.14556400000001</v>
      </c>
      <c r="M21" s="12">
        <f t="shared" si="15"/>
        <v>111.61147177253677</v>
      </c>
      <c r="N21" s="12">
        <f t="shared" si="16"/>
        <v>16.325564000000014</v>
      </c>
      <c r="O21" s="12">
        <f t="shared" si="17"/>
        <v>-12.10426411373161</v>
      </c>
      <c r="P21" s="15">
        <f t="shared" si="18"/>
        <v>4.2212998862684046</v>
      </c>
      <c r="Q21" s="12">
        <f t="shared" si="19"/>
        <v>79.205821468629352</v>
      </c>
      <c r="R21" s="9">
        <f t="shared" si="20"/>
        <v>1.2625334621345541E-2</v>
      </c>
      <c r="S21" s="9">
        <f t="shared" si="21"/>
        <v>0.26155408503819672</v>
      </c>
    </row>
    <row r="22" spans="1:19" hidden="1" x14ac:dyDescent="0.25">
      <c r="A22" t="s">
        <v>39</v>
      </c>
      <c r="B22" s="6" t="s">
        <v>60</v>
      </c>
      <c r="C22" t="s">
        <v>61</v>
      </c>
      <c r="D22" s="8">
        <v>45580</v>
      </c>
      <c r="E22" s="2">
        <v>0.18010000000000001</v>
      </c>
      <c r="F22" s="1">
        <v>133.19999999999999</v>
      </c>
      <c r="G22" s="1">
        <f t="shared" si="11"/>
        <v>23.989319999999999</v>
      </c>
      <c r="H22" s="11">
        <v>5.0000000000000001E-3</v>
      </c>
      <c r="I22" s="11">
        <v>0.1623</v>
      </c>
      <c r="J22" s="9">
        <f t="shared" si="12"/>
        <v>3.0807147258163893E-2</v>
      </c>
      <c r="K22" s="9">
        <f t="shared" si="13"/>
        <v>3.7123353125303585E-2</v>
      </c>
      <c r="L22" s="12">
        <f t="shared" si="14"/>
        <v>133.86599999999999</v>
      </c>
      <c r="M22" s="12">
        <f t="shared" si="15"/>
        <v>115.09548086062384</v>
      </c>
      <c r="N22" s="12">
        <f t="shared" si="16"/>
        <v>0.66599999999999682</v>
      </c>
      <c r="O22" s="12">
        <f t="shared" si="17"/>
        <v>-9.0522595696880757</v>
      </c>
      <c r="P22" s="15">
        <f t="shared" si="18"/>
        <v>-8.3862595696880788</v>
      </c>
      <c r="Q22" s="12">
        <f t="shared" si="19"/>
        <v>91.813380924585843</v>
      </c>
      <c r="R22" s="9">
        <f t="shared" si="20"/>
        <v>1.0891658600627999E-2</v>
      </c>
      <c r="S22" s="9">
        <f t="shared" si="21"/>
        <v>0.30318686678231904</v>
      </c>
    </row>
    <row r="23" spans="1:19" hidden="1" x14ac:dyDescent="0.25">
      <c r="A23" t="s">
        <v>36</v>
      </c>
      <c r="B23" s="3" t="s">
        <v>23</v>
      </c>
      <c r="C23" t="s">
        <v>24</v>
      </c>
      <c r="D23" s="8">
        <v>45482</v>
      </c>
      <c r="E23" s="2">
        <v>0.15210000000000001</v>
      </c>
      <c r="F23" s="1">
        <v>147.01</v>
      </c>
      <c r="G23" s="1">
        <f t="shared" si="11"/>
        <v>22.360220999999999</v>
      </c>
      <c r="H23" s="11">
        <f>193.73/F23-1</f>
        <v>0.3178015101013536</v>
      </c>
      <c r="I23" s="11">
        <v>0.52380000000000004</v>
      </c>
      <c r="J23" s="9">
        <f t="shared" si="12"/>
        <v>0.60672300515722333</v>
      </c>
      <c r="K23" s="9">
        <f t="shared" si="13"/>
        <v>0.73111580832036438</v>
      </c>
      <c r="L23" s="12">
        <f t="shared" si="14"/>
        <v>193.72999999999996</v>
      </c>
      <c r="M23" s="12">
        <f t="shared" si="15"/>
        <v>121.89899177432211</v>
      </c>
      <c r="N23" s="12">
        <f t="shared" si="16"/>
        <v>46.71999999999997</v>
      </c>
      <c r="O23" s="12">
        <f t="shared" si="17"/>
        <v>-12.555504112838939</v>
      </c>
      <c r="P23" s="15">
        <f t="shared" si="18"/>
        <v>34.164495887161031</v>
      </c>
      <c r="Q23" s="12">
        <f t="shared" si="19"/>
        <v>49.262625467736733</v>
      </c>
      <c r="R23" s="9">
        <f t="shared" si="20"/>
        <v>2.0299364690883635E-2</v>
      </c>
      <c r="S23" s="9">
        <f t="shared" si="21"/>
        <v>0.16267542829407408</v>
      </c>
    </row>
    <row r="24" spans="1:19" hidden="1" x14ac:dyDescent="0.25">
      <c r="A24" t="s">
        <v>36</v>
      </c>
      <c r="B24" s="3" t="s">
        <v>62</v>
      </c>
      <c r="C24" t="s">
        <v>62</v>
      </c>
      <c r="D24" s="8">
        <v>45481</v>
      </c>
      <c r="E24" s="2">
        <v>2.8500000000000001E-2</v>
      </c>
      <c r="F24" s="1">
        <v>700.32</v>
      </c>
      <c r="G24" s="1">
        <f t="shared" si="11"/>
        <v>19.959120000000002</v>
      </c>
      <c r="H24" s="11">
        <v>-6.6500000000000004E-2</v>
      </c>
      <c r="I24" s="11">
        <v>0.45340000000000003</v>
      </c>
      <c r="J24" s="9">
        <f t="shared" si="12"/>
        <v>-0.14666960741067489</v>
      </c>
      <c r="K24" s="9">
        <f t="shared" si="13"/>
        <v>-0.1767404032261779</v>
      </c>
      <c r="L24" s="12">
        <f t="shared" si="14"/>
        <v>653.74872000000005</v>
      </c>
      <c r="M24" s="12">
        <f t="shared" si="15"/>
        <v>460.76715573392988</v>
      </c>
      <c r="N24" s="12">
        <f t="shared" si="16"/>
        <v>-46.571280000000002</v>
      </c>
      <c r="O24" s="12">
        <f t="shared" si="17"/>
        <v>-119.77642213303508</v>
      </c>
      <c r="P24" s="15">
        <f t="shared" si="18"/>
        <v>-166.34770213303509</v>
      </c>
      <c r="Q24" s="12">
        <f t="shared" si="19"/>
        <v>249.77482348793285</v>
      </c>
      <c r="R24" s="9">
        <f t="shared" si="20"/>
        <v>4.0036060722041193E-3</v>
      </c>
      <c r="S24" s="9">
        <f t="shared" si="21"/>
        <v>0.82480838165207504</v>
      </c>
    </row>
    <row r="25" spans="1:19" hidden="1" x14ac:dyDescent="0.25">
      <c r="A25" t="s">
        <v>36</v>
      </c>
      <c r="B25" s="3" t="s">
        <v>18</v>
      </c>
      <c r="C25" t="s">
        <v>17</v>
      </c>
      <c r="D25" s="8">
        <v>45483</v>
      </c>
      <c r="E25" s="2">
        <v>9.9999999999999997E-29</v>
      </c>
      <c r="F25" s="1">
        <v>178.12</v>
      </c>
      <c r="G25" s="1">
        <f t="shared" si="11"/>
        <v>1.7812E-26</v>
      </c>
      <c r="H25" s="11">
        <f>190.41/F25-1</f>
        <v>6.8998428026049829E-2</v>
      </c>
      <c r="I25" s="11">
        <v>0.26790000000000003</v>
      </c>
      <c r="J25" s="9">
        <f t="shared" si="12"/>
        <v>0.25755292282959996</v>
      </c>
      <c r="K25" s="9">
        <f t="shared" si="13"/>
        <v>0.31035746421225607</v>
      </c>
      <c r="L25" s="12">
        <f t="shared" si="14"/>
        <v>190.41</v>
      </c>
      <c r="M25" s="12">
        <f t="shared" si="15"/>
        <v>148.56932726072878</v>
      </c>
      <c r="N25" s="12">
        <f t="shared" si="16"/>
        <v>12.289999999999992</v>
      </c>
      <c r="O25" s="12">
        <f t="shared" si="17"/>
        <v>-14.77533636963561</v>
      </c>
      <c r="P25" s="15">
        <f t="shared" si="18"/>
        <v>-2.4853363696356183</v>
      </c>
      <c r="Q25" s="12">
        <f t="shared" si="19"/>
        <v>85.912457724533382</v>
      </c>
      <c r="R25" s="9">
        <f t="shared" si="20"/>
        <v>1.1639755473023063E-2</v>
      </c>
      <c r="S25" s="9">
        <f t="shared" si="21"/>
        <v>0.28370079189725922</v>
      </c>
    </row>
    <row r="26" spans="1:19" hidden="1" x14ac:dyDescent="0.25">
      <c r="A26" t="s">
        <v>36</v>
      </c>
      <c r="B26" s="3" t="s">
        <v>29</v>
      </c>
      <c r="C26" t="s">
        <v>30</v>
      </c>
      <c r="D26" s="8">
        <v>45481</v>
      </c>
      <c r="E26" s="2">
        <v>1E-22</v>
      </c>
      <c r="F26" s="1">
        <v>169.34</v>
      </c>
      <c r="G26" s="1">
        <f t="shared" si="11"/>
        <v>1.6934000000000002E-20</v>
      </c>
      <c r="H26" s="11">
        <f>174.52/F26-1</f>
        <v>3.0589346876107371E-2</v>
      </c>
      <c r="I26" s="11">
        <v>0.4259</v>
      </c>
      <c r="J26" s="9">
        <f t="shared" si="12"/>
        <v>7.1822838403633182E-2</v>
      </c>
      <c r="K26" s="9">
        <f t="shared" si="13"/>
        <v>8.6548247073189144E-2</v>
      </c>
      <c r="L26" s="12">
        <f t="shared" si="14"/>
        <v>174.52000000000004</v>
      </c>
      <c r="M26" s="12">
        <f t="shared" si="15"/>
        <v>121.36365448143965</v>
      </c>
      <c r="N26" s="12">
        <f t="shared" si="16"/>
        <v>5.1800000000000352</v>
      </c>
      <c r="O26" s="12">
        <f t="shared" si="17"/>
        <v>-23.988172759280175</v>
      </c>
      <c r="P26" s="15">
        <f t="shared" si="18"/>
        <v>-18.80817275928014</v>
      </c>
      <c r="Q26" s="12">
        <f t="shared" si="19"/>
        <v>102.2352941141779</v>
      </c>
      <c r="R26" s="9">
        <f t="shared" si="20"/>
        <v>9.7813578829556158E-3</v>
      </c>
      <c r="S26" s="9">
        <f t="shared" si="21"/>
        <v>0.33760219027884886</v>
      </c>
    </row>
    <row r="27" spans="1:19" hidden="1" x14ac:dyDescent="0.25">
      <c r="A27" t="s">
        <v>40</v>
      </c>
      <c r="B27" s="7" t="s">
        <v>26</v>
      </c>
      <c r="C27" t="s">
        <v>27</v>
      </c>
      <c r="D27" s="8">
        <v>45511</v>
      </c>
      <c r="E27" s="2">
        <v>0.1933</v>
      </c>
      <c r="F27" s="1">
        <v>77.53</v>
      </c>
      <c r="G27" s="1">
        <f t="shared" si="11"/>
        <v>14.986549</v>
      </c>
      <c r="H27" s="11">
        <f>83.34/F27-1</f>
        <v>7.4938733393525192E-2</v>
      </c>
      <c r="I27" s="11">
        <v>0.25990000000000002</v>
      </c>
      <c r="J27" s="9">
        <f t="shared" si="12"/>
        <v>0.28833679643526428</v>
      </c>
      <c r="K27" s="9">
        <f t="shared" si="13"/>
        <v>0.34745277202674207</v>
      </c>
      <c r="L27" s="12">
        <f t="shared" si="14"/>
        <v>83.34</v>
      </c>
      <c r="M27" s="12">
        <f t="shared" si="15"/>
        <v>65.428298953629579</v>
      </c>
      <c r="N27" s="12">
        <f t="shared" si="16"/>
        <v>5.8100000000000023</v>
      </c>
      <c r="O27" s="12">
        <f t="shared" si="17"/>
        <v>-6.0508505231852112</v>
      </c>
      <c r="P27" s="15">
        <f t="shared" si="18"/>
        <v>-0.24085052318520894</v>
      </c>
      <c r="Q27" s="12">
        <f t="shared" si="19"/>
        <v>83.667971878082966</v>
      </c>
      <c r="R27" s="9">
        <f t="shared" si="20"/>
        <v>1.1952004782154311E-2</v>
      </c>
      <c r="S27" s="9">
        <f t="shared" si="21"/>
        <v>0.27628903312669928</v>
      </c>
    </row>
    <row r="28" spans="1:19" hidden="1" x14ac:dyDescent="0.25">
      <c r="A28" t="s">
        <v>37</v>
      </c>
      <c r="B28" s="4" t="s">
        <v>8</v>
      </c>
      <c r="C28" t="s">
        <v>28</v>
      </c>
      <c r="D28" s="8">
        <v>45511</v>
      </c>
      <c r="E28" s="2">
        <v>3.2899999999999999E-2</v>
      </c>
      <c r="F28" s="1">
        <v>455.4</v>
      </c>
      <c r="G28" s="1">
        <f t="shared" si="11"/>
        <v>14.982659999999999</v>
      </c>
      <c r="H28" s="11">
        <v>0.17460000000000001</v>
      </c>
      <c r="I28" s="11">
        <v>0.15770000000000001</v>
      </c>
      <c r="J28" s="9">
        <f t="shared" si="12"/>
        <v>1.1071655041217501</v>
      </c>
      <c r="K28" s="9">
        <f t="shared" si="13"/>
        <v>1.3341610514350544</v>
      </c>
      <c r="L28" s="12">
        <f t="shared" si="14"/>
        <v>534.91283999999996</v>
      </c>
      <c r="M28" s="12">
        <f t="shared" si="15"/>
        <v>463.22856270979554</v>
      </c>
      <c r="N28" s="12">
        <f t="shared" si="16"/>
        <v>79.512839999999983</v>
      </c>
      <c r="O28" s="12">
        <f t="shared" si="17"/>
        <v>3.9142813548977813</v>
      </c>
      <c r="P28" s="15">
        <f t="shared" si="18"/>
        <v>83.427121354897764</v>
      </c>
      <c r="Q28" s="12">
        <f t="shared" si="19"/>
        <v>0</v>
      </c>
      <c r="R28" s="9">
        <f t="shared" si="20"/>
        <v>0</v>
      </c>
      <c r="S28" s="9">
        <f t="shared" si="21"/>
        <v>0</v>
      </c>
    </row>
    <row r="29" spans="1:19" hidden="1" x14ac:dyDescent="0.25">
      <c r="A29" t="s">
        <v>40</v>
      </c>
      <c r="B29" s="7" t="s">
        <v>51</v>
      </c>
      <c r="C29" s="14" t="s">
        <v>50</v>
      </c>
      <c r="D29" s="8">
        <v>45511</v>
      </c>
      <c r="E29" s="2">
        <v>1</v>
      </c>
      <c r="F29" s="1">
        <v>10.4</v>
      </c>
      <c r="G29" s="1">
        <f t="shared" si="11"/>
        <v>10.4</v>
      </c>
      <c r="H29" s="11">
        <f>2.89/F29-1</f>
        <v>-0.7221153846153846</v>
      </c>
      <c r="I29" s="13">
        <v>1.8652</v>
      </c>
      <c r="J29" s="9">
        <f t="shared" si="12"/>
        <v>-0.38715171810818388</v>
      </c>
      <c r="K29" s="9">
        <f t="shared" si="13"/>
        <v>-0.46652712839516236</v>
      </c>
      <c r="L29" s="12">
        <f t="shared" si="14"/>
        <v>2.8900000000000006</v>
      </c>
      <c r="M29" s="12">
        <f t="shared" si="15"/>
        <v>2.8991038938481961</v>
      </c>
      <c r="N29" s="12">
        <f t="shared" si="16"/>
        <v>-7.51</v>
      </c>
      <c r="O29" s="12">
        <f t="shared" si="17"/>
        <v>-3.7504480530759023</v>
      </c>
      <c r="P29" s="15">
        <f t="shared" si="18"/>
        <v>-11.260448053075901</v>
      </c>
      <c r="Q29" s="12">
        <f t="shared" si="19"/>
        <v>94.687569407973669</v>
      </c>
      <c r="R29" s="9">
        <f t="shared" si="20"/>
        <v>1.0561048364135003E-2</v>
      </c>
      <c r="S29" s="9">
        <f t="shared" si="21"/>
        <v>0.31267803454070875</v>
      </c>
    </row>
    <row r="30" spans="1:19" hidden="1" x14ac:dyDescent="0.25">
      <c r="A30" t="s">
        <v>40</v>
      </c>
      <c r="B30" s="7" t="s">
        <v>49</v>
      </c>
      <c r="C30" s="14" t="s">
        <v>48</v>
      </c>
      <c r="D30" s="8">
        <v>45511</v>
      </c>
      <c r="E30" s="2">
        <v>1E-22</v>
      </c>
      <c r="F30" s="1">
        <v>20.82</v>
      </c>
      <c r="G30" s="1">
        <f t="shared" si="11"/>
        <v>2.0820000000000001E-21</v>
      </c>
      <c r="H30" s="13">
        <f>19.07/F30-1</f>
        <v>-8.4053794428434192E-2</v>
      </c>
      <c r="I30" s="11">
        <v>0.7389</v>
      </c>
      <c r="J30" s="9">
        <f t="shared" si="12"/>
        <v>-0.11375530440984462</v>
      </c>
      <c r="K30" s="9">
        <f t="shared" si="13"/>
        <v>-0.13707787676978034</v>
      </c>
      <c r="L30" s="12">
        <f t="shared" si="14"/>
        <v>19.070000000000004</v>
      </c>
      <c r="M30" s="12">
        <f t="shared" si="15"/>
        <v>11.421024528231593</v>
      </c>
      <c r="N30" s="12">
        <f t="shared" si="16"/>
        <v>-1.7499999999999964</v>
      </c>
      <c r="O30" s="12">
        <f t="shared" si="17"/>
        <v>-4.6994877358842038</v>
      </c>
      <c r="P30" s="15">
        <f t="shared" si="18"/>
        <v>-6.4494877358842002</v>
      </c>
      <c r="Q30" s="12">
        <f t="shared" si="19"/>
        <v>89.876609090781969</v>
      </c>
      <c r="R30" s="9">
        <f t="shared" si="20"/>
        <v>1.1126365470574514E-2</v>
      </c>
      <c r="S30" s="9">
        <f t="shared" si="21"/>
        <v>0.29679124363839449</v>
      </c>
    </row>
    <row r="31" spans="1:19" x14ac:dyDescent="0.25">
      <c r="A31" t="s">
        <v>88</v>
      </c>
      <c r="B31" s="7" t="s">
        <v>80</v>
      </c>
      <c r="C31" t="s">
        <v>81</v>
      </c>
      <c r="D31" s="8">
        <v>45574</v>
      </c>
      <c r="E31" s="2">
        <v>0</v>
      </c>
      <c r="F31" s="1">
        <v>153.7552</v>
      </c>
      <c r="G31" s="1">
        <f t="shared" si="11"/>
        <v>0</v>
      </c>
      <c r="H31" s="11">
        <v>7.0000000000000007E-2</v>
      </c>
      <c r="I31" s="11">
        <v>0.19</v>
      </c>
      <c r="J31" s="9">
        <f t="shared" si="12"/>
        <v>0.36842105263157898</v>
      </c>
      <c r="K31" s="9">
        <f t="shared" si="13"/>
        <v>0.44395622616481484</v>
      </c>
      <c r="L31" s="12">
        <f t="shared" si="14"/>
        <v>164.51806400000001</v>
      </c>
      <c r="M31" s="12">
        <f t="shared" si="15"/>
        <v>137.28142857142859</v>
      </c>
      <c r="N31" s="12">
        <f t="shared" si="16"/>
        <v>10.762864000000008</v>
      </c>
      <c r="O31" s="12">
        <f t="shared" si="17"/>
        <v>-8.2368857142857053</v>
      </c>
      <c r="P31" s="15">
        <f t="shared" si="18"/>
        <v>2.5259782857143023</v>
      </c>
      <c r="Q31" s="12">
        <f t="shared" si="19"/>
        <v>80.901143069183462</v>
      </c>
      <c r="R31" s="9">
        <f t="shared" si="20"/>
        <v>1.2360764781096351E-2</v>
      </c>
      <c r="S31" s="9">
        <f t="shared" si="21"/>
        <v>0.26715238932766161</v>
      </c>
    </row>
    <row r="32" spans="1:19" x14ac:dyDescent="0.25">
      <c r="A32" t="s">
        <v>88</v>
      </c>
      <c r="B32" s="7" t="s">
        <v>82</v>
      </c>
      <c r="C32" s="14" t="s">
        <v>83</v>
      </c>
      <c r="D32" s="8">
        <f ca="1">TODAY()-20</f>
        <v>45602</v>
      </c>
      <c r="E32" s="2">
        <v>1E-35</v>
      </c>
      <c r="F32" s="1">
        <v>2742.9</v>
      </c>
      <c r="G32" s="1">
        <f t="shared" ref="G32:G33" si="22">E32*F32</f>
        <v>2.7429E-32</v>
      </c>
      <c r="H32" s="11">
        <v>0.1</v>
      </c>
      <c r="I32" s="11">
        <v>0.5</v>
      </c>
      <c r="J32" s="9">
        <f t="shared" ref="J32:J33" si="23">IFERROR(H32/I32,"")</f>
        <v>0.2</v>
      </c>
      <c r="K32" s="9">
        <f t="shared" si="2"/>
        <v>0.2410048084894709</v>
      </c>
      <c r="L32" s="12">
        <f t="shared" ref="L32:L33" si="24">F32/(1-(F32*(1+H32)-F32)/(F32*(1+H32)))</f>
        <v>3017.1900000000005</v>
      </c>
      <c r="M32" s="12">
        <f t="shared" ref="M32:M33" si="25">F32/(1+I32-H32)</f>
        <v>1959.214285714286</v>
      </c>
      <c r="N32" s="12">
        <f t="shared" ref="N32:N33" si="26">L32-F32</f>
        <v>274.29000000000042</v>
      </c>
      <c r="O32" s="12">
        <f t="shared" ref="O32:O33" si="27">0.5*(M32-F32)</f>
        <v>-391.84285714285704</v>
      </c>
      <c r="P32" s="15">
        <f t="shared" ref="P32:P33" si="28">N32+O32</f>
        <v>-117.55285714285662</v>
      </c>
      <c r="Q32" s="12">
        <f t="shared" si="9"/>
        <v>200.97997849775439</v>
      </c>
      <c r="R32" s="9">
        <f t="shared" si="10"/>
        <v>4.9756199969499615E-3</v>
      </c>
      <c r="S32" s="9">
        <f t="shared" si="8"/>
        <v>0.66367766172081932</v>
      </c>
    </row>
    <row r="33" spans="1:19" hidden="1" x14ac:dyDescent="0.25">
      <c r="A33" t="s">
        <v>36</v>
      </c>
      <c r="B33" s="3" t="s">
        <v>86</v>
      </c>
      <c r="C33" t="s">
        <v>87</v>
      </c>
      <c r="D33" s="8">
        <v>45481</v>
      </c>
      <c r="E33" s="2">
        <v>1E-22</v>
      </c>
      <c r="F33" s="1">
        <v>64.349999999999994</v>
      </c>
      <c r="G33" s="1">
        <f t="shared" si="22"/>
        <v>6.4349999999999995E-21</v>
      </c>
      <c r="H33" s="11">
        <f>75.53/F33-1</f>
        <v>0.17373737373737397</v>
      </c>
      <c r="I33" s="11">
        <v>0.67300000000000004</v>
      </c>
      <c r="J33" s="9">
        <f t="shared" si="23"/>
        <v>0.25815360139282906</v>
      </c>
      <c r="K33" s="9">
        <f t="shared" si="2"/>
        <v>0.31108129632272985</v>
      </c>
      <c r="L33" s="12">
        <f t="shared" si="24"/>
        <v>75.53</v>
      </c>
      <c r="M33" s="12">
        <f t="shared" si="25"/>
        <v>42.921099260916144</v>
      </c>
      <c r="N33" s="12">
        <f t="shared" si="26"/>
        <v>11.180000000000007</v>
      </c>
      <c r="O33" s="12">
        <f t="shared" si="27"/>
        <v>-10.714450369541925</v>
      </c>
      <c r="P33" s="15">
        <f t="shared" si="28"/>
        <v>0.46554963045808151</v>
      </c>
      <c r="Q33" s="12">
        <f t="shared" si="9"/>
        <v>82.961571724439679</v>
      </c>
      <c r="R33" s="9">
        <f t="shared" si="10"/>
        <v>1.2053773563036411E-2</v>
      </c>
      <c r="S33" s="9">
        <f t="shared" si="8"/>
        <v>0.27395635299749704</v>
      </c>
    </row>
  </sheetData>
  <autoFilter ref="A1:S33" xr:uid="{00000000-0001-0000-0000-000000000000}">
    <filterColumn colId="0">
      <filters>
        <filter val="Forex"/>
      </filters>
    </filterColumn>
  </autoFilter>
  <conditionalFormatting sqref="R2:R33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2024-11-27T03:00:02Z</dcterms:modified>
</cp:coreProperties>
</file>