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9BD3DF82-4595-4864-947A-4B58CE47344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sitions" sheetId="1" r:id="rId1"/>
    <sheet name="Sheet1" sheetId="2" r:id="rId2"/>
  </sheets>
  <definedNames>
    <definedName name="_xlnm._FilterDatabase" localSheetId="0" hidden="1">Positions!$A$1:$S$34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O5" i="1" s="1"/>
  <c r="J6" i="1"/>
  <c r="J7" i="1"/>
  <c r="M7" i="1"/>
  <c r="O7" i="1" s="1"/>
  <c r="L8" i="1"/>
  <c r="N8" i="1" s="1"/>
  <c r="L11" i="1"/>
  <c r="N11" i="1" s="1"/>
  <c r="L13" i="1"/>
  <c r="N13" i="1" s="1"/>
  <c r="J14" i="1"/>
  <c r="L18" i="1"/>
  <c r="N18" i="1" s="1"/>
  <c r="J19" i="1"/>
  <c r="M19" i="1"/>
  <c r="O19" i="1" s="1"/>
  <c r="M20" i="1"/>
  <c r="O20" i="1" s="1"/>
  <c r="L23" i="1"/>
  <c r="N23" i="1" s="1"/>
  <c r="M23" i="1"/>
  <c r="O23" i="1" s="1"/>
  <c r="L24" i="1"/>
  <c r="N24" i="1" s="1"/>
  <c r="M24" i="1"/>
  <c r="O24" i="1" s="1"/>
  <c r="L25" i="1"/>
  <c r="N25" i="1" s="1"/>
  <c r="M25" i="1"/>
  <c r="O25" i="1" s="1"/>
  <c r="M26" i="1"/>
  <c r="O26" i="1" s="1"/>
  <c r="L29" i="1"/>
  <c r="N29" i="1" s="1"/>
  <c r="J32" i="1"/>
  <c r="M32" i="1"/>
  <c r="O32" i="1" s="1"/>
  <c r="L2" i="1"/>
  <c r="N2" i="1" s="1"/>
  <c r="L9" i="1"/>
  <c r="N9" i="1" s="1"/>
  <c r="J9" i="1"/>
  <c r="G9" i="1"/>
  <c r="M30" i="1"/>
  <c r="O30" i="1" s="1"/>
  <c r="G30" i="1"/>
  <c r="L16" i="1"/>
  <c r="N16" i="1" s="1"/>
  <c r="M15" i="1"/>
  <c r="O15" i="1" s="1"/>
  <c r="M17" i="1"/>
  <c r="O17" i="1" s="1"/>
  <c r="J22" i="1"/>
  <c r="L31" i="1"/>
  <c r="N31" i="1" s="1"/>
  <c r="M34" i="1"/>
  <c r="O34" i="1" s="1"/>
  <c r="J28" i="1"/>
  <c r="G19" i="1"/>
  <c r="D19" i="1"/>
  <c r="M21" i="1"/>
  <c r="O21" i="1" s="1"/>
  <c r="L21" i="1"/>
  <c r="N21" i="1" s="1"/>
  <c r="J21" i="1"/>
  <c r="G21" i="1"/>
  <c r="N20" i="1"/>
  <c r="G20" i="1"/>
  <c r="G7" i="1"/>
  <c r="L6" i="1"/>
  <c r="N6" i="1" s="1"/>
  <c r="M6" i="1"/>
  <c r="O6" i="1" s="1"/>
  <c r="L3" i="1"/>
  <c r="N3" i="1" s="1"/>
  <c r="M3" i="1"/>
  <c r="O3" i="1" s="1"/>
  <c r="L4" i="1"/>
  <c r="N4" i="1" s="1"/>
  <c r="M4" i="1"/>
  <c r="O4" i="1" s="1"/>
  <c r="L10" i="1"/>
  <c r="N10" i="1" s="1"/>
  <c r="M10" i="1"/>
  <c r="O10" i="1" s="1"/>
  <c r="L27" i="1"/>
  <c r="N27" i="1" s="1"/>
  <c r="M27" i="1"/>
  <c r="O27" i="1" s="1"/>
  <c r="M31" i="1"/>
  <c r="O31" i="1" s="1"/>
  <c r="L32" i="1"/>
  <c r="N32" i="1" s="1"/>
  <c r="L33" i="1"/>
  <c r="N33" i="1" s="1"/>
  <c r="M33" i="1"/>
  <c r="O33" i="1" s="1"/>
  <c r="J3" i="1"/>
  <c r="J4" i="1"/>
  <c r="J10" i="1"/>
  <c r="J23" i="1"/>
  <c r="J24" i="1"/>
  <c r="J25" i="1"/>
  <c r="J27" i="1"/>
  <c r="J31" i="1"/>
  <c r="J33" i="1"/>
  <c r="G27" i="1"/>
  <c r="G4" i="1"/>
  <c r="G5" i="1"/>
  <c r="G34" i="1"/>
  <c r="G16" i="1"/>
  <c r="G18" i="1"/>
  <c r="G12" i="1"/>
  <c r="G15" i="1"/>
  <c r="G13" i="1"/>
  <c r="G17" i="1"/>
  <c r="G3" i="1"/>
  <c r="G6" i="1"/>
  <c r="G2" i="1"/>
  <c r="G14" i="1"/>
  <c r="G29" i="1"/>
  <c r="G10" i="1"/>
  <c r="G11" i="1"/>
  <c r="G8" i="1"/>
  <c r="G28" i="1"/>
  <c r="G22" i="1"/>
  <c r="G32" i="1"/>
  <c r="G26" i="1"/>
  <c r="G33" i="1"/>
  <c r="G24" i="1"/>
  <c r="G23" i="1"/>
  <c r="G25" i="1"/>
  <c r="G31" i="1"/>
  <c r="L19" i="1" l="1"/>
  <c r="N19" i="1" s="1"/>
  <c r="L7" i="1"/>
  <c r="N7" i="1" s="1"/>
  <c r="M11" i="1"/>
  <c r="O11" i="1" s="1"/>
  <c r="J20" i="1"/>
  <c r="M16" i="1"/>
  <c r="O16" i="1" s="1"/>
  <c r="M9" i="1"/>
  <c r="O9" i="1" s="1"/>
  <c r="P9" i="1" s="1"/>
  <c r="L14" i="1"/>
  <c r="N14" i="1" s="1"/>
  <c r="J11" i="1"/>
  <c r="J15" i="1"/>
  <c r="M14" i="1"/>
  <c r="O14" i="1" s="1"/>
  <c r="P14" i="1" s="1"/>
  <c r="L17" i="1"/>
  <c r="N17" i="1" s="1"/>
  <c r="P17" i="1" s="1"/>
  <c r="J30" i="1"/>
  <c r="L30" i="1"/>
  <c r="N30" i="1" s="1"/>
  <c r="P30" i="1" s="1"/>
  <c r="M8" i="1"/>
  <c r="O8" i="1" s="1"/>
  <c r="P8" i="1" s="1"/>
  <c r="J8" i="1"/>
  <c r="L34" i="1"/>
  <c r="N34" i="1" s="1"/>
  <c r="P34" i="1" s="1"/>
  <c r="M22" i="1"/>
  <c r="O22" i="1" s="1"/>
  <c r="J16" i="1"/>
  <c r="J18" i="1"/>
  <c r="J17" i="1"/>
  <c r="M18" i="1"/>
  <c r="O18" i="1" s="1"/>
  <c r="P18" i="1" s="1"/>
  <c r="L28" i="1"/>
  <c r="N28" i="1" s="1"/>
  <c r="J34" i="1"/>
  <c r="L15" i="1"/>
  <c r="N15" i="1" s="1"/>
  <c r="P15" i="1" s="1"/>
  <c r="M28" i="1"/>
  <c r="O28" i="1" s="1"/>
  <c r="J13" i="1"/>
  <c r="L22" i="1"/>
  <c r="N22" i="1" s="1"/>
  <c r="M13" i="1"/>
  <c r="O13" i="1" s="1"/>
  <c r="P13" i="1" s="1"/>
  <c r="L26" i="1"/>
  <c r="N26" i="1" s="1"/>
  <c r="P26" i="1" s="1"/>
  <c r="J12" i="1"/>
  <c r="M12" i="1"/>
  <c r="O12" i="1" s="1"/>
  <c r="L12" i="1"/>
  <c r="N12" i="1" s="1"/>
  <c r="J26" i="1"/>
  <c r="M2" i="1"/>
  <c r="O2" i="1" s="1"/>
  <c r="P2" i="1" s="1"/>
  <c r="J2" i="1"/>
  <c r="J29" i="1"/>
  <c r="M29" i="1"/>
  <c r="O29" i="1" s="1"/>
  <c r="P29" i="1" s="1"/>
  <c r="L5" i="1"/>
  <c r="N5" i="1" s="1"/>
  <c r="P5" i="1" s="1"/>
  <c r="J5" i="1"/>
  <c r="P20" i="1"/>
  <c r="P19" i="1"/>
  <c r="P21" i="1"/>
  <c r="P7" i="1"/>
  <c r="P16" i="1"/>
  <c r="P25" i="1"/>
  <c r="P31" i="1"/>
  <c r="P3" i="1"/>
  <c r="P24" i="1"/>
  <c r="P4" i="1"/>
  <c r="P11" i="1"/>
  <c r="P33" i="1"/>
  <c r="P10" i="1"/>
  <c r="P27" i="1"/>
  <c r="P23" i="1"/>
  <c r="P32" i="1"/>
  <c r="P6" i="1"/>
  <c r="K9" i="1" l="1"/>
  <c r="K12" i="1"/>
  <c r="K30" i="1"/>
  <c r="K3" i="1"/>
  <c r="P28" i="1"/>
  <c r="P22" i="1"/>
  <c r="K24" i="1"/>
  <c r="P12" i="1"/>
  <c r="Q5" i="1" s="1"/>
  <c r="K28" i="1"/>
  <c r="K25" i="1"/>
  <c r="K29" i="1"/>
  <c r="K18" i="1"/>
  <c r="K4" i="1"/>
  <c r="K10" i="1"/>
  <c r="K34" i="1"/>
  <c r="K14" i="1"/>
  <c r="K2" i="1"/>
  <c r="K15" i="1"/>
  <c r="K27" i="1"/>
  <c r="K26" i="1"/>
  <c r="K31" i="1"/>
  <c r="K32" i="1"/>
  <c r="K11" i="1"/>
  <c r="K17" i="1"/>
  <c r="K22" i="1"/>
  <c r="K20" i="1"/>
  <c r="K8" i="1"/>
  <c r="K23" i="1"/>
  <c r="K19" i="1"/>
  <c r="K7" i="1"/>
  <c r="K13" i="1"/>
  <c r="K16" i="1"/>
  <c r="K33" i="1"/>
  <c r="K6" i="1"/>
  <c r="K21" i="1"/>
  <c r="K5" i="1"/>
  <c r="Q9" i="1" l="1"/>
  <c r="Q6" i="1"/>
  <c r="Q30" i="1"/>
  <c r="Q23" i="1"/>
  <c r="Q12" i="1"/>
  <c r="Q15" i="1"/>
  <c r="Q13" i="1"/>
  <c r="Q8" i="1"/>
  <c r="Q21" i="1"/>
  <c r="Q16" i="1"/>
  <c r="Q7" i="1"/>
  <c r="Q24" i="1"/>
  <c r="Q10" i="1"/>
  <c r="Q22" i="1"/>
  <c r="Q14" i="1"/>
  <c r="Q19" i="1"/>
  <c r="Q18" i="1"/>
  <c r="Q25" i="1"/>
  <c r="Q28" i="1"/>
  <c r="Q34" i="1"/>
  <c r="Q27" i="1"/>
  <c r="Q29" i="1"/>
  <c r="Q4" i="1"/>
  <c r="Q26" i="1"/>
  <c r="Q20" i="1"/>
  <c r="Q11" i="1"/>
  <c r="Q32" i="1"/>
  <c r="Q17" i="1"/>
  <c r="Q3" i="1"/>
  <c r="Q2" i="1"/>
  <c r="Q31" i="1"/>
  <c r="Q33" i="1"/>
  <c r="R9" i="1" l="1"/>
  <c r="S9" i="1"/>
  <c r="R5" i="1"/>
  <c r="R12" i="1"/>
  <c r="R33" i="1"/>
  <c r="R22" i="1"/>
  <c r="R13" i="1"/>
  <c r="S29" i="1"/>
  <c r="R34" i="1"/>
  <c r="R7" i="1"/>
  <c r="R24" i="1"/>
  <c r="R25" i="1"/>
  <c r="R31" i="1"/>
  <c r="R20" i="1"/>
  <c r="R6" i="1"/>
  <c r="R27" i="1"/>
  <c r="R11" i="1"/>
  <c r="R8" i="1"/>
  <c r="R3" i="1"/>
  <c r="R32" i="1"/>
  <c r="S11" i="1"/>
  <c r="R26" i="1"/>
  <c r="S20" i="1"/>
  <c r="R28" i="1"/>
  <c r="S7" i="1"/>
  <c r="R19" i="1"/>
  <c r="R10" i="1"/>
  <c r="S6" i="1"/>
  <c r="R21" i="1"/>
  <c r="S15" i="1"/>
  <c r="R15" i="1"/>
  <c r="R18" i="1"/>
  <c r="R30" i="1"/>
  <c r="S2" i="1"/>
  <c r="R14" i="1"/>
  <c r="R16" i="1"/>
  <c r="S5" i="1"/>
  <c r="R23" i="1"/>
  <c r="R4" i="1"/>
  <c r="S26" i="1"/>
  <c r="S12" i="1"/>
  <c r="S22" i="1"/>
  <c r="S16" i="1"/>
  <c r="S3" i="1"/>
  <c r="S32" i="1"/>
  <c r="S21" i="1"/>
  <c r="S24" i="1"/>
  <c r="S28" i="1"/>
  <c r="S18" i="1"/>
  <c r="S23" i="1"/>
  <c r="R2" i="1"/>
  <c r="S19" i="1"/>
  <c r="R17" i="1"/>
  <c r="S4" i="1"/>
  <c r="R29" i="1"/>
  <c r="S30" i="1"/>
  <c r="S17" i="1"/>
  <c r="S13" i="1"/>
  <c r="S31" i="1"/>
  <c r="S14" i="1"/>
  <c r="S34" i="1"/>
  <c r="S25" i="1"/>
  <c r="S27" i="1"/>
  <c r="S8" i="1"/>
  <c r="S33" i="1"/>
  <c r="S10" i="1"/>
</calcChain>
</file>

<file path=xl/sharedStrings.xml><?xml version="1.0" encoding="utf-8"?>
<sst xmlns="http://schemas.openxmlformats.org/spreadsheetml/2006/main" count="118" uniqueCount="90">
  <si>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</si>
  <si>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</si>
  <si>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</si>
  <si>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</si>
  <si>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</si>
  <si>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</si>
  <si>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</si>
  <si>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</si>
  <si>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</si>
  <si>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</si>
  <si>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</si>
  <si>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</si>
  <si>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</si>
  <si>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</si>
  <si>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</si>
  <si>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</si>
  <si>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</si>
  <si>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</si>
  <si>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</si>
  <si>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</si>
  <si>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</si>
  <si>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</si>
  <si>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</si>
  <si>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</si>
  <si>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</si>
  <si>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</si>
  <si>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</si>
  <si>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</si>
  <si>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</si>
  <si>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</si>
  <si>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</si>
  <si>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</si>
  <si>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</si>
  <si>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</si>
  <si>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</si>
  <si>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</si>
  <si>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</si>
  <si>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</si>
  <si>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</si>
  <si>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</si>
  <si>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</si>
  <si>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</si>
  <si>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</si>
  <si>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</si>
  <si>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</si>
  <si>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</si>
  <si>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</si>
  <si>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</si>
  <si>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</si>
  <si>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</si>
  <si>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</si>
  <si>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</si>
  <si>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SEDG</t>
  </si>
  <si>
    <t>SolarEdge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</si>
  <si>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</si>
  <si>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</si>
  <si>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</si>
  <si>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</si>
  <si>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</si>
  <si>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</si>
  <si>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</si>
  <si>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</si>
  <si>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</si>
  <si>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</si>
  <si>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</si>
  <si>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</si>
  <si>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</si>
  <si>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</si>
  <si>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Expected Return QoQ%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</si>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</sst>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9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4"/>
  <sheetViews>
    <sheetView tabSelected="1" workbookViewId="0">
      <selection activeCell="J12" sqref="J12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9.42578125" style="2" bestFit="1" customWidth="1"/>
    <col min="6" max="6" width="10.5703125" style="1" bestFit="1" customWidth="1"/>
    <col min="7" max="7" width="9" style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4.28515625" bestFit="1" customWidth="1"/>
    <col min="14" max="14" width="10.5703125" bestFit="1" customWidth="1"/>
    <col min="15" max="15" width="13.28515625" bestFit="1" customWidth="1"/>
    <col min="16" max="16" width="12.42578125" bestFit="1" customWidth="1"/>
    <col min="17" max="17" width="14.7109375" bestFit="1" customWidth="1"/>
    <col min="18" max="18" width="12.85546875" bestFit="1" customWidth="1"/>
    <col min="19" max="19" width="15.85546875" bestFit="1" customWidth="1"/>
  </cols>
  <sheetData>
    <row r="1" spans="1:19" ht="45" customHeight="1" x14ac:dyDescent="0.25">
      <c r="A1" s="15" t="s">
        <v>35</v>
      </c>
      <c r="B1" s="15" t="s">
        <v>0</v>
      </c>
      <c r="C1" s="15" t="s">
        <v>85</v>
      </c>
      <c r="D1" s="16" t="s">
        <v>1</v>
      </c>
      <c r="E1" s="17" t="s">
        <v>2</v>
      </c>
      <c r="F1" s="18" t="s">
        <v>3</v>
      </c>
      <c r="G1" s="18" t="s">
        <v>4</v>
      </c>
      <c r="H1" s="15" t="s">
        <v>68</v>
      </c>
      <c r="I1" s="15" t="s">
        <v>63</v>
      </c>
      <c r="J1" s="15" t="s">
        <v>64</v>
      </c>
      <c r="K1" s="15" t="s">
        <v>65</v>
      </c>
      <c r="L1" s="15" t="s">
        <v>66</v>
      </c>
      <c r="M1" s="15" t="s">
        <v>67</v>
      </c>
      <c r="N1" s="15" t="s">
        <v>69</v>
      </c>
      <c r="O1" s="15" t="s">
        <v>70</v>
      </c>
      <c r="P1" s="15" t="s">
        <v>71</v>
      </c>
      <c r="Q1" s="15" t="s">
        <v>72</v>
      </c>
      <c r="R1" s="15" t="s">
        <v>84</v>
      </c>
      <c r="S1" s="15" t="s">
        <v>73</v>
      </c>
    </row>
    <row r="2" spans="1:19" x14ac:dyDescent="0.25">
      <c r="A2" t="s">
        <v>39</v>
      </c>
      <c r="B2" s="6" t="s">
        <v>33</v>
      </c>
      <c r="C2" t="s">
        <v>34</v>
      </c>
      <c r="D2" s="8">
        <v>45562</v>
      </c>
      <c r="E2" s="2">
        <v>4.0300000000000002E-2</v>
      </c>
      <c r="F2" s="1">
        <v>668.82</v>
      </c>
      <c r="G2" s="1">
        <f>E2*F2</f>
        <v>26.953446000000003</v>
      </c>
      <c r="H2" s="11">
        <v>-5.7799999999999997E-2</v>
      </c>
      <c r="I2" s="11">
        <v>0.29370000000000002</v>
      </c>
      <c r="J2" s="9">
        <f>IFERROR(H2/I2,"")</f>
        <v>-0.1967994552264215</v>
      </c>
      <c r="K2" s="9">
        <f>IFERROR(J2/SUBTOTAL(9,$J$2:$J$1048576),"")</f>
        <v>-4.1798881774999651E-2</v>
      </c>
      <c r="L2" s="12">
        <f>F2/(1-(F2*(1+H2)-F2)/(F2*(1+H2)))</f>
        <v>630.16220400000009</v>
      </c>
      <c r="M2" s="12">
        <f>F2/(1+I2-H2)</f>
        <v>494.87236403995558</v>
      </c>
      <c r="N2" s="12">
        <f>L2-F2</f>
        <v>-38.657795999999962</v>
      </c>
      <c r="O2" s="12">
        <f>0.5*(M2-F2)</f>
        <v>-86.973817980022233</v>
      </c>
      <c r="P2" s="14">
        <f>N2+O2</f>
        <v>-125.63161398002219</v>
      </c>
      <c r="Q2" s="12">
        <f>MAX($P$2:$P$280)-P2</f>
        <v>478.14268564059375</v>
      </c>
      <c r="R2" s="9">
        <f>IFERROR((SUBTOTAL(109,$Q$2:$Q$1048576)/Q2)/SUBTOTAL(109,$Q$2:$Q$1048576),0)</f>
        <v>2.0914259070182067E-3</v>
      </c>
      <c r="S2" s="9">
        <f>Q2/MAX($Q$2:$Q$28)</f>
        <v>0.95220458439427857</v>
      </c>
    </row>
    <row r="3" spans="1:19" x14ac:dyDescent="0.25">
      <c r="A3" t="s">
        <v>39</v>
      </c>
      <c r="B3" s="6" t="s">
        <v>42</v>
      </c>
      <c r="C3" t="s">
        <v>43</v>
      </c>
      <c r="D3" s="8">
        <v>45580</v>
      </c>
      <c r="E3" s="2">
        <v>0.19139999999999999</v>
      </c>
      <c r="F3" s="1">
        <v>135.82</v>
      </c>
      <c r="G3" s="1">
        <f>E3*F3</f>
        <v>25.995947999999999</v>
      </c>
      <c r="H3" s="11">
        <v>0.17030000000000001</v>
      </c>
      <c r="I3" s="11">
        <v>0.2268</v>
      </c>
      <c r="J3" s="9">
        <f>IFERROR(H3/I3,"")</f>
        <v>0.75088183421516752</v>
      </c>
      <c r="K3" s="9">
        <f>IFERROR(J3/SUBTOTAL(9,$J$2:$J$1048576),"")</f>
        <v>0.15948225557456175</v>
      </c>
      <c r="L3" s="12">
        <f>F3/(1-(F3*(1+H3)-F3)/(F3*(1+H3)))</f>
        <v>158.95014600000002</v>
      </c>
      <c r="M3" s="12">
        <f>F3/(1+I3-H3)</f>
        <v>128.55655466161858</v>
      </c>
      <c r="N3" s="12">
        <f>L3-F3</f>
        <v>23.130146000000025</v>
      </c>
      <c r="O3" s="12">
        <f>0.5*(M3-F3)</f>
        <v>-3.6317226691907081</v>
      </c>
      <c r="P3" s="14">
        <f>N3+O3</f>
        <v>19.498423330809317</v>
      </c>
      <c r="Q3" s="12">
        <f>MAX($P$2:$P$280)-P3</f>
        <v>333.01264832976227</v>
      </c>
      <c r="R3" s="9">
        <f>IFERROR((SUBTOTAL(109,$Q$2:$Q$1048576)/Q3)/SUBTOTAL(109,$Q$2:$Q$1048576),0)</f>
        <v>3.0028889443555326E-3</v>
      </c>
      <c r="S3" s="9">
        <f>Q3/MAX($Q$2:$Q$28)</f>
        <v>0.6631831457926588</v>
      </c>
    </row>
    <row r="4" spans="1:19" x14ac:dyDescent="0.25">
      <c r="A4" t="s">
        <v>39</v>
      </c>
      <c r="B4" s="6" t="s">
        <v>60</v>
      </c>
      <c r="C4" t="s">
        <v>61</v>
      </c>
      <c r="D4" s="8">
        <v>45580</v>
      </c>
      <c r="E4" s="2">
        <v>0.18010000000000001</v>
      </c>
      <c r="F4" s="1">
        <v>133.19999999999999</v>
      </c>
      <c r="G4" s="1">
        <f>E4*F4</f>
        <v>23.989319999999999</v>
      </c>
      <c r="H4" s="11">
        <v>2.5100000000000001E-2</v>
      </c>
      <c r="I4" s="11">
        <v>0.19259999999999999</v>
      </c>
      <c r="J4" s="9">
        <f>IFERROR(H4/I4,"")</f>
        <v>0.13032191069574248</v>
      </c>
      <c r="K4" s="9">
        <f>IFERROR(J4/SUBTOTAL(9,$J$2:$J$1048576),"")</f>
        <v>2.7679498053468535E-2</v>
      </c>
      <c r="L4" s="12">
        <f>F4/(1-(F4*(1+H4)-F4)/(F4*(1+H4)))</f>
        <v>136.54331999999997</v>
      </c>
      <c r="M4" s="12">
        <f>F4/(1+I4-H4)</f>
        <v>114.08993576017127</v>
      </c>
      <c r="N4" s="12">
        <f>L4-F4</f>
        <v>3.3433199999999772</v>
      </c>
      <c r="O4" s="12">
        <f>0.5*(M4-F4)</f>
        <v>-9.5550321199143582</v>
      </c>
      <c r="P4" s="14">
        <f>N4+O4</f>
        <v>-6.211712119914381</v>
      </c>
      <c r="Q4" s="12">
        <f>MAX($P$2:$P$280)-P4</f>
        <v>358.722783780486</v>
      </c>
      <c r="R4" s="9">
        <f>IFERROR((SUBTOTAL(109,$Q$2:$Q$1048576)/Q4)/SUBTOTAL(109,$Q$2:$Q$1048576),0)</f>
        <v>2.7876679297067792E-3</v>
      </c>
      <c r="S4" s="9">
        <f>Q4/MAX($Q$2:$Q$28)</f>
        <v>0.71438398934164682</v>
      </c>
    </row>
    <row r="5" spans="1:19" x14ac:dyDescent="0.25">
      <c r="A5" t="s">
        <v>39</v>
      </c>
      <c r="B5" s="6" t="s">
        <v>59</v>
      </c>
      <c r="C5" t="s">
        <v>58</v>
      </c>
      <c r="D5" s="8">
        <v>45574</v>
      </c>
      <c r="E5" s="2">
        <v>9.9999999999999998E-46</v>
      </c>
      <c r="F5" s="1">
        <v>47.42</v>
      </c>
      <c r="G5" s="1">
        <f>E5*F5</f>
        <v>4.7420000000000006E-44</v>
      </c>
      <c r="H5" s="11">
        <v>-8.5000000000000006E-3</v>
      </c>
      <c r="I5" s="11">
        <v>0.42249999999999999</v>
      </c>
      <c r="J5" s="9">
        <f>IFERROR(H5/I5,"")</f>
        <v>-2.0118343195266276E-2</v>
      </c>
      <c r="K5" s="9">
        <f>IFERROR(J5/SUBTOTAL(9,$J$2:$J$1048576),"")</f>
        <v>-4.2730008970822833E-3</v>
      </c>
      <c r="L5" s="12">
        <f>F5/(1-(F5*(1+H5)-F5)/(F5*(1+H5)))</f>
        <v>47.016929999999995</v>
      </c>
      <c r="M5" s="12">
        <f>F5/(1+I5-H5)</f>
        <v>33.137665967854652</v>
      </c>
      <c r="N5" s="12">
        <f>L5-F5</f>
        <v>-0.4030700000000067</v>
      </c>
      <c r="O5" s="12">
        <f>0.5*(M5-F5)</f>
        <v>-7.141167016072675</v>
      </c>
      <c r="P5" s="14">
        <f>N5+O5</f>
        <v>-7.5442370160726817</v>
      </c>
      <c r="Q5" s="12">
        <f>MAX($P$2:$P$280)-P5</f>
        <v>360.05530867664424</v>
      </c>
      <c r="R5" s="9">
        <f>IFERROR((SUBTOTAL(109,$Q$2:$Q$1048576)/Q5)/SUBTOTAL(109,$Q$2:$Q$1048576),0)</f>
        <v>2.7773510788534784E-3</v>
      </c>
      <c r="S5" s="9">
        <f>Q5/MAX($Q$2:$Q$28)</f>
        <v>0.7170376664824808</v>
      </c>
    </row>
    <row r="6" spans="1:19" x14ac:dyDescent="0.25">
      <c r="A6" t="s">
        <v>39</v>
      </c>
      <c r="B6" s="6" t="s">
        <v>42</v>
      </c>
      <c r="C6" t="s">
        <v>41</v>
      </c>
      <c r="D6" s="8">
        <v>45507</v>
      </c>
      <c r="E6" s="2">
        <v>9.9999999999999998E-46</v>
      </c>
      <c r="F6" s="1">
        <v>41.8</v>
      </c>
      <c r="G6" s="1">
        <f>E6*F6</f>
        <v>4.1799999999999994E-44</v>
      </c>
      <c r="H6" s="11">
        <v>-0.18790000000000001</v>
      </c>
      <c r="I6" s="11">
        <v>0.40749999999999997</v>
      </c>
      <c r="J6" s="9">
        <f>IFERROR(H6/I6,"")</f>
        <v>-0.46110429447852769</v>
      </c>
      <c r="K6" s="9">
        <f>IFERROR(J6/SUBTOTAL(9,$J$2:$J$1048576),"")</f>
        <v>-9.7935453473069381E-2</v>
      </c>
      <c r="L6" s="12">
        <f>F6/(1-(F6*(1+H6)-F6)/(F6*(1+H6)))</f>
        <v>33.945779999999999</v>
      </c>
      <c r="M6" s="12">
        <f>F6/(1+I6-H6)</f>
        <v>26.200325937069074</v>
      </c>
      <c r="N6" s="12">
        <f>L6-F6</f>
        <v>-7.854219999999998</v>
      </c>
      <c r="O6" s="12">
        <f>0.5*(M6-F6)</f>
        <v>-7.7998370314654615</v>
      </c>
      <c r="P6" s="14">
        <f>N6+O6</f>
        <v>-15.654057031465459</v>
      </c>
      <c r="Q6" s="12">
        <f>MAX($P$2:$P$280)-P6</f>
        <v>368.16512869203706</v>
      </c>
      <c r="R6" s="9">
        <f>IFERROR((SUBTOTAL(109,$Q$2:$Q$1048576)/Q6)/SUBTOTAL(109,$Q$2:$Q$1048576),0)</f>
        <v>2.7161725053990119E-3</v>
      </c>
      <c r="S6" s="9">
        <f>Q6/MAX($Q$2:$Q$28)</f>
        <v>0.7331880919290682</v>
      </c>
    </row>
    <row r="7" spans="1:19" x14ac:dyDescent="0.25">
      <c r="A7" t="s">
        <v>74</v>
      </c>
      <c r="B7" s="5" t="s">
        <v>75</v>
      </c>
      <c r="C7" t="s">
        <v>76</v>
      </c>
      <c r="D7" s="8">
        <v>45562</v>
      </c>
      <c r="E7" s="2">
        <v>1E-35</v>
      </c>
      <c r="F7" s="1">
        <v>56</v>
      </c>
      <c r="G7" s="1">
        <f>E7*F7</f>
        <v>5.5999999999999999E-34</v>
      </c>
      <c r="H7" s="11">
        <v>-0.37809999999999999</v>
      </c>
      <c r="I7" s="11">
        <v>0.42720000000000002</v>
      </c>
      <c r="J7" s="9">
        <f>IFERROR(H7/I7,"")</f>
        <v>-0.88506554307116103</v>
      </c>
      <c r="K7" s="9">
        <f>IFERROR(J7/SUBTOTAL(9,$J$2:$J$1048576),"")</f>
        <v>-0.18798197360553748</v>
      </c>
      <c r="L7" s="12">
        <f>F7/(1-(F7*(1+H7)-F7)/(F7*(1+H7)))</f>
        <v>34.8264</v>
      </c>
      <c r="M7" s="12">
        <f>F7/(1+I7-H7)</f>
        <v>31.01977510663048</v>
      </c>
      <c r="N7" s="12">
        <f>L7-F7</f>
        <v>-21.1736</v>
      </c>
      <c r="O7" s="12">
        <f>0.5*(M7-F7)</f>
        <v>-12.49011244668476</v>
      </c>
      <c r="P7" s="14">
        <f>N7+O7</f>
        <v>-33.663712446684762</v>
      </c>
      <c r="Q7" s="12">
        <f>MAX($P$2:$P$280)-P7</f>
        <v>386.17478410725636</v>
      </c>
      <c r="R7" s="9">
        <f>IFERROR((SUBTOTAL(109,$Q$2:$Q$1048576)/Q7)/SUBTOTAL(109,$Q$2:$Q$1048576),0)</f>
        <v>2.5895010268776626E-3</v>
      </c>
      <c r="S7" s="9">
        <f>Q7/MAX($Q$2:$Q$28)</f>
        <v>0.76905369641229437</v>
      </c>
    </row>
    <row r="8" spans="1:19" x14ac:dyDescent="0.25">
      <c r="A8" t="s">
        <v>37</v>
      </c>
      <c r="B8" s="4" t="s">
        <v>7</v>
      </c>
      <c r="C8" t="s">
        <v>25</v>
      </c>
      <c r="D8" s="8">
        <v>45511</v>
      </c>
      <c r="E8" s="2">
        <v>0.14610000000000001</v>
      </c>
      <c r="F8" s="1">
        <v>273.45999999999998</v>
      </c>
      <c r="G8" s="1">
        <f>E8*F8</f>
        <v>39.952506</v>
      </c>
      <c r="H8" s="11">
        <v>0.1293</v>
      </c>
      <c r="I8" s="11">
        <v>0.22309999999999999</v>
      </c>
      <c r="J8" s="9">
        <f>IFERROR(H8/I8,"")</f>
        <v>0.57956073509636941</v>
      </c>
      <c r="K8" s="9">
        <f>IFERROR(J8/SUBTOTAL(9,$J$2:$J$1048576),"")</f>
        <v>0.12309480541932255</v>
      </c>
      <c r="L8" s="12">
        <f>F8/(1-(F8*(1+H8)-F8)/(F8*(1+H8)))</f>
        <v>308.818378</v>
      </c>
      <c r="M8" s="12">
        <f>F8/(1+I8-H8)</f>
        <v>250.00914243920275</v>
      </c>
      <c r="N8" s="12">
        <f>L8-F8</f>
        <v>35.358378000000016</v>
      </c>
      <c r="O8" s="12">
        <f>0.5*(M8-F8)</f>
        <v>-11.725428780398616</v>
      </c>
      <c r="P8" s="14">
        <f>N8+O8</f>
        <v>23.6329492196014</v>
      </c>
      <c r="Q8" s="12">
        <f>MAX($P$2:$P$280)-P8</f>
        <v>328.87812244097017</v>
      </c>
      <c r="R8" s="9">
        <f>IFERROR((SUBTOTAL(109,$Q$2:$Q$1048576)/Q8)/SUBTOTAL(109,$Q$2:$Q$1048576),0)</f>
        <v>3.040640078391011E-3</v>
      </c>
      <c r="S8" s="9">
        <f>Q8/MAX($Q$2:$Q$28)</f>
        <v>0.65494938080192144</v>
      </c>
    </row>
    <row r="9" spans="1:19" x14ac:dyDescent="0.25">
      <c r="A9" t="s">
        <v>37</v>
      </c>
      <c r="B9" s="4" t="s">
        <v>88</v>
      </c>
      <c r="C9" t="s">
        <v>89</v>
      </c>
      <c r="D9" s="8">
        <v>45623</v>
      </c>
      <c r="E9" s="2">
        <v>1.9595</v>
      </c>
      <c r="F9" s="1">
        <v>15.3</v>
      </c>
      <c r="G9" s="1">
        <f>E9*F9</f>
        <v>29.980350000000001</v>
      </c>
      <c r="H9" s="11">
        <v>0.1077</v>
      </c>
      <c r="I9" s="11">
        <v>0.33939999999999998</v>
      </c>
      <c r="J9" s="9">
        <f>IFERROR(H9/I9,"")</f>
        <v>0.31732469063052449</v>
      </c>
      <c r="K9" s="9">
        <f>IFERROR(J9/SUBTOTAL(9,$J$2:$J$1048576),"")</f>
        <v>6.7397631831314572E-2</v>
      </c>
      <c r="L9" s="12">
        <f>F9/(1-(F9*(1+H9)-F9)/(F9*(1+H9)))</f>
        <v>16.94781</v>
      </c>
      <c r="M9" s="12">
        <f>F9/(1+I9-H9)</f>
        <v>12.421855971421612</v>
      </c>
      <c r="N9" s="12">
        <f>L9-F9</f>
        <v>1.6478099999999998</v>
      </c>
      <c r="O9" s="12">
        <f>0.5*(M9-F9)</f>
        <v>-1.4390720142891942</v>
      </c>
      <c r="P9" s="14">
        <f>N9+O9</f>
        <v>0.2087379857108056</v>
      </c>
      <c r="Q9" s="12">
        <f>MAX($P$2:$P$280)-P9</f>
        <v>352.30233367486079</v>
      </c>
      <c r="R9" s="9">
        <f>IFERROR((SUBTOTAL(109,$Q$2:$Q$1048576)/Q9)/SUBTOTAL(109,$Q$2:$Q$1048576),0)</f>
        <v>2.8384711210085204E-3</v>
      </c>
      <c r="S9" s="9">
        <f>Q9/MAX($Q$2:$Q$28)</f>
        <v>0.70159788551102908</v>
      </c>
    </row>
    <row r="10" spans="1:19" x14ac:dyDescent="0.25">
      <c r="A10" t="s">
        <v>37</v>
      </c>
      <c r="B10" s="4" t="s">
        <v>8</v>
      </c>
      <c r="C10" t="s">
        <v>28</v>
      </c>
      <c r="D10" s="8">
        <v>45511</v>
      </c>
      <c r="E10" s="2">
        <v>3.2899999999999999E-2</v>
      </c>
      <c r="F10" s="1">
        <v>455.4</v>
      </c>
      <c r="G10" s="1">
        <f>E10*F10</f>
        <v>14.982659999999999</v>
      </c>
      <c r="H10" s="11">
        <v>0.1308</v>
      </c>
      <c r="I10" s="11">
        <v>0.2319</v>
      </c>
      <c r="J10" s="9">
        <f>IFERROR(H10/I10,"")</f>
        <v>0.56403622250970242</v>
      </c>
      <c r="K10" s="9">
        <f>IFERROR(J10/SUBTOTAL(9,$J$2:$J$1048576),"")</f>
        <v>0.11979750327243395</v>
      </c>
      <c r="L10" s="12">
        <f>F10/(1-(F10*(1+H10)-F10)/(F10*(1+H10)))</f>
        <v>514.96632</v>
      </c>
      <c r="M10" s="12">
        <f>F10/(1+I10-H10)</f>
        <v>413.58641358641358</v>
      </c>
      <c r="N10" s="12">
        <f>L10-F10</f>
        <v>59.566320000000019</v>
      </c>
      <c r="O10" s="12">
        <f>0.5*(M10-F10)</f>
        <v>-20.906793206793196</v>
      </c>
      <c r="P10" s="14">
        <f>N10+O10</f>
        <v>38.659526793206823</v>
      </c>
      <c r="Q10" s="12">
        <f>MAX($P$2:$P$280)-P10</f>
        <v>313.85154486736474</v>
      </c>
      <c r="R10" s="9">
        <f>IFERROR((SUBTOTAL(109,$Q$2:$Q$1048576)/Q10)/SUBTOTAL(109,$Q$2:$Q$1048576),0)</f>
        <v>3.186219779235451E-3</v>
      </c>
      <c r="S10" s="9">
        <f>Q10/MAX($Q$2:$Q$28)</f>
        <v>0.6250244724366002</v>
      </c>
    </row>
    <row r="11" spans="1:19" x14ac:dyDescent="0.25">
      <c r="A11" t="s">
        <v>40</v>
      </c>
      <c r="B11" s="7" t="s">
        <v>26</v>
      </c>
      <c r="C11" t="s">
        <v>27</v>
      </c>
      <c r="D11" s="8">
        <v>45511</v>
      </c>
      <c r="E11" s="2">
        <v>0.1933</v>
      </c>
      <c r="F11" s="1">
        <v>77.53</v>
      </c>
      <c r="G11" s="1">
        <f>E11*F11</f>
        <v>14.986549</v>
      </c>
      <c r="H11" s="11">
        <v>-2.6599999999999999E-2</v>
      </c>
      <c r="I11" s="11">
        <v>0.2873</v>
      </c>
      <c r="J11" s="9">
        <f>IFERROR(H11/I11,"")</f>
        <v>-9.2586146884789416E-2</v>
      </c>
      <c r="K11" s="9">
        <f>IFERROR(J11/SUBTOTAL(9,$J$2:$J$1048576),"")</f>
        <v>-1.9664675408717771E-2</v>
      </c>
      <c r="L11" s="12">
        <f>F11/(1-(F11*(1+H11)-F11)/(F11*(1+H11)))</f>
        <v>75.467702000000003</v>
      </c>
      <c r="M11" s="12">
        <f>F11/(1+I11-H11)</f>
        <v>59.007534820001517</v>
      </c>
      <c r="N11" s="12">
        <f>L11-F11</f>
        <v>-2.0622979999999984</v>
      </c>
      <c r="O11" s="12">
        <f>0.5*(M11-F11)</f>
        <v>-9.261232589999242</v>
      </c>
      <c r="P11" s="14">
        <f>N11+O11</f>
        <v>-11.32353058999924</v>
      </c>
      <c r="Q11" s="12">
        <f>MAX($P$2:$P$280)-P11</f>
        <v>363.83460225057081</v>
      </c>
      <c r="R11" s="9">
        <f>IFERROR((SUBTOTAL(109,$Q$2:$Q$1048576)/Q11)/SUBTOTAL(109,$Q$2:$Q$1048576),0)</f>
        <v>2.7485016373217457E-3</v>
      </c>
      <c r="S11" s="9">
        <f>Q11/MAX($Q$2:$Q$28)</f>
        <v>0.72456399863172904</v>
      </c>
    </row>
    <row r="12" spans="1:19" x14ac:dyDescent="0.25">
      <c r="A12" t="s">
        <v>40</v>
      </c>
      <c r="B12" s="7" t="s">
        <v>51</v>
      </c>
      <c r="C12" s="13" t="s">
        <v>50</v>
      </c>
      <c r="D12" s="8">
        <v>45511</v>
      </c>
      <c r="E12" s="2">
        <v>1</v>
      </c>
      <c r="F12" s="1">
        <v>10.4</v>
      </c>
      <c r="G12" s="1">
        <f>E12*F12</f>
        <v>10.4</v>
      </c>
      <c r="H12" s="11">
        <v>-1.7699</v>
      </c>
      <c r="I12" s="11">
        <v>1.4341999999999999</v>
      </c>
      <c r="J12" s="9">
        <f>IFERROR(H12/I12,"")</f>
        <v>-1.2340677729744807</v>
      </c>
      <c r="K12" s="9">
        <f>IFERROR(J12/SUBTOTAL(9,$J$2:$J$1048576),"")</f>
        <v>-0.26210770190166738</v>
      </c>
      <c r="L12" s="12">
        <f>F12/(1-(F12*(1+H12)-F12)/(F12*(1+H12)))</f>
        <v>-8.0069600000000012</v>
      </c>
      <c r="M12" s="12">
        <f>F12/(1+I12-H12)</f>
        <v>2.4737756000095148</v>
      </c>
      <c r="N12" s="12">
        <f>L12-F12</f>
        <v>-18.406960000000002</v>
      </c>
      <c r="O12" s="12">
        <f>0.5*(M12-F12)</f>
        <v>-3.9631121999952428</v>
      </c>
      <c r="P12" s="14">
        <f>N12+O12</f>
        <v>-22.370072199995246</v>
      </c>
      <c r="Q12" s="12">
        <f>MAX($P$2:$P$280)-P12</f>
        <v>374.88114386056685</v>
      </c>
      <c r="R12" s="9">
        <f>IFERROR((SUBTOTAL(109,$Q$2:$Q$1048576)/Q12)/SUBTOTAL(109,$Q$2:$Q$1048576),0)</f>
        <v>2.6675121338509884E-3</v>
      </c>
      <c r="S12" s="9">
        <f>Q12/MAX($Q$2:$Q$28)</f>
        <v>0.74656280333716563</v>
      </c>
    </row>
    <row r="13" spans="1:19" x14ac:dyDescent="0.25">
      <c r="A13" t="s">
        <v>40</v>
      </c>
      <c r="B13" s="7" t="s">
        <v>47</v>
      </c>
      <c r="C13" t="s">
        <v>46</v>
      </c>
      <c r="D13" s="8">
        <v>45511</v>
      </c>
      <c r="E13" s="2">
        <v>1E-22</v>
      </c>
      <c r="F13" s="1">
        <v>187.36</v>
      </c>
      <c r="G13" s="1">
        <f>E13*F13</f>
        <v>1.8736000000000003E-20</v>
      </c>
      <c r="H13" s="11">
        <v>0.2681</v>
      </c>
      <c r="I13" s="11">
        <v>0.52139999999999997</v>
      </c>
      <c r="J13" s="9">
        <f>IFERROR(H13/I13,"")</f>
        <v>0.51419255849635603</v>
      </c>
      <c r="K13" s="9">
        <f>IFERROR(J13/SUBTOTAL(9,$J$2:$J$1048576),"")</f>
        <v>0.10921104399118407</v>
      </c>
      <c r="L13" s="12">
        <f>F13/(1-(F13*(1+H13)-F13)/(F13*(1+H13)))</f>
        <v>237.59121600000003</v>
      </c>
      <c r="M13" s="12">
        <f>F13/(1+I13-H13)</f>
        <v>149.49333758876568</v>
      </c>
      <c r="N13" s="12">
        <f>L13-F13</f>
        <v>50.231216000000018</v>
      </c>
      <c r="O13" s="12">
        <f>0.5*(M13-F13)</f>
        <v>-18.933331205617165</v>
      </c>
      <c r="P13" s="14">
        <f>N13+O13</f>
        <v>31.297884794382853</v>
      </c>
      <c r="Q13" s="12">
        <f>MAX($P$2:$P$280)-P13</f>
        <v>321.21318686618872</v>
      </c>
      <c r="R13" s="9">
        <f>IFERROR((SUBTOTAL(109,$Q$2:$Q$1048576)/Q13)/SUBTOTAL(109,$Q$2:$Q$1048576),0)</f>
        <v>3.1131972188196025E-3</v>
      </c>
      <c r="S13" s="9">
        <f>Q13/MAX($Q$2:$Q$28)</f>
        <v>0.63968492729759696</v>
      </c>
    </row>
    <row r="14" spans="1:19" x14ac:dyDescent="0.25">
      <c r="A14" t="s">
        <v>40</v>
      </c>
      <c r="B14" s="7" t="s">
        <v>31</v>
      </c>
      <c r="C14" s="13" t="s">
        <v>32</v>
      </c>
      <c r="D14" s="8">
        <v>45511</v>
      </c>
      <c r="E14" s="2">
        <v>1E-22</v>
      </c>
      <c r="F14" s="1">
        <v>113.58</v>
      </c>
      <c r="G14" s="1">
        <f>E14*F14</f>
        <v>1.1358E-20</v>
      </c>
      <c r="H14" s="11">
        <v>8.5599999999999996E-2</v>
      </c>
      <c r="I14" s="11">
        <v>0.1895</v>
      </c>
      <c r="J14" s="9">
        <f>IFERROR(H14/I14,"")</f>
        <v>0.45171503957783637</v>
      </c>
      <c r="K14" s="9">
        <f>IFERROR(J14/SUBTOTAL(9,$J$2:$J$1048576),"")</f>
        <v>9.5941238829041028E-2</v>
      </c>
      <c r="L14" s="12">
        <f>F14/(1-(F14*(1+H14)-F14)/(F14*(1+H14)))</f>
        <v>123.30244799999998</v>
      </c>
      <c r="M14" s="12">
        <f>F14/(1+I14-H14)</f>
        <v>102.88975450674879</v>
      </c>
      <c r="N14" s="12">
        <f>L14-F14</f>
        <v>9.7224479999999858</v>
      </c>
      <c r="O14" s="12">
        <f>0.5*(M14-F14)</f>
        <v>-5.3451227466256057</v>
      </c>
      <c r="P14" s="14">
        <f>N14+O14</f>
        <v>4.3773252533743801</v>
      </c>
      <c r="Q14" s="12">
        <f>MAX($P$2:$P$280)-P14</f>
        <v>348.13374640719724</v>
      </c>
      <c r="R14" s="9">
        <f>IFERROR((SUBTOTAL(109,$Q$2:$Q$1048576)/Q14)/SUBTOTAL(109,$Q$2:$Q$1048576),0)</f>
        <v>2.8724592496998051E-3</v>
      </c>
      <c r="S14" s="9">
        <f>Q14/MAX($Q$2:$Q$28)</f>
        <v>0.69329628846495295</v>
      </c>
    </row>
    <row r="15" spans="1:19" x14ac:dyDescent="0.25">
      <c r="A15" t="s">
        <v>40</v>
      </c>
      <c r="B15" s="7" t="s">
        <v>49</v>
      </c>
      <c r="C15" s="13" t="s">
        <v>48</v>
      </c>
      <c r="D15" s="8">
        <v>45511</v>
      </c>
      <c r="E15" s="2">
        <v>1E-22</v>
      </c>
      <c r="F15" s="1">
        <v>20.82</v>
      </c>
      <c r="G15" s="1">
        <f>E15*F15</f>
        <v>2.0820000000000001E-21</v>
      </c>
      <c r="H15" s="11">
        <v>-0.20630000000000001</v>
      </c>
      <c r="I15" s="11">
        <v>0.70250000000000001</v>
      </c>
      <c r="J15" s="9">
        <f>IFERROR(H15/I15,"")</f>
        <v>-0.29366548042704627</v>
      </c>
      <c r="K15" s="9">
        <f>IFERROR(J15/SUBTOTAL(9,$J$2:$J$1048576),"")</f>
        <v>-6.2372574576723745E-2</v>
      </c>
      <c r="L15" s="12">
        <f>F15/(1-(F15*(1+H15)-F15)/(F15*(1+H15)))</f>
        <v>16.524833999999998</v>
      </c>
      <c r="M15" s="12">
        <f>F15/(1+I15-H15)</f>
        <v>10.907376362112322</v>
      </c>
      <c r="N15" s="12">
        <f>L15-F15</f>
        <v>-4.2951660000000018</v>
      </c>
      <c r="O15" s="12">
        <f>0.5*(M15-F15)</f>
        <v>-4.9563118189438393</v>
      </c>
      <c r="P15" s="14">
        <f>N15+O15</f>
        <v>-9.2514778189438402</v>
      </c>
      <c r="Q15" s="12">
        <f>MAX($P$2:$P$280)-P15</f>
        <v>361.76254947951543</v>
      </c>
      <c r="R15" s="9">
        <f>IFERROR((SUBTOTAL(109,$Q$2:$Q$1048576)/Q15)/SUBTOTAL(109,$Q$2:$Q$1048576),0)</f>
        <v>2.7642441193505142E-3</v>
      </c>
      <c r="S15" s="9">
        <f>Q15/MAX($Q$2:$Q$28)</f>
        <v>0.72043757736260006</v>
      </c>
    </row>
    <row r="16" spans="1:19" x14ac:dyDescent="0.25">
      <c r="A16" t="s">
        <v>40</v>
      </c>
      <c r="B16" s="7" t="s">
        <v>54</v>
      </c>
      <c r="C16" t="s">
        <v>55</v>
      </c>
      <c r="D16" s="8">
        <v>45511</v>
      </c>
      <c r="E16" s="2">
        <v>1E-22</v>
      </c>
      <c r="F16" s="1">
        <v>13.04</v>
      </c>
      <c r="G16" s="1">
        <f>E16*F16</f>
        <v>1.304E-21</v>
      </c>
      <c r="H16" s="11">
        <v>-3.5999999999999999E-3</v>
      </c>
      <c r="I16" s="11">
        <v>0.39429999999999998</v>
      </c>
      <c r="J16" s="9">
        <f>IFERROR(H16/I16,"")</f>
        <v>-9.1301039817397924E-3</v>
      </c>
      <c r="K16" s="9">
        <f>IFERROR(J16/SUBTOTAL(9,$J$2:$J$1048576),"")</f>
        <v>-1.9391727303671891E-3</v>
      </c>
      <c r="L16" s="12">
        <f>F16/(1-(F16*(1+H16)-F16)/(F16*(1+H16)))</f>
        <v>12.993056000000001</v>
      </c>
      <c r="M16" s="12">
        <f>F16/(1+I16-H16)</f>
        <v>9.3282781314829393</v>
      </c>
      <c r="N16" s="12">
        <f>L16-F16</f>
        <v>-4.6943999999998098E-2</v>
      </c>
      <c r="O16" s="12">
        <f>0.5*(M16-F16)</f>
        <v>-1.8558609342585299</v>
      </c>
      <c r="P16" s="14">
        <f>N16+O16</f>
        <v>-1.902804934258528</v>
      </c>
      <c r="Q16" s="12">
        <f>MAX($P$2:$P$280)-P16</f>
        <v>354.41387659483013</v>
      </c>
      <c r="R16" s="9">
        <f>IFERROR((SUBTOTAL(109,$Q$2:$Q$1048576)/Q16)/SUBTOTAL(109,$Q$2:$Q$1048576),0)</f>
        <v>2.8215599502138321E-3</v>
      </c>
      <c r="S16" s="9">
        <f>Q16/MAX($Q$2:$Q$28)</f>
        <v>0.70580295004285676</v>
      </c>
    </row>
    <row r="17" spans="1:19" x14ac:dyDescent="0.25">
      <c r="A17" t="s">
        <v>40</v>
      </c>
      <c r="B17" s="7" t="s">
        <v>45</v>
      </c>
      <c r="C17" t="s">
        <v>44</v>
      </c>
      <c r="D17" s="8">
        <v>45511</v>
      </c>
      <c r="E17" s="2">
        <v>1E-22</v>
      </c>
      <c r="F17" s="1">
        <v>11.05</v>
      </c>
      <c r="G17" s="1">
        <f>E17*F17</f>
        <v>1.1050000000000002E-21</v>
      </c>
      <c r="H17" s="11">
        <v>-0.31009999999999999</v>
      </c>
      <c r="I17" s="11">
        <v>0.63170000000000004</v>
      </c>
      <c r="J17" s="9">
        <f>IFERROR(H17/I17,"")</f>
        <v>-0.49089757796422345</v>
      </c>
      <c r="K17" s="9">
        <f>IFERROR(J17/SUBTOTAL(9,$J$2:$J$1048576),"")</f>
        <v>-0.10426334667112155</v>
      </c>
      <c r="L17" s="12">
        <f>F17/(1-(F17*(1+H17)-F17)/(F17*(1+H17)))</f>
        <v>7.6233950000000004</v>
      </c>
      <c r="M17" s="12">
        <f>F17/(1+I17-H17)</f>
        <v>5.690596353898445</v>
      </c>
      <c r="N17" s="12">
        <f>L17-F17</f>
        <v>-3.4266050000000003</v>
      </c>
      <c r="O17" s="12">
        <f>0.5*(M17-F17)</f>
        <v>-2.6797018230507779</v>
      </c>
      <c r="P17" s="14">
        <f>N17+O17</f>
        <v>-6.1063068230507778</v>
      </c>
      <c r="Q17" s="12">
        <f>MAX($P$2:$P$280)-P17</f>
        <v>358.61737848362236</v>
      </c>
      <c r="R17" s="9">
        <f>IFERROR((SUBTOTAL(109,$Q$2:$Q$1048576)/Q17)/SUBTOTAL(109,$Q$2:$Q$1048576),0)</f>
        <v>2.7884872847724219E-3</v>
      </c>
      <c r="S17" s="9">
        <f>Q17/MAX($Q$2:$Q$28)</f>
        <v>0.71417407834665059</v>
      </c>
    </row>
    <row r="18" spans="1:19" x14ac:dyDescent="0.25">
      <c r="A18" t="s">
        <v>40</v>
      </c>
      <c r="B18" s="7" t="s">
        <v>53</v>
      </c>
      <c r="C18" t="s">
        <v>52</v>
      </c>
      <c r="D18" s="8">
        <v>45511</v>
      </c>
      <c r="E18" s="2">
        <v>1E-22</v>
      </c>
      <c r="F18" s="1">
        <v>10.47</v>
      </c>
      <c r="G18" s="1">
        <f>E18*F18</f>
        <v>1.0470000000000001E-21</v>
      </c>
      <c r="H18" s="11">
        <v>-1.0165999999999999</v>
      </c>
      <c r="I18" s="11">
        <v>0.75790000000000002</v>
      </c>
      <c r="J18" s="9">
        <f>IFERROR(H18/I18,"")</f>
        <v>-1.3413379073756431</v>
      </c>
      <c r="K18" s="9">
        <f>IFERROR(J18/SUBTOTAL(9,$J$2:$J$1048576),"")</f>
        <v>-0.28489115758076899</v>
      </c>
      <c r="L18" s="12">
        <f>F18/(1-(F18*(1+H18)-F18)/(F18*(1+H18)))</f>
        <v>-0.17380199999999946</v>
      </c>
      <c r="M18" s="12">
        <f>F18/(1+I18-H18)</f>
        <v>3.7736529104343131</v>
      </c>
      <c r="N18" s="12">
        <f>L18-F18</f>
        <v>-10.643802000000001</v>
      </c>
      <c r="O18" s="12">
        <f>0.5*(M18-F18)</f>
        <v>-3.3481735447828438</v>
      </c>
      <c r="P18" s="14">
        <f>N18+O18</f>
        <v>-13.991975544782845</v>
      </c>
      <c r="Q18" s="12">
        <f>MAX($P$2:$P$280)-P18</f>
        <v>366.50304720535445</v>
      </c>
      <c r="R18" s="9">
        <f>IFERROR((SUBTOTAL(109,$Q$2:$Q$1048576)/Q18)/SUBTOTAL(109,$Q$2:$Q$1048576),0)</f>
        <v>2.7284902748426331E-3</v>
      </c>
      <c r="S18" s="9">
        <f>Q18/MAX($Q$2:$Q$28)</f>
        <v>0.7298781142617623</v>
      </c>
    </row>
    <row r="19" spans="1:19" x14ac:dyDescent="0.25">
      <c r="A19" t="s">
        <v>77</v>
      </c>
      <c r="B19" s="7" t="s">
        <v>82</v>
      </c>
      <c r="C19" s="13" t="s">
        <v>83</v>
      </c>
      <c r="D19" s="8">
        <f ca="1">TODAY()-20</f>
        <v>45603</v>
      </c>
      <c r="E19" s="2">
        <v>1E-35</v>
      </c>
      <c r="F19" s="1">
        <v>2742.9</v>
      </c>
      <c r="G19" s="1">
        <f>E19*F19</f>
        <v>2.7429E-32</v>
      </c>
      <c r="H19" s="11">
        <v>0.1343</v>
      </c>
      <c r="I19" s="11">
        <v>0.14599999999999999</v>
      </c>
      <c r="J19" s="9">
        <f>IFERROR(H19/I19,"")</f>
        <v>0.91986301369863022</v>
      </c>
      <c r="K19" s="9">
        <f>IFERROR(J19/SUBTOTAL(9,$J$2:$J$1048576),"")</f>
        <v>0.19537272252378618</v>
      </c>
      <c r="L19" s="12">
        <f>F19/(1-(F19*(1+H19)-F19)/(F19*(1+H19)))</f>
        <v>3111.2714700000001</v>
      </c>
      <c r="M19" s="12">
        <f>F19/(1+I19-H19)</f>
        <v>2711.1792033211432</v>
      </c>
      <c r="N19" s="12">
        <f>L19-F19</f>
        <v>368.37147000000004</v>
      </c>
      <c r="O19" s="12">
        <f>0.5*(M19-F19)</f>
        <v>-15.860398339428457</v>
      </c>
      <c r="P19" s="14">
        <f>N19+O19</f>
        <v>352.51107166057159</v>
      </c>
      <c r="Q19" s="12">
        <f>MAX($P$2:$P$280)-P19</f>
        <v>0</v>
      </c>
      <c r="R19" s="9">
        <f>IFERROR((SUBTOTAL(109,$Q$2:$Q$1048576)/Q19)/SUBTOTAL(109,$Q$2:$Q$1048576),0)</f>
        <v>0</v>
      </c>
      <c r="S19" s="9">
        <f>Q19/MAX($Q$2:$Q$28)</f>
        <v>0</v>
      </c>
    </row>
    <row r="20" spans="1:19" x14ac:dyDescent="0.25">
      <c r="A20" t="s">
        <v>77</v>
      </c>
      <c r="B20" s="5" t="s">
        <v>78</v>
      </c>
      <c r="C20" t="s">
        <v>79</v>
      </c>
      <c r="D20" s="8">
        <v>45580</v>
      </c>
      <c r="E20" s="2">
        <v>1E-35</v>
      </c>
      <c r="F20" s="1">
        <v>20.399999999999999</v>
      </c>
      <c r="G20" s="1">
        <f>E20*F20</f>
        <v>2.0399999999999999E-34</v>
      </c>
      <c r="H20" s="11">
        <v>-1.1999999999999999E-3</v>
      </c>
      <c r="I20" s="11">
        <v>0.115</v>
      </c>
      <c r="J20" s="9">
        <f>IFERROR(H20/I20,"")</f>
        <v>-1.0434782608695651E-2</v>
      </c>
      <c r="K20" s="9">
        <f>IFERROR(J20/SUBTOTAL(9,$J$2:$J$1048576),"")</f>
        <v>-2.2162777031413988E-3</v>
      </c>
      <c r="L20" s="12">
        <v>21.2</v>
      </c>
      <c r="M20" s="12">
        <f>F20/(1+I20-H20)</f>
        <v>18.276294570865435</v>
      </c>
      <c r="N20" s="12">
        <f>L20-F20</f>
        <v>0.80000000000000071</v>
      </c>
      <c r="O20" s="12">
        <f>0.5*(M20-F20)</f>
        <v>-1.0618527145672818</v>
      </c>
      <c r="P20" s="14">
        <f>N20+O20</f>
        <v>-0.2618527145672811</v>
      </c>
      <c r="Q20" s="12">
        <f>MAX($P$2:$P$280)-P20</f>
        <v>352.77292437513887</v>
      </c>
      <c r="R20" s="9">
        <f>IFERROR((SUBTOTAL(109,$Q$2:$Q$1048576)/Q20)/SUBTOTAL(109,$Q$2:$Q$1048576),0)</f>
        <v>2.8346846679667501E-3</v>
      </c>
      <c r="S20" s="9">
        <f>Q20/MAX($Q$2:$Q$28)</f>
        <v>0.70253505057835153</v>
      </c>
    </row>
    <row r="21" spans="1:19" x14ac:dyDescent="0.25">
      <c r="A21" t="s">
        <v>77</v>
      </c>
      <c r="B21" s="7" t="s">
        <v>80</v>
      </c>
      <c r="C21" t="s">
        <v>81</v>
      </c>
      <c r="D21" s="8">
        <v>45574</v>
      </c>
      <c r="E21" s="2">
        <v>0</v>
      </c>
      <c r="F21" s="1">
        <v>153.7552</v>
      </c>
      <c r="G21" s="1">
        <f>E21*F21</f>
        <v>0</v>
      </c>
      <c r="H21" s="11">
        <v>9.1600000000000001E-2</v>
      </c>
      <c r="I21" s="11">
        <v>0.10589999999999999</v>
      </c>
      <c r="J21" s="9">
        <f>IFERROR(H21/I21,"")</f>
        <v>0.86496694995278567</v>
      </c>
      <c r="K21" s="9">
        <f>IFERROR(J21/SUBTOTAL(9,$J$2:$J$1048576),"")</f>
        <v>0.18371316749206404</v>
      </c>
      <c r="L21" s="12">
        <f>F21/(1-(F21*(1+H21)-F21)/(F21*(1+H21)))</f>
        <v>167.83917631999998</v>
      </c>
      <c r="M21" s="12">
        <f>F21/(1+I21-H21)</f>
        <v>151.58749876762298</v>
      </c>
      <c r="N21" s="12">
        <f>L21-F21</f>
        <v>14.083976319999977</v>
      </c>
      <c r="O21" s="12">
        <f>0.5*(M21-F21)</f>
        <v>-1.0838506161885135</v>
      </c>
      <c r="P21" s="14">
        <f>N21+O21</f>
        <v>13.000125703811463</v>
      </c>
      <c r="Q21" s="12">
        <f>MAX($P$2:$P$280)-P21</f>
        <v>339.51094595676011</v>
      </c>
      <c r="R21" s="9">
        <f>IFERROR((SUBTOTAL(109,$Q$2:$Q$1048576)/Q21)/SUBTOTAL(109,$Q$2:$Q$1048576),0)</f>
        <v>2.9454131358915285E-3</v>
      </c>
      <c r="S21" s="9">
        <f>Q21/MAX($Q$2:$Q$28)</f>
        <v>0.67612428026362914</v>
      </c>
    </row>
    <row r="22" spans="1:19" x14ac:dyDescent="0.25">
      <c r="A22" t="s">
        <v>36</v>
      </c>
      <c r="B22" s="3" t="s">
        <v>21</v>
      </c>
      <c r="C22" t="s">
        <v>22</v>
      </c>
      <c r="D22" s="8">
        <v>45484</v>
      </c>
      <c r="E22" s="2">
        <v>0.33389999999999997</v>
      </c>
      <c r="F22" s="1">
        <v>188.53</v>
      </c>
      <c r="G22" s="1">
        <f>E22*F22</f>
        <v>62.950166999999993</v>
      </c>
      <c r="H22" s="11">
        <v>0.1356</v>
      </c>
      <c r="I22" s="11">
        <v>0.37040000000000001</v>
      </c>
      <c r="J22" s="9">
        <f>IFERROR(H22/I22,"")</f>
        <v>0.36609071274298055</v>
      </c>
      <c r="K22" s="9">
        <f>IFERROR(J22/SUBTOTAL(9,$J$2:$J$1048576),"")</f>
        <v>7.775520721469352E-2</v>
      </c>
      <c r="L22" s="12">
        <f>F22/(1-(F22*(1+H22)-F22)/(F22*(1+H22)))</f>
        <v>214.09466799999998</v>
      </c>
      <c r="M22" s="12">
        <f>F22/(1+I22-H22)</f>
        <v>152.68059604794297</v>
      </c>
      <c r="N22" s="12">
        <f>L22-F22</f>
        <v>25.564667999999983</v>
      </c>
      <c r="O22" s="12">
        <f>0.5*(M22-F22)</f>
        <v>-17.924701976028516</v>
      </c>
      <c r="P22" s="14">
        <f>N22+O22</f>
        <v>7.6399660239714677</v>
      </c>
      <c r="Q22" s="12">
        <f>MAX($P$2:$P$280)-P22</f>
        <v>344.87110563660013</v>
      </c>
      <c r="R22" s="9">
        <f>IFERROR((SUBTOTAL(109,$Q$2:$Q$1048576)/Q22)/SUBTOTAL(109,$Q$2:$Q$1048576),0)</f>
        <v>2.8996340477816852E-3</v>
      </c>
      <c r="S22" s="9">
        <f>Q22/MAX($Q$2:$Q$28)</f>
        <v>0.68679885246458405</v>
      </c>
    </row>
    <row r="23" spans="1:19" x14ac:dyDescent="0.25">
      <c r="A23" t="s">
        <v>36</v>
      </c>
      <c r="B23" s="3" t="s">
        <v>11</v>
      </c>
      <c r="C23" t="s">
        <v>12</v>
      </c>
      <c r="D23" s="8">
        <v>45574</v>
      </c>
      <c r="E23" s="2">
        <v>0.13370000000000001</v>
      </c>
      <c r="F23" s="1">
        <v>423.77</v>
      </c>
      <c r="G23" s="1">
        <f>E23*F23</f>
        <v>56.658049000000005</v>
      </c>
      <c r="H23" s="11">
        <v>8.9599999999999999E-2</v>
      </c>
      <c r="I23" s="11">
        <v>0.27800000000000002</v>
      </c>
      <c r="J23" s="9">
        <f>IFERROR(H23/I23,"")</f>
        <v>0.32230215827338127</v>
      </c>
      <c r="K23" s="9">
        <f>IFERROR(J23/SUBTOTAL(9,$J$2:$J$1048576),"")</f>
        <v>6.8454812509499322E-2</v>
      </c>
      <c r="L23" s="12">
        <f>F23/(1-(F23*(1+H23)-F23)/(F23*(1+H23)))</f>
        <v>461.73979199999997</v>
      </c>
      <c r="M23" s="12">
        <f>F23/(1+I23-H23)</f>
        <v>356.58869067653984</v>
      </c>
      <c r="N23" s="12">
        <f>L23-F23</f>
        <v>37.969791999999984</v>
      </c>
      <c r="O23" s="12">
        <f>0.5*(M23-F23)</f>
        <v>-33.590654661730071</v>
      </c>
      <c r="P23" s="14">
        <f>N23+O23</f>
        <v>4.3791373382699135</v>
      </c>
      <c r="Q23" s="12">
        <f>MAX($P$2:$P$280)-P23</f>
        <v>348.13193432230167</v>
      </c>
      <c r="R23" s="9">
        <f>IFERROR((SUBTOTAL(109,$Q$2:$Q$1048576)/Q23)/SUBTOTAL(109,$Q$2:$Q$1048576),0)</f>
        <v>2.8724742013302254E-3</v>
      </c>
      <c r="S23" s="9">
        <f>Q23/MAX($Q$2:$Q$28)</f>
        <v>0.69329267976069653</v>
      </c>
    </row>
    <row r="24" spans="1:19" x14ac:dyDescent="0.25">
      <c r="A24" t="s">
        <v>36</v>
      </c>
      <c r="B24" s="3" t="s">
        <v>14</v>
      </c>
      <c r="C24" t="s">
        <v>13</v>
      </c>
      <c r="D24" s="8">
        <v>45482</v>
      </c>
      <c r="E24" s="2">
        <v>0.18820000000000001</v>
      </c>
      <c r="F24" s="1">
        <v>227.38</v>
      </c>
      <c r="G24" s="1">
        <f>E24*F24</f>
        <v>42.792915999999998</v>
      </c>
      <c r="H24" s="11">
        <v>9.3700000000000006E-2</v>
      </c>
      <c r="I24" s="11">
        <v>0.27310000000000001</v>
      </c>
      <c r="J24" s="9">
        <f>IFERROR(H24/I24,"")</f>
        <v>0.34309776638593925</v>
      </c>
      <c r="K24" s="9">
        <f>IFERROR(J24/SUBTOTAL(9,$J$2:$J$1048576),"")</f>
        <v>7.2871659923715817E-2</v>
      </c>
      <c r="L24" s="12">
        <f>F24/(1-(F24*(1+H24)-F24)/(F24*(1+H24)))</f>
        <v>248.68550600000003</v>
      </c>
      <c r="M24" s="12">
        <f>F24/(1+I24-H24)</f>
        <v>192.79294556554183</v>
      </c>
      <c r="N24" s="12">
        <f>L24-F24</f>
        <v>21.305506000000037</v>
      </c>
      <c r="O24" s="12">
        <f>0.5*(M24-F24)</f>
        <v>-17.293527217229084</v>
      </c>
      <c r="P24" s="14">
        <f>N24+O24</f>
        <v>4.011978782770953</v>
      </c>
      <c r="Q24" s="12">
        <f>MAX($P$2:$P$280)-P24</f>
        <v>348.49909287780065</v>
      </c>
      <c r="R24" s="9">
        <f>IFERROR((SUBTOTAL(109,$Q$2:$Q$1048576)/Q24)/SUBTOTAL(109,$Q$2:$Q$1048576),0)</f>
        <v>2.8694479280915795E-3</v>
      </c>
      <c r="S24" s="9">
        <f>Q24/MAX($Q$2:$Q$28)</f>
        <v>0.69402386329700283</v>
      </c>
    </row>
    <row r="25" spans="1:19" x14ac:dyDescent="0.25">
      <c r="A25" t="s">
        <v>36</v>
      </c>
      <c r="B25" s="3" t="s">
        <v>10</v>
      </c>
      <c r="C25" t="s">
        <v>9</v>
      </c>
      <c r="D25" s="8">
        <v>45544</v>
      </c>
      <c r="E25" s="2">
        <v>0.1928</v>
      </c>
      <c r="F25" s="1">
        <v>188.12</v>
      </c>
      <c r="G25" s="1">
        <f>E25*F25</f>
        <v>36.269536000000002</v>
      </c>
      <c r="H25" s="11">
        <v>-3.8800000000000001E-2</v>
      </c>
      <c r="I25" s="11">
        <v>0.39800000000000002</v>
      </c>
      <c r="J25" s="9">
        <f>IFERROR(H25/I25,"")</f>
        <v>-9.7487437185929643E-2</v>
      </c>
      <c r="K25" s="9">
        <f>IFERROR(J25/SUBTOTAL(9,$J$2:$J$1048576),"")</f>
        <v>-2.0705676531442466E-2</v>
      </c>
      <c r="L25" s="12">
        <f>F25/(1-(F25*(1+H25)-F25)/(F25*(1+H25)))</f>
        <v>180.82094400000003</v>
      </c>
      <c r="M25" s="12">
        <f>F25/(1+I25-H25)</f>
        <v>130.92984409799556</v>
      </c>
      <c r="N25" s="12">
        <f>L25-F25</f>
        <v>-7.2990559999999789</v>
      </c>
      <c r="O25" s="12">
        <f>0.5*(M25-F25)</f>
        <v>-28.595077951002224</v>
      </c>
      <c r="P25" s="14">
        <f>N25+O25</f>
        <v>-35.894133951002203</v>
      </c>
      <c r="Q25" s="12">
        <f>MAX($P$2:$P$280)-P25</f>
        <v>388.40520561157382</v>
      </c>
      <c r="R25" s="9">
        <f>IFERROR((SUBTOTAL(109,$Q$2:$Q$1048576)/Q25)/SUBTOTAL(109,$Q$2:$Q$1048576),0)</f>
        <v>2.5746307864886187E-3</v>
      </c>
      <c r="S25" s="9">
        <f>Q25/MAX($Q$2:$Q$28)</f>
        <v>0.77349550352411345</v>
      </c>
    </row>
    <row r="26" spans="1:19" x14ac:dyDescent="0.25">
      <c r="A26" t="s">
        <v>36</v>
      </c>
      <c r="B26" s="3" t="s">
        <v>18</v>
      </c>
      <c r="C26" t="s">
        <v>17</v>
      </c>
      <c r="D26" s="8">
        <v>45483</v>
      </c>
      <c r="E26" s="2">
        <v>0.1195</v>
      </c>
      <c r="F26" s="1">
        <v>167.24</v>
      </c>
      <c r="G26" s="1">
        <f>E26*F26</f>
        <v>19.98518</v>
      </c>
      <c r="H26" s="11">
        <v>5.4199999999999998E-2</v>
      </c>
      <c r="I26" s="11">
        <v>0.32690000000000002</v>
      </c>
      <c r="J26" s="9">
        <f>IFERROR(H26/I26,"")</f>
        <v>0.16579993881921076</v>
      </c>
      <c r="K26" s="9">
        <f>IFERROR(J26/SUBTOTAL(9,$J$2:$J$1048576),"")</f>
        <v>3.5214792810442389E-2</v>
      </c>
      <c r="L26" s="12">
        <f>F26/(1-(F26*(1+H26)-F26)/(F26*(1+H26)))</f>
        <v>176.30440800000002</v>
      </c>
      <c r="M26" s="12">
        <f>F26/(1+I26-H26)</f>
        <v>131.40567297870669</v>
      </c>
      <c r="N26" s="12">
        <f>L26-F26</f>
        <v>9.0644080000000145</v>
      </c>
      <c r="O26" s="12">
        <f>0.5*(M26-F26)</f>
        <v>-17.91716351064666</v>
      </c>
      <c r="P26" s="14">
        <f>N26+O26</f>
        <v>-8.8527555106466451</v>
      </c>
      <c r="Q26" s="12">
        <f>MAX($P$2:$P$280)-P26</f>
        <v>361.36382717121825</v>
      </c>
      <c r="R26" s="9">
        <f>IFERROR((SUBTOTAL(109,$Q$2:$Q$1048576)/Q26)/SUBTOTAL(109,$Q$2:$Q$1048576),0)</f>
        <v>2.7672941362949116E-3</v>
      </c>
      <c r="S26" s="9">
        <f>Q26/MAX($Q$2:$Q$28)</f>
        <v>0.71964353570670359</v>
      </c>
    </row>
    <row r="27" spans="1:19" x14ac:dyDescent="0.25">
      <c r="A27" t="s">
        <v>36</v>
      </c>
      <c r="B27" s="3" t="s">
        <v>62</v>
      </c>
      <c r="C27" t="s">
        <v>62</v>
      </c>
      <c r="D27" s="8">
        <v>45481</v>
      </c>
      <c r="E27" s="2">
        <v>2.8500000000000001E-2</v>
      </c>
      <c r="F27" s="1">
        <v>700.32</v>
      </c>
      <c r="G27" s="1">
        <f>E27*F27</f>
        <v>19.959120000000002</v>
      </c>
      <c r="H27" s="11">
        <v>-4.9299999999999997E-2</v>
      </c>
      <c r="I27" s="11">
        <v>0.44040000000000001</v>
      </c>
      <c r="J27" s="9">
        <f>IFERROR(H27/I27,"")</f>
        <v>-0.11194368755676656</v>
      </c>
      <c r="K27" s="9">
        <f>IFERROR(J27/SUBTOTAL(9,$J$2:$J$1048576),"")</f>
        <v>-2.3776086962534363E-2</v>
      </c>
      <c r="L27" s="12">
        <f>F27/(1-(F27*(1+H27)-F27)/(F27*(1+H27)))</f>
        <v>665.7942240000001</v>
      </c>
      <c r="M27" s="12">
        <f>F27/(1+I27-H27)</f>
        <v>470.10807545143325</v>
      </c>
      <c r="N27" s="12">
        <f>L27-F27</f>
        <v>-34.525775999999951</v>
      </c>
      <c r="O27" s="12">
        <f>0.5*(M27-F27)</f>
        <v>-115.1059622742834</v>
      </c>
      <c r="P27" s="14">
        <f>N27+O27</f>
        <v>-149.63173827428335</v>
      </c>
      <c r="Q27" s="12">
        <f>MAX($P$2:$P$280)-P27</f>
        <v>502.14280993485494</v>
      </c>
      <c r="R27" s="9">
        <f>IFERROR((SUBTOTAL(109,$Q$2:$Q$1048576)/Q27)/SUBTOTAL(109,$Q$2:$Q$1048576),0)</f>
        <v>1.9914653365836984E-3</v>
      </c>
      <c r="S27" s="9">
        <f>Q27/MAX($Q$2:$Q$28)</f>
        <v>1</v>
      </c>
    </row>
    <row r="28" spans="1:19" x14ac:dyDescent="0.25">
      <c r="A28" t="s">
        <v>36</v>
      </c>
      <c r="B28" s="3" t="s">
        <v>23</v>
      </c>
      <c r="C28" t="s">
        <v>24</v>
      </c>
      <c r="D28" s="8">
        <v>45482</v>
      </c>
      <c r="E28" s="2">
        <v>9.9999999999999998E-20</v>
      </c>
      <c r="F28" s="1">
        <v>147.01</v>
      </c>
      <c r="G28" s="1">
        <f>E28*F28</f>
        <v>1.4700999999999999E-17</v>
      </c>
      <c r="H28" s="11">
        <v>0.51919999999999999</v>
      </c>
      <c r="I28" s="11">
        <v>0.55179999999999996</v>
      </c>
      <c r="J28" s="9">
        <f>IFERROR(H28/I28,"")</f>
        <v>0.94092062341428062</v>
      </c>
      <c r="K28" s="9">
        <f>IFERROR(J28/SUBTOTAL(9,$J$2:$J$1048576),"")</f>
        <v>0.19984521731781843</v>
      </c>
      <c r="L28" s="12">
        <f>F28/(1-(F28*(1+H28)-F28)/(F28*(1+H28)))</f>
        <v>223.337592</v>
      </c>
      <c r="M28" s="12">
        <f>F28/(1+I28-H28)</f>
        <v>142.36877784233971</v>
      </c>
      <c r="N28" s="12">
        <f>L28-F28</f>
        <v>76.32759200000001</v>
      </c>
      <c r="O28" s="12">
        <f>0.5*(M28-F28)</f>
        <v>-2.3206110788301402</v>
      </c>
      <c r="P28" s="14">
        <f>N28+O28</f>
        <v>74.00698092116987</v>
      </c>
      <c r="Q28" s="12">
        <f>MAX($P$2:$P$280)-P28</f>
        <v>278.5040907394017</v>
      </c>
      <c r="R28" s="9">
        <f>IFERROR((SUBTOTAL(109,$Q$2:$Q$1048576)/Q28)/SUBTOTAL(109,$Q$2:$Q$1048576),0)</f>
        <v>3.5906115322941784E-3</v>
      </c>
      <c r="S28" s="9">
        <f>Q28/MAX($Q$2:$Q$28)</f>
        <v>0.55463124280427956</v>
      </c>
    </row>
    <row r="29" spans="1:19" x14ac:dyDescent="0.25">
      <c r="A29" t="s">
        <v>36</v>
      </c>
      <c r="B29" s="3" t="s">
        <v>29</v>
      </c>
      <c r="C29" t="s">
        <v>30</v>
      </c>
      <c r="D29" s="8">
        <v>45481</v>
      </c>
      <c r="E29" s="2">
        <v>1E-22</v>
      </c>
      <c r="F29" s="1">
        <v>169.34</v>
      </c>
      <c r="G29" s="1">
        <f>E29*F29</f>
        <v>1.6934000000000002E-20</v>
      </c>
      <c r="H29" s="11">
        <v>3.2800000000000003E-2</v>
      </c>
      <c r="I29" s="11">
        <v>0.43290000000000001</v>
      </c>
      <c r="J29" s="9">
        <f>IFERROR(H29/I29,"")</f>
        <v>7.5768075768075774E-2</v>
      </c>
      <c r="K29" s="9">
        <f>IFERROR(J29/SUBTOTAL(9,$J$2:$J$1048576),"")</f>
        <v>1.6092630122910137E-2</v>
      </c>
      <c r="L29" s="12">
        <f>F29/(1-(F29*(1+H29)-F29)/(F29*(1+H29)))</f>
        <v>174.894352</v>
      </c>
      <c r="M29" s="12">
        <f>F29/(1+I29-H29)</f>
        <v>120.94850367830868</v>
      </c>
      <c r="N29" s="12">
        <f>L29-F29</f>
        <v>5.5543519999999944</v>
      </c>
      <c r="O29" s="12">
        <f>0.5*(M29-F29)</f>
        <v>-24.19574816084566</v>
      </c>
      <c r="P29" s="14">
        <f>N29+O29</f>
        <v>-18.641396160845666</v>
      </c>
      <c r="Q29" s="12">
        <f>MAX($P$2:$P$280)-P29</f>
        <v>371.15246782141725</v>
      </c>
      <c r="R29" s="9">
        <f>IFERROR((SUBTOTAL(109,$Q$2:$Q$1048576)/Q29)/SUBTOTAL(109,$Q$2:$Q$1048576),0)</f>
        <v>2.6943105238388374E-3</v>
      </c>
      <c r="S29" s="9">
        <f>Q29/MAX($Q$2:$Q$28)</f>
        <v>0.73913727425384901</v>
      </c>
    </row>
    <row r="30" spans="1:19" x14ac:dyDescent="0.25">
      <c r="A30" t="s">
        <v>36</v>
      </c>
      <c r="B30" s="3" t="s">
        <v>86</v>
      </c>
      <c r="C30" t="s">
        <v>87</v>
      </c>
      <c r="D30" s="8">
        <v>45481</v>
      </c>
      <c r="E30" s="2">
        <v>1E-22</v>
      </c>
      <c r="F30" s="1">
        <v>64.349999999999994</v>
      </c>
      <c r="G30" s="1">
        <f>E30*F30</f>
        <v>6.4349999999999995E-21</v>
      </c>
      <c r="H30" s="11">
        <v>0.43880000000000002</v>
      </c>
      <c r="I30" s="11">
        <v>0.6825</v>
      </c>
      <c r="J30" s="9">
        <f>IFERROR(H30/I30,"")</f>
        <v>0.64293040293040293</v>
      </c>
      <c r="K30" s="9">
        <f>IFERROR(J30/SUBTOTAL(9,$J$2:$J$1048576),"")</f>
        <v>0.13655409701577689</v>
      </c>
      <c r="L30" s="12">
        <f>F30/(1-(F30*(1+H30)-F30)/(F30*(1+H30)))</f>
        <v>92.58677999999999</v>
      </c>
      <c r="M30" s="12">
        <f>F30/(1+I30-H30)</f>
        <v>51.740773498432091</v>
      </c>
      <c r="N30" s="12">
        <f>L30-F30</f>
        <v>28.236779999999996</v>
      </c>
      <c r="O30" s="12">
        <f>0.5*(M30-F30)</f>
        <v>-6.3046132507839516</v>
      </c>
      <c r="P30" s="14">
        <f>N30+O30</f>
        <v>21.932166749216044</v>
      </c>
      <c r="Q30" s="12">
        <f>MAX($P$2:$P$280)-P30</f>
        <v>330.57890491135555</v>
      </c>
      <c r="R30" s="9">
        <f>IFERROR((SUBTOTAL(109,$Q$2:$Q$1048576)/Q30)/SUBTOTAL(109,$Q$2:$Q$1048576),0)</f>
        <v>3.0249964082497919E-3</v>
      </c>
      <c r="S30" s="9">
        <f>Q30/MAX($Q$2:$Q$28)</f>
        <v>0.65833643013676313</v>
      </c>
    </row>
    <row r="31" spans="1:19" x14ac:dyDescent="0.25">
      <c r="A31" t="s">
        <v>38</v>
      </c>
      <c r="B31" s="5" t="s">
        <v>6</v>
      </c>
      <c r="C31" t="s">
        <v>5</v>
      </c>
      <c r="D31" s="8">
        <v>45553</v>
      </c>
      <c r="E31" s="2">
        <v>1.0751999999999999</v>
      </c>
      <c r="F31" s="1">
        <v>51.15</v>
      </c>
      <c r="G31" s="1">
        <f>E31*F31</f>
        <v>54.996479999999998</v>
      </c>
      <c r="H31" s="11">
        <v>0.1426</v>
      </c>
      <c r="I31" s="11">
        <v>0.20569999999999999</v>
      </c>
      <c r="J31" s="9">
        <f>IFERROR(H31/I31,"")</f>
        <v>0.69324258629071467</v>
      </c>
      <c r="K31" s="9">
        <f>IFERROR(J31/SUBTOTAL(9,$J$2:$J$1048576),"")</f>
        <v>0.14724006665781803</v>
      </c>
      <c r="L31" s="12">
        <f>F31/(1-(F31*(1+H31)-F31)/(F31*(1+H31)))</f>
        <v>58.443989999999999</v>
      </c>
      <c r="M31" s="12">
        <f>F31/(1+I31-H31)</f>
        <v>48.114006208258864</v>
      </c>
      <c r="N31" s="12">
        <f>L31-F31</f>
        <v>7.2939900000000009</v>
      </c>
      <c r="O31" s="12">
        <f>0.5*(M31-F31)</f>
        <v>-1.5179968958705672</v>
      </c>
      <c r="P31" s="14">
        <f>N31+O31</f>
        <v>5.7759931041294337</v>
      </c>
      <c r="Q31" s="12">
        <f>MAX($P$2:$P$280)-P31</f>
        <v>346.73507855644215</v>
      </c>
      <c r="R31" s="9">
        <f>IFERROR((SUBTOTAL(109,$Q$2:$Q$1048576)/Q31)/SUBTOTAL(109,$Q$2:$Q$1048576),0)</f>
        <v>2.8840462411916547E-3</v>
      </c>
      <c r="S31" s="9">
        <f>Q31/MAX($Q$2:$Q$28)</f>
        <v>0.6905108899227802</v>
      </c>
    </row>
    <row r="32" spans="1:19" x14ac:dyDescent="0.25">
      <c r="A32" t="s">
        <v>38</v>
      </c>
      <c r="B32" s="5" t="s">
        <v>19</v>
      </c>
      <c r="C32" t="s">
        <v>20</v>
      </c>
      <c r="D32" s="8">
        <v>45544</v>
      </c>
      <c r="E32" s="2">
        <v>0.24390000000000001</v>
      </c>
      <c r="F32" s="1">
        <v>144.28</v>
      </c>
      <c r="G32" s="1">
        <f>E32*F32</f>
        <v>35.189892</v>
      </c>
      <c r="H32" s="11">
        <v>2.6599999999999999E-2</v>
      </c>
      <c r="I32" s="11">
        <v>0.18690000000000001</v>
      </c>
      <c r="J32" s="9">
        <f>IFERROR(H32/I32,"")</f>
        <v>0.14232209737827714</v>
      </c>
      <c r="K32" s="9">
        <f>IFERROR(J32/SUBTOTAL(9,$J$2:$J$1048576),"")</f>
        <v>3.0228257062196982E-2</v>
      </c>
      <c r="L32" s="12">
        <f>F32/(1-(F32*(1+H32)-F32)/(F32*(1+H32)))</f>
        <v>148.11784799999998</v>
      </c>
      <c r="M32" s="12">
        <f>F32/(1+I32-H32)</f>
        <v>124.34715159872445</v>
      </c>
      <c r="N32" s="12">
        <f>L32-F32</f>
        <v>3.8378479999999797</v>
      </c>
      <c r="O32" s="12">
        <f>0.5*(M32-F32)</f>
        <v>-9.9664242006377748</v>
      </c>
      <c r="P32" s="14">
        <f>N32+O32</f>
        <v>-6.1285762006377951</v>
      </c>
      <c r="Q32" s="12">
        <f>MAX($P$2:$P$280)-P32</f>
        <v>358.63964786120937</v>
      </c>
      <c r="R32" s="9">
        <f>IFERROR((SUBTOTAL(109,$Q$2:$Q$1048576)/Q32)/SUBTOTAL(109,$Q$2:$Q$1048576),0)</f>
        <v>2.7883141363862587E-3</v>
      </c>
      <c r="S32" s="9">
        <f>Q32/MAX($Q$2:$Q$28)</f>
        <v>0.71421842704018235</v>
      </c>
    </row>
    <row r="33" spans="1:19" x14ac:dyDescent="0.25">
      <c r="A33" t="s">
        <v>38</v>
      </c>
      <c r="B33" s="5" t="s">
        <v>15</v>
      </c>
      <c r="C33" t="s">
        <v>16</v>
      </c>
      <c r="D33" s="8">
        <v>45460</v>
      </c>
      <c r="E33" s="2">
        <v>0.1807</v>
      </c>
      <c r="F33" s="1">
        <v>165.59</v>
      </c>
      <c r="G33" s="1">
        <f>E33*F33</f>
        <v>29.922113</v>
      </c>
      <c r="H33" s="11">
        <v>5.7000000000000002E-3</v>
      </c>
      <c r="I33" s="11">
        <v>0.1714</v>
      </c>
      <c r="J33" s="9">
        <f>IFERROR(H33/I33,"")</f>
        <v>3.3255542590431737E-2</v>
      </c>
      <c r="K33" s="9">
        <f>IFERROR(J33/SUBTOTAL(9,$J$2:$J$1048576),"")</f>
        <v>7.0632537651166222E-3</v>
      </c>
      <c r="L33" s="12">
        <f>F33/(1-(F33*(1+H33)-F33)/(F33*(1+H33)))</f>
        <v>166.533863</v>
      </c>
      <c r="M33" s="12">
        <f>F33/(1+I33-H33)</f>
        <v>142.05198593120014</v>
      </c>
      <c r="N33" s="12">
        <f>L33-F33</f>
        <v>0.94386299999999324</v>
      </c>
      <c r="O33" s="12">
        <f>0.5*(M33-F33)</f>
        <v>-11.769007034399934</v>
      </c>
      <c r="P33" s="14">
        <f>N33+O33</f>
        <v>-10.825144034399941</v>
      </c>
      <c r="Q33" s="12">
        <f>MAX($P$2:$P$280)-P33</f>
        <v>363.33621569497154</v>
      </c>
      <c r="R33" s="9">
        <f>IFERROR((SUBTOTAL(109,$Q$2:$Q$1048576)/Q33)/SUBTOTAL(109,$Q$2:$Q$1048576),0)</f>
        <v>2.752271743919745E-3</v>
      </c>
      <c r="S33" s="9">
        <f>Q33/MAX($Q$2:$Q$28)</f>
        <v>0.72357147908203379</v>
      </c>
    </row>
    <row r="34" spans="1:19" x14ac:dyDescent="0.25">
      <c r="A34" t="s">
        <v>38</v>
      </c>
      <c r="B34" s="5" t="s">
        <v>56</v>
      </c>
      <c r="C34" t="s">
        <v>57</v>
      </c>
      <c r="D34" s="8">
        <v>45505</v>
      </c>
      <c r="E34" s="2">
        <v>1E-35</v>
      </c>
      <c r="F34" s="1">
        <v>86.6</v>
      </c>
      <c r="G34" s="1">
        <f>E34*F34</f>
        <v>8.6599999999999988E-34</v>
      </c>
      <c r="H34" s="11">
        <v>0.23649999999999999</v>
      </c>
      <c r="I34" s="11">
        <v>0.20849999999999999</v>
      </c>
      <c r="J34" s="9">
        <f>IFERROR(H34/I34,"")</f>
        <v>1.1342925659472423</v>
      </c>
      <c r="K34" s="9">
        <f>IFERROR(J34/SUBTOTAL(9,$J$2:$J$1048576),"")</f>
        <v>0.24091611843000879</v>
      </c>
      <c r="L34" s="12">
        <f>F34/(1-(F34*(1+H34)-F34)/(F34*(1+H34)))</f>
        <v>107.08089999999999</v>
      </c>
      <c r="M34" s="12">
        <f>F34/(1+I34-H34)</f>
        <v>89.094650205761312</v>
      </c>
      <c r="N34" s="12">
        <f>L34-F34</f>
        <v>20.480899999999991</v>
      </c>
      <c r="O34" s="12">
        <f>0.5*(M34-F34)</f>
        <v>1.2473251028806587</v>
      </c>
      <c r="P34" s="14">
        <f>N34+O34</f>
        <v>21.72822510288065</v>
      </c>
      <c r="Q34" s="12">
        <f>MAX($P$2:$P$280)-P34</f>
        <v>330.78284655769096</v>
      </c>
      <c r="R34" s="9">
        <f>IFERROR((SUBTOTAL(109,$Q$2:$Q$1048576)/Q34)/SUBTOTAL(109,$Q$2:$Q$1048576),0)</f>
        <v>3.0231313697386439E-3</v>
      </c>
      <c r="S34" s="9">
        <f>Q34/MAX($Q$2:$Q$28)</f>
        <v>0.65874257285612592</v>
      </c>
    </row>
  </sheetData>
  <autoFilter ref="A1:S34" xr:uid="{00000000-0001-0000-0000-000000000000}"/>
  <conditionalFormatting sqref="R2:R34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7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S2:S34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BB01-2590-4471-B7D1-AC4B730D30F2}">
  <dimension ref="A1"/>
  <sheetViews>
    <sheetView workbookViewId="0">
      <selection activeCell="S15" sqref="S15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Positions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2024-11-28T03:46:02Z</dcterms:modified>
</cp:coreProperties>
</file>