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D:\Professional_WorkTools\Github\StockSillines\"/>
    </mc:Choice>
  </mc:AlternateContent>
  <xr:revisionPtr revIDLastSave="0" documentId="13_ncr:1_{647E1721-014B-47FC-8D34-DA7024ED2BF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sitions" sheetId="1" r:id="rId1"/>
    <sheet name="Sheet2" sheetId="3" r:id="rId2"/>
    <sheet name="Sheet1" sheetId="2" r:id="rId3"/>
  </sheets>
  <definedNames>
    <definedName name="_xlnm._FilterDatabase" localSheetId="0" hidden="1">Positions!$A$1:$T$46</definedName>
  </definedNames>
  <calcPr calcId="191029"/>
  <pivotCaches>
    <pivotCache cacheId="4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7" i="1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I3" i="1" l="1"/>
  <c r="L4" i="1"/>
  <c r="M4" i="1" s="1"/>
  <c r="I4" i="1"/>
  <c r="L5" i="1"/>
  <c r="M5" i="1" s="1"/>
  <c r="I5" i="1"/>
  <c r="L6" i="1"/>
  <c r="M6" i="1" s="1"/>
  <c r="I6" i="1"/>
  <c r="L7" i="1"/>
  <c r="M7" i="1" s="1"/>
  <c r="I7" i="1"/>
  <c r="L8" i="1"/>
  <c r="M8" i="1" s="1"/>
  <c r="I8" i="1"/>
  <c r="L9" i="1"/>
  <c r="M9" i="1" s="1"/>
  <c r="I9" i="1"/>
  <c r="L10" i="1"/>
  <c r="M10" i="1" s="1"/>
  <c r="I10" i="1"/>
  <c r="L11" i="1"/>
  <c r="M11" i="1" s="1"/>
  <c r="I11" i="1"/>
  <c r="L12" i="1"/>
  <c r="M12" i="1" s="1"/>
  <c r="I12" i="1"/>
  <c r="L13" i="1"/>
  <c r="M13" i="1" s="1"/>
  <c r="I13" i="1"/>
  <c r="L14" i="1"/>
  <c r="M14" i="1" s="1"/>
  <c r="I14" i="1"/>
  <c r="L15" i="1"/>
  <c r="M15" i="1" s="1"/>
  <c r="I15" i="1"/>
  <c r="L16" i="1"/>
  <c r="M16" i="1" s="1"/>
  <c r="I16" i="1"/>
  <c r="L17" i="1"/>
  <c r="M17" i="1" s="1"/>
  <c r="I17" i="1"/>
  <c r="L18" i="1"/>
  <c r="M18" i="1" s="1"/>
  <c r="I18" i="1"/>
  <c r="L19" i="1"/>
  <c r="M19" i="1" s="1"/>
  <c r="I19" i="1"/>
  <c r="L20" i="1"/>
  <c r="M20" i="1" s="1"/>
  <c r="I20" i="1"/>
  <c r="L21" i="1"/>
  <c r="M21" i="1" s="1"/>
  <c r="I21" i="1"/>
  <c r="L22" i="1"/>
  <c r="M22" i="1" s="1"/>
  <c r="I22" i="1"/>
  <c r="L23" i="1"/>
  <c r="M23" i="1" s="1"/>
  <c r="I23" i="1"/>
  <c r="L24" i="1"/>
  <c r="M24" i="1" s="1"/>
  <c r="I24" i="1"/>
  <c r="L25" i="1"/>
  <c r="M25" i="1" s="1"/>
  <c r="I25" i="1"/>
  <c r="L26" i="1"/>
  <c r="M26" i="1" s="1"/>
  <c r="I26" i="1"/>
  <c r="L27" i="1"/>
  <c r="M27" i="1" s="1"/>
  <c r="I27" i="1"/>
  <c r="L28" i="1"/>
  <c r="M28" i="1" s="1"/>
  <c r="I28" i="1"/>
  <c r="L29" i="1"/>
  <c r="M29" i="1" s="1"/>
  <c r="I29" i="1"/>
  <c r="L30" i="1"/>
  <c r="M30" i="1" s="1"/>
  <c r="I30" i="1"/>
  <c r="L31" i="1"/>
  <c r="M31" i="1" s="1"/>
  <c r="I31" i="1"/>
  <c r="L32" i="1"/>
  <c r="M32" i="1" s="1"/>
  <c r="I32" i="1"/>
  <c r="L33" i="1"/>
  <c r="M33" i="1" s="1"/>
  <c r="I33" i="1"/>
  <c r="L34" i="1"/>
  <c r="M34" i="1" s="1"/>
  <c r="I34" i="1"/>
  <c r="L35" i="1"/>
  <c r="M35" i="1" s="1"/>
  <c r="I35" i="1"/>
  <c r="L36" i="1"/>
  <c r="M36" i="1" s="1"/>
  <c r="I36" i="1"/>
  <c r="L37" i="1"/>
  <c r="M37" i="1" s="1"/>
  <c r="I37" i="1"/>
  <c r="L38" i="1"/>
  <c r="M38" i="1" s="1"/>
  <c r="I38" i="1"/>
  <c r="L39" i="1"/>
  <c r="M39" i="1" s="1"/>
  <c r="I39" i="1"/>
  <c r="L40" i="1"/>
  <c r="M40" i="1" s="1"/>
  <c r="I40" i="1"/>
  <c r="L41" i="1"/>
  <c r="M41" i="1" s="1"/>
  <c r="I41" i="1"/>
  <c r="I42" i="1"/>
  <c r="L43" i="1"/>
  <c r="I43" i="1"/>
  <c r="I44" i="1"/>
  <c r="L45" i="1"/>
  <c r="I45" i="1"/>
  <c r="L46" i="1"/>
  <c r="I46" i="1"/>
  <c r="I2" i="1"/>
  <c r="H2" i="1"/>
  <c r="L2" i="1" s="1"/>
  <c r="M2" i="1" s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L3" i="1"/>
  <c r="M3" i="1" s="1"/>
  <c r="O45" i="1" l="1"/>
  <c r="M45" i="1"/>
  <c r="O46" i="1"/>
  <c r="M46" i="1"/>
  <c r="O43" i="1"/>
  <c r="M43" i="1"/>
  <c r="N43" i="1"/>
  <c r="P43" i="1" s="1"/>
  <c r="Q43" i="1" s="1"/>
  <c r="N46" i="1"/>
  <c r="P46" i="1" s="1"/>
  <c r="Q46" i="1" s="1"/>
  <c r="J44" i="1"/>
  <c r="N44" i="1"/>
  <c r="P44" i="1" s="1"/>
  <c r="J42" i="1"/>
  <c r="N42" i="1"/>
  <c r="P42" i="1" s="1"/>
  <c r="N45" i="1"/>
  <c r="P45" i="1" s="1"/>
  <c r="Q45" i="1" s="1"/>
  <c r="L44" i="1"/>
  <c r="J43" i="1"/>
  <c r="J46" i="1"/>
  <c r="L42" i="1"/>
  <c r="J45" i="1"/>
  <c r="O41" i="1"/>
  <c r="N40" i="1"/>
  <c r="P40" i="1" s="1"/>
  <c r="O15" i="1"/>
  <c r="O38" i="1"/>
  <c r="J37" i="1"/>
  <c r="O36" i="1"/>
  <c r="O30" i="1"/>
  <c r="J28" i="1"/>
  <c r="N27" i="1"/>
  <c r="P27" i="1" s="1"/>
  <c r="O25" i="1"/>
  <c r="J23" i="1"/>
  <c r="J21" i="1"/>
  <c r="N5" i="1"/>
  <c r="P5" i="1" s="1"/>
  <c r="O5" i="1"/>
  <c r="J6" i="1"/>
  <c r="O10" i="1"/>
  <c r="O19" i="1"/>
  <c r="O4" i="1"/>
  <c r="N35" i="1"/>
  <c r="P35" i="1" s="1"/>
  <c r="O35" i="1"/>
  <c r="J35" i="1"/>
  <c r="N34" i="1"/>
  <c r="P34" i="1" s="1"/>
  <c r="O34" i="1"/>
  <c r="J34" i="1"/>
  <c r="N33" i="1"/>
  <c r="P33" i="1" s="1"/>
  <c r="O33" i="1"/>
  <c r="J33" i="1"/>
  <c r="O32" i="1"/>
  <c r="N32" i="1"/>
  <c r="P32" i="1" s="1"/>
  <c r="J32" i="1"/>
  <c r="N31" i="1"/>
  <c r="P31" i="1" s="1"/>
  <c r="O31" i="1"/>
  <c r="J31" i="1"/>
  <c r="N29" i="1"/>
  <c r="P29" i="1" s="1"/>
  <c r="O29" i="1"/>
  <c r="J29" i="1"/>
  <c r="O27" i="1"/>
  <c r="O26" i="1"/>
  <c r="N24" i="1"/>
  <c r="P24" i="1" s="1"/>
  <c r="O24" i="1"/>
  <c r="J24" i="1"/>
  <c r="O23" i="1"/>
  <c r="N22" i="1"/>
  <c r="P22" i="1" s="1"/>
  <c r="O22" i="1"/>
  <c r="J22" i="1"/>
  <c r="N20" i="1"/>
  <c r="P20" i="1" s="1"/>
  <c r="O20" i="1"/>
  <c r="J20" i="1"/>
  <c r="N17" i="1"/>
  <c r="P17" i="1" s="1"/>
  <c r="O17" i="1"/>
  <c r="J17" i="1"/>
  <c r="N18" i="1"/>
  <c r="P18" i="1" s="1"/>
  <c r="O18" i="1"/>
  <c r="J18" i="1"/>
  <c r="N12" i="1"/>
  <c r="P12" i="1" s="1"/>
  <c r="O12" i="1"/>
  <c r="J12" i="1"/>
  <c r="O16" i="1"/>
  <c r="N3" i="1"/>
  <c r="P3" i="1" s="1"/>
  <c r="O3" i="1"/>
  <c r="J3" i="1"/>
  <c r="N8" i="1"/>
  <c r="P8" i="1" s="1"/>
  <c r="O8" i="1"/>
  <c r="J8" i="1"/>
  <c r="N14" i="1"/>
  <c r="P14" i="1" s="1"/>
  <c r="O14" i="1"/>
  <c r="J14" i="1"/>
  <c r="N7" i="1"/>
  <c r="P7" i="1" s="1"/>
  <c r="O7" i="1"/>
  <c r="J7" i="1"/>
  <c r="N13" i="1"/>
  <c r="P13" i="1" s="1"/>
  <c r="O13" i="1"/>
  <c r="J13" i="1"/>
  <c r="N9" i="1"/>
  <c r="P9" i="1" s="1"/>
  <c r="O9" i="1"/>
  <c r="J9" i="1"/>
  <c r="J2" i="1"/>
  <c r="N6" i="1"/>
  <c r="P6" i="1" s="1"/>
  <c r="N11" i="1"/>
  <c r="P11" i="1" s="1"/>
  <c r="O11" i="1"/>
  <c r="J11" i="1"/>
  <c r="O42" i="1" l="1"/>
  <c r="Q42" i="1" s="1"/>
  <c r="M42" i="1"/>
  <c r="O44" i="1"/>
  <c r="Q44" i="1" s="1"/>
  <c r="M44" i="1"/>
  <c r="Q12" i="1"/>
  <c r="Q13" i="1"/>
  <c r="Q5" i="1"/>
  <c r="Q29" i="1"/>
  <c r="O37" i="1"/>
  <c r="N26" i="1"/>
  <c r="P26" i="1" s="1"/>
  <c r="Q26" i="1" s="1"/>
  <c r="J30" i="1"/>
  <c r="N37" i="1"/>
  <c r="P37" i="1" s="1"/>
  <c r="Q34" i="1"/>
  <c r="Q17" i="1"/>
  <c r="J5" i="1"/>
  <c r="Q32" i="1"/>
  <c r="Q35" i="1"/>
  <c r="Q20" i="1"/>
  <c r="J26" i="1"/>
  <c r="N38" i="1"/>
  <c r="P38" i="1" s="1"/>
  <c r="Q38" i="1" s="1"/>
  <c r="N10" i="1"/>
  <c r="P10" i="1" s="1"/>
  <c r="Q10" i="1" s="1"/>
  <c r="N30" i="1"/>
  <c r="P30" i="1" s="1"/>
  <c r="Q30" i="1" s="1"/>
  <c r="J39" i="1"/>
  <c r="J38" i="1"/>
  <c r="N23" i="1"/>
  <c r="P23" i="1" s="1"/>
  <c r="Q23" i="1" s="1"/>
  <c r="N36" i="1"/>
  <c r="P36" i="1" s="1"/>
  <c r="Q36" i="1" s="1"/>
  <c r="Q24" i="1"/>
  <c r="N19" i="1"/>
  <c r="P19" i="1" s="1"/>
  <c r="Q19" i="1" s="1"/>
  <c r="N25" i="1"/>
  <c r="P25" i="1" s="1"/>
  <c r="Q25" i="1" s="1"/>
  <c r="O39" i="1"/>
  <c r="N39" i="1"/>
  <c r="P39" i="1" s="1"/>
  <c r="J40" i="1"/>
  <c r="N15" i="1"/>
  <c r="P15" i="1" s="1"/>
  <c r="Q15" i="1" s="1"/>
  <c r="O40" i="1"/>
  <c r="Q40" i="1" s="1"/>
  <c r="Q9" i="1"/>
  <c r="N28" i="1"/>
  <c r="P28" i="1" s="1"/>
  <c r="Q7" i="1"/>
  <c r="O6" i="1"/>
  <c r="Q6" i="1" s="1"/>
  <c r="Q14" i="1"/>
  <c r="J27" i="1"/>
  <c r="J41" i="1"/>
  <c r="J19" i="1"/>
  <c r="J10" i="1"/>
  <c r="J25" i="1"/>
  <c r="O28" i="1"/>
  <c r="N41" i="1"/>
  <c r="P41" i="1" s="1"/>
  <c r="Q41" i="1" s="1"/>
  <c r="J36" i="1"/>
  <c r="J15" i="1"/>
  <c r="Q3" i="1"/>
  <c r="O2" i="1"/>
  <c r="N2" i="1"/>
  <c r="P2" i="1" s="1"/>
  <c r="N16" i="1"/>
  <c r="P16" i="1" s="1"/>
  <c r="Q16" i="1" s="1"/>
  <c r="Q11" i="1"/>
  <c r="Q31" i="1"/>
  <c r="Q33" i="1"/>
  <c r="Q18" i="1"/>
  <c r="Q8" i="1"/>
  <c r="Q22" i="1"/>
  <c r="Q27" i="1"/>
  <c r="J4" i="1"/>
  <c r="O21" i="1"/>
  <c r="N21" i="1"/>
  <c r="P21" i="1" s="1"/>
  <c r="J16" i="1"/>
  <c r="N4" i="1"/>
  <c r="P4" i="1" s="1"/>
  <c r="Q4" i="1" s="1"/>
  <c r="K43" i="1" l="1"/>
  <c r="K46" i="1"/>
  <c r="K44" i="1"/>
  <c r="K45" i="1"/>
  <c r="K42" i="1"/>
  <c r="Q37" i="1"/>
  <c r="Q39" i="1"/>
  <c r="Q2" i="1"/>
  <c r="Q28" i="1"/>
  <c r="K25" i="1"/>
  <c r="K20" i="1"/>
  <c r="K31" i="1"/>
  <c r="K41" i="1"/>
  <c r="K39" i="1"/>
  <c r="K33" i="1"/>
  <c r="K18" i="1"/>
  <c r="K28" i="1"/>
  <c r="K34" i="1"/>
  <c r="K38" i="1"/>
  <c r="K15" i="1"/>
  <c r="K35" i="1"/>
  <c r="K22" i="1"/>
  <c r="K32" i="1"/>
  <c r="K13" i="1"/>
  <c r="K29" i="1"/>
  <c r="K5" i="1"/>
  <c r="K37" i="1"/>
  <c r="K4" i="1"/>
  <c r="K24" i="1"/>
  <c r="K30" i="1"/>
  <c r="K23" i="1"/>
  <c r="K17" i="1"/>
  <c r="K36" i="1"/>
  <c r="Q21" i="1"/>
  <c r="K14" i="1"/>
  <c r="K6" i="1"/>
  <c r="K2" i="1"/>
  <c r="K8" i="1"/>
  <c r="K11" i="1"/>
  <c r="K9" i="1"/>
  <c r="K7" i="1"/>
  <c r="K19" i="1"/>
  <c r="K27" i="1"/>
  <c r="K26" i="1"/>
  <c r="K40" i="1"/>
  <c r="K3" i="1"/>
  <c r="K10" i="1"/>
  <c r="K12" i="1"/>
  <c r="K16" i="1"/>
  <c r="K21" i="1"/>
  <c r="R13" i="1" l="1"/>
  <c r="R7" i="1"/>
  <c r="R18" i="1"/>
  <c r="R10" i="1"/>
  <c r="R8" i="1"/>
  <c r="R45" i="1"/>
  <c r="R46" i="1"/>
  <c r="R44" i="1"/>
  <c r="R43" i="1"/>
  <c r="R42" i="1"/>
  <c r="R32" i="1"/>
  <c r="R3" i="1"/>
  <c r="R26" i="1"/>
  <c r="R5" i="1"/>
  <c r="R15" i="1"/>
  <c r="R6" i="1"/>
  <c r="R22" i="1"/>
  <c r="R9" i="1"/>
  <c r="R36" i="1"/>
  <c r="R30" i="1"/>
  <c r="R40" i="1"/>
  <c r="R2" i="1"/>
  <c r="R27" i="1"/>
  <c r="R20" i="1"/>
  <c r="R4" i="1"/>
  <c r="R12" i="1"/>
  <c r="R21" i="1"/>
  <c r="R17" i="1"/>
  <c r="R29" i="1"/>
  <c r="R14" i="1"/>
  <c r="R16" i="1"/>
  <c r="R19" i="1"/>
  <c r="R31" i="1"/>
  <c r="R35" i="1"/>
  <c r="R23" i="1"/>
  <c r="R11" i="1"/>
  <c r="R28" i="1"/>
  <c r="R33" i="1"/>
  <c r="R41" i="1"/>
  <c r="R34" i="1"/>
  <c r="R39" i="1"/>
  <c r="R24" i="1"/>
  <c r="R38" i="1"/>
  <c r="R37" i="1"/>
  <c r="R25" i="1"/>
  <c r="S46" i="1" l="1"/>
  <c r="S42" i="1"/>
  <c r="S45" i="1"/>
  <c r="S44" i="1"/>
  <c r="T46" i="1"/>
  <c r="T42" i="1"/>
  <c r="T45" i="1"/>
  <c r="T44" i="1"/>
  <c r="T43" i="1"/>
  <c r="S43" i="1"/>
  <c r="S20" i="1"/>
  <c r="S15" i="1"/>
  <c r="S18" i="1"/>
  <c r="T17" i="1"/>
  <c r="S17" i="1"/>
  <c r="T41" i="1"/>
  <c r="S41" i="1"/>
  <c r="S33" i="1"/>
  <c r="T33" i="1"/>
  <c r="S10" i="1"/>
  <c r="T4" i="1"/>
  <c r="T5" i="1"/>
  <c r="T10" i="1"/>
  <c r="S11" i="1"/>
  <c r="T11" i="1"/>
  <c r="S2" i="1"/>
  <c r="T23" i="1"/>
  <c r="S23" i="1"/>
  <c r="T20" i="1"/>
  <c r="T35" i="1"/>
  <c r="S35" i="1"/>
  <c r="T40" i="1"/>
  <c r="T25" i="1"/>
  <c r="S25" i="1"/>
  <c r="T6" i="1"/>
  <c r="T26" i="1"/>
  <c r="T19" i="1"/>
  <c r="S19" i="1"/>
  <c r="S7" i="1"/>
  <c r="T38" i="1"/>
  <c r="S38" i="1"/>
  <c r="T27" i="1"/>
  <c r="T22" i="1"/>
  <c r="T14" i="1"/>
  <c r="S14" i="1"/>
  <c r="S3" i="1"/>
  <c r="S32" i="1"/>
  <c r="S30" i="1"/>
  <c r="T13" i="1"/>
  <c r="T18" i="1"/>
  <c r="S5" i="1"/>
  <c r="S36" i="1"/>
  <c r="T28" i="1"/>
  <c r="S28" i="1"/>
  <c r="T36" i="1"/>
  <c r="S4" i="1"/>
  <c r="S8" i="1"/>
  <c r="S12" i="1"/>
  <c r="T8" i="1"/>
  <c r="T2" i="1"/>
  <c r="T12" i="1"/>
  <c r="S6" i="1"/>
  <c r="S26" i="1"/>
  <c r="S31" i="1"/>
  <c r="T31" i="1"/>
  <c r="S40" i="1"/>
  <c r="T37" i="1"/>
  <c r="S37" i="1"/>
  <c r="S27" i="1"/>
  <c r="S22" i="1"/>
  <c r="T16" i="1"/>
  <c r="S16" i="1"/>
  <c r="T7" i="1"/>
  <c r="T24" i="1"/>
  <c r="S24" i="1"/>
  <c r="S39" i="1"/>
  <c r="T39" i="1"/>
  <c r="T29" i="1"/>
  <c r="S29" i="1"/>
  <c r="T3" i="1"/>
  <c r="T32" i="1"/>
  <c r="T30" i="1"/>
  <c r="S9" i="1"/>
  <c r="T34" i="1"/>
  <c r="S34" i="1"/>
  <c r="T21" i="1"/>
  <c r="S21" i="1"/>
  <c r="S13" i="1"/>
  <c r="T15" i="1"/>
  <c r="T9" i="1"/>
</calcChain>
</file>

<file path=xl/sharedStrings.xml><?xml version="1.0" encoding="utf-8"?>
<sst xmlns="http://schemas.openxmlformats.org/spreadsheetml/2006/main" count="301" uniqueCount="167">
  <si>
    <t>Name</t>
  </si>
  <si>
    <t>Date</t>
  </si>
  <si>
    <t>Volume</t>
  </si>
  <si>
    <t>Price</t>
  </si>
  <si>
    <t>Value</t>
  </si>
  <si>
    <t>MO</t>
  </si>
  <si>
    <t>Altaria</t>
  </si>
  <si>
    <t>Visa</t>
  </si>
  <si>
    <t>Master Card</t>
  </si>
  <si>
    <t>QCOM</t>
  </si>
  <si>
    <t>QualComm2</t>
  </si>
  <si>
    <t>Microsoft</t>
  </si>
  <si>
    <t>MSFT</t>
  </si>
  <si>
    <t>AAPL</t>
  </si>
  <si>
    <t>Apple2</t>
  </si>
  <si>
    <t>Pepsi</t>
  </si>
  <si>
    <t>PEP</t>
  </si>
  <si>
    <t>GOOGL</t>
  </si>
  <si>
    <t>Google</t>
  </si>
  <si>
    <t>Kimberly Clark</t>
  </si>
  <si>
    <t>KMB</t>
  </si>
  <si>
    <t>TSMC</t>
  </si>
  <si>
    <t>TSM</t>
  </si>
  <si>
    <t>Nvidia</t>
  </si>
  <si>
    <t>NVDA</t>
  </si>
  <si>
    <t>V</t>
  </si>
  <si>
    <t>NextEra Energy</t>
  </si>
  <si>
    <t>NEE</t>
  </si>
  <si>
    <t>MA</t>
  </si>
  <si>
    <t>Applied Material</t>
  </si>
  <si>
    <t>AMAT</t>
  </si>
  <si>
    <t>Duke Energy</t>
  </si>
  <si>
    <t>DUK</t>
  </si>
  <si>
    <t>LVMH</t>
  </si>
  <si>
    <t>MC.PA</t>
  </si>
  <si>
    <t>Chapter</t>
  </si>
  <si>
    <t>Tech</t>
  </si>
  <si>
    <t>Banking</t>
  </si>
  <si>
    <t>US Consumer</t>
  </si>
  <si>
    <t>Asia Consumer</t>
  </si>
  <si>
    <t>Energy</t>
  </si>
  <si>
    <t>DAR</t>
  </si>
  <si>
    <t>MSG</t>
  </si>
  <si>
    <t>INGR</t>
  </si>
  <si>
    <t>CSIQ</t>
  </si>
  <si>
    <t>Canadian Solar</t>
  </si>
  <si>
    <t>FSLR</t>
  </si>
  <si>
    <t>First Solar</t>
  </si>
  <si>
    <t>JKS</t>
  </si>
  <si>
    <t>Jinko Solar</t>
  </si>
  <si>
    <t>MAXN</t>
  </si>
  <si>
    <t>Maxeon Solar</t>
  </si>
  <si>
    <t>SolarWinds</t>
  </si>
  <si>
    <t>SWI</t>
  </si>
  <si>
    <t>Walmart</t>
  </si>
  <si>
    <t>WMT</t>
  </si>
  <si>
    <t>YUMC</t>
  </si>
  <si>
    <t>Yum China Holding</t>
  </si>
  <si>
    <t>Yum! Brands</t>
  </si>
  <si>
    <t>YUM</t>
  </si>
  <si>
    <t>ASML</t>
  </si>
  <si>
    <t>Volatility</t>
  </si>
  <si>
    <t>Ranking</t>
  </si>
  <si>
    <t>Mix %</t>
  </si>
  <si>
    <t>Target Price</t>
  </si>
  <si>
    <t>Tolerance</t>
  </si>
  <si>
    <t>Expected Return QoQ%</t>
  </si>
  <si>
    <t>Unit Profit</t>
  </si>
  <si>
    <t>Unit Half Loss</t>
  </si>
  <si>
    <t>Balance Risk</t>
  </si>
  <si>
    <t>Normalized Risk</t>
  </si>
  <si>
    <t>Normalized Risk %</t>
  </si>
  <si>
    <t>Automotive</t>
  </si>
  <si>
    <t>Aptive Autoparts</t>
  </si>
  <si>
    <t>APTV</t>
  </si>
  <si>
    <t>Forex</t>
  </si>
  <si>
    <t>Mexican Peso</t>
  </si>
  <si>
    <t>USDMXN=X</t>
  </si>
  <si>
    <t>Japan Yen</t>
  </si>
  <si>
    <t>USDJPY=X</t>
  </si>
  <si>
    <t>Gold</t>
  </si>
  <si>
    <t>GC=F</t>
  </si>
  <si>
    <t>Risk Mix</t>
  </si>
  <si>
    <t>Ticker</t>
  </si>
  <si>
    <t>Palantir</t>
  </si>
  <si>
    <t>PLTR</t>
  </si>
  <si>
    <t>ING Group NV</t>
  </si>
  <si>
    <t>ING</t>
  </si>
  <si>
    <t>Industrials</t>
  </si>
  <si>
    <t>3M</t>
  </si>
  <si>
    <t>MMM</t>
  </si>
  <si>
    <t>Excelon</t>
  </si>
  <si>
    <t>EXC</t>
  </si>
  <si>
    <t>PG&amp;E</t>
  </si>
  <si>
    <t>PCG</t>
  </si>
  <si>
    <t>APA</t>
  </si>
  <si>
    <t>Health</t>
  </si>
  <si>
    <t>Agios</t>
  </si>
  <si>
    <t>AGIO</t>
  </si>
  <si>
    <t>Albertson Companies</t>
  </si>
  <si>
    <t>ACI</t>
  </si>
  <si>
    <t>HCA Healthcare</t>
  </si>
  <si>
    <t>HCA</t>
  </si>
  <si>
    <t>Nombre Ticker</t>
  </si>
  <si>
    <t>Annual Return</t>
  </si>
  <si>
    <t>Annual Volatility</t>
  </si>
  <si>
    <t>Monthly Return</t>
  </si>
  <si>
    <t>Monthly Volatility</t>
  </si>
  <si>
    <t>3M Company</t>
  </si>
  <si>
    <t>Agios Pharmaceuticals, Inc.</t>
  </si>
  <si>
    <t>HCA Healthcare, Inc.</t>
  </si>
  <si>
    <t>Maxeon Solar Technologies, Ltd.</t>
  </si>
  <si>
    <t>NextEra Energy, Inc.</t>
  </si>
  <si>
    <t>First Solar, Inc.</t>
  </si>
  <si>
    <t>Duke Energy Corporation (Holdin</t>
  </si>
  <si>
    <t>JinkoSolar Holding Company Limi</t>
  </si>
  <si>
    <t>SolarWinds Corporation</t>
  </si>
  <si>
    <t>Canadian Solar Inc.</t>
  </si>
  <si>
    <t>Exelon Corporation</t>
  </si>
  <si>
    <t>Pacific Gas &amp; Electric Co.</t>
  </si>
  <si>
    <t>APA Corporation</t>
  </si>
  <si>
    <t>Altria Group, Inc.</t>
  </si>
  <si>
    <t>Kimberly-Clark Corporation</t>
  </si>
  <si>
    <t>Pepsico, Inc.</t>
  </si>
  <si>
    <t>Walmart Inc.</t>
  </si>
  <si>
    <t>Albertsons Companies, Inc.</t>
  </si>
  <si>
    <t>Taiwan Semiconductor Manufactur</t>
  </si>
  <si>
    <t>QUALCOMM Incorporated</t>
  </si>
  <si>
    <t>Apple Inc.</t>
  </si>
  <si>
    <t>Microsoft Corporation</t>
  </si>
  <si>
    <t>Alphabet Inc.</t>
  </si>
  <si>
    <t>ASML Holding N.V. - New York Re</t>
  </si>
  <si>
    <t>NVIDIA Corporation</t>
  </si>
  <si>
    <t>Applied Materials, Inc.</t>
  </si>
  <si>
    <t>Palantir Technologies Inc.</t>
  </si>
  <si>
    <t>YPF Sociedad Anonima</t>
  </si>
  <si>
    <t>YPF</t>
  </si>
  <si>
    <t>Yum! Brands, Inc.</t>
  </si>
  <si>
    <t>Ingredion Incorporated</t>
  </si>
  <si>
    <t>Yum China Holdings, Inc.</t>
  </si>
  <si>
    <t>Darling Ingredients Inc.</t>
  </si>
  <si>
    <t>Aptiv PLC</t>
  </si>
  <si>
    <t>ING Group, N.V.</t>
  </si>
  <si>
    <t>Visa Inc.</t>
  </si>
  <si>
    <t>Mastercard Incorporated</t>
  </si>
  <si>
    <t>ETF</t>
  </si>
  <si>
    <t>BOTZ.UK</t>
  </si>
  <si>
    <t>BATT.NL</t>
  </si>
  <si>
    <t>VBTC.DE</t>
  </si>
  <si>
    <t>ETF5</t>
  </si>
  <si>
    <t>BONDS</t>
  </si>
  <si>
    <t>VWO.US</t>
  </si>
  <si>
    <t>Robotics &amp; AI</t>
  </si>
  <si>
    <t>Batterey Value-Chain</t>
  </si>
  <si>
    <t>Emergin Markets</t>
  </si>
  <si>
    <t>Bitcoin ETF</t>
  </si>
  <si>
    <t>Ingredion</t>
  </si>
  <si>
    <t>Gold Feb 25</t>
  </si>
  <si>
    <t>USD/MXN</t>
  </si>
  <si>
    <t>USD/JPY</t>
  </si>
  <si>
    <t>Row Labels</t>
  </si>
  <si>
    <t>Initial Volume $</t>
  </si>
  <si>
    <t>$%</t>
  </si>
  <si>
    <t>Target Return %</t>
  </si>
  <si>
    <t>Target P&amp;L</t>
  </si>
  <si>
    <t>Grand Total</t>
  </si>
  <si>
    <t>Target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</si>
</sst>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000"/>
    <numFmt numFmtId="165" formatCode="[$-F800]dddd\,\ mmmm\ dd\,\ yyyy"/>
    <numFmt numFmtId="166" formatCode="0.0%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7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0" borderId="0" xfId="0" applyNumberFormat="1" applyAlignment="1">
      <alignment horizontal="left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/>
    <xf numFmtId="0" fontId="0" fillId="7" borderId="0" xfId="0" applyFill="1"/>
    <xf numFmtId="44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10" fontId="0" fillId="0" borderId="0" xfId="0" applyNumberFormat="1"/>
    <xf numFmtId="0" fontId="0" fillId="8" borderId="0" xfId="0" applyFill="1"/>
    <xf numFmtId="166" fontId="0" fillId="0" borderId="0" xfId="0" applyNumberFormat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left"/>
    </xf>
    <xf numFmtId="9" fontId="0" fillId="0" borderId="0" xfId="0" applyNumberFormat="1"/>
    <xf numFmtId="0" fontId="0" fillId="0" borderId="0" xfId="0" pivotButton="1"/>
    <xf numFmtId="0" fontId="0" fillId="0" borderId="0" xfId="0" applyAlignment="1">
      <alignment horizontal="left" indent="1"/>
    </xf>
  </cellXfs>
  <cellStyles count="3">
    <cellStyle name="Currency" xfId="1" builtinId="4"/>
    <cellStyle name="Normal" xfId="0" builtinId="0"/>
    <cellStyle name="Percent" xfId="2" builtinId="5"/>
  </cellStyles>
  <dxfs count="3">
    <dxf>
      <numFmt numFmtId="14" formatCode="0.00%"/>
    </dxf>
    <dxf>
      <alignment horizont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muel walton" refreshedDate="45697.788801273149" createdVersion="8" refreshedVersion="8" minRefreshableVersion="3" recordCount="51" xr:uid="{AB591AA1-F226-44DB-A2BB-AD1766B5125E}">
  <cacheSource type="worksheet">
    <worksheetSource ref="A1:T1048576" sheet="Positions"/>
  </cacheSource>
  <cacheFields count="22">
    <cacheField name="Chapter" numFmtId="0">
      <sharedItems containsBlank="1" count="11">
        <s v="Energy"/>
        <s v="ETF"/>
        <s v="Banking"/>
        <s v="US Consumer"/>
        <s v="Tech"/>
        <s v="Asia Consumer"/>
        <s v="Health"/>
        <s v="Forex"/>
        <s v="Automotive"/>
        <s v="Industrials"/>
        <m/>
      </sharedItems>
    </cacheField>
    <cacheField name="Name" numFmtId="0">
      <sharedItems containsBlank="1"/>
    </cacheField>
    <cacheField name="Ticker" numFmtId="0">
      <sharedItems containsBlank="1" count="46">
        <s v="APA"/>
        <s v="BOTZ.UK"/>
        <s v="BATT.NL"/>
        <s v="ING"/>
        <s v="MO"/>
        <s v="VWO.US"/>
        <s v="VBTC.DE"/>
        <s v="BONDS"/>
        <s v="ACI"/>
        <s v="YPF"/>
        <s v="EXC"/>
        <s v="KMB"/>
        <s v="PEP"/>
        <s v="NEE"/>
        <s v="TSM"/>
        <s v="INGR"/>
        <s v="AGIO"/>
        <s v="FSLR"/>
        <s v="AAPL"/>
        <s v="MSFT"/>
        <s v="MA"/>
        <s v="YUM"/>
        <s v="MAXN"/>
        <s v="V"/>
        <s v="QCOM"/>
        <s v="GOOGL"/>
        <s v="MC.PA"/>
        <s v="ASML"/>
        <s v="NVDA"/>
        <s v="AMAT"/>
        <s v="DUK"/>
        <s v="PLTR"/>
        <s v="JKS"/>
        <s v="SWI"/>
        <s v="CSIQ"/>
        <s v="GC=F"/>
        <s v="WMT"/>
        <s v="APTV"/>
        <s v="USDMXN=X"/>
        <s v="YUMC"/>
        <s v="DAR"/>
        <s v="USDJPY=X"/>
        <s v="MMM"/>
        <s v="PCG"/>
        <s v="HCA"/>
        <m/>
      </sharedItems>
    </cacheField>
    <cacheField name="Date" numFmtId="165">
      <sharedItems containsNonDate="0" containsDate="1" containsString="0" containsBlank="1" minDate="2024-06-17T00:00:00" maxDate="2025-02-01T00:00:00"/>
    </cacheField>
    <cacheField name="Volume" numFmtId="164">
      <sharedItems containsString="0" containsBlank="1" containsNumber="1" minValue="9.9999999999999998E-20" maxValue="2.2953000000000001"/>
    </cacheField>
    <cacheField name="Price" numFmtId="44">
      <sharedItems containsString="0" containsBlank="1" containsNumber="1" minValue="10.92" maxValue="2742.9"/>
    </cacheField>
    <cacheField name="Value" numFmtId="44">
      <sharedItems containsString="0" containsBlank="1" containsNumber="1" minValue="1.092E-18" maxValue="89.991048000000006"/>
    </cacheField>
    <cacheField name="Expected Return QoQ%" numFmtId="0">
      <sharedItems containsString="0" containsBlank="1" containsNumber="1" minValue="-1.8341000000000001" maxValue="0.72509999999999997"/>
    </cacheField>
    <cacheField name="Volatility" numFmtId="0">
      <sharedItems containsString="0" containsBlank="1" containsNumber="1" minValue="0.105" maxValue="1.4081999999999999"/>
    </cacheField>
    <cacheField name="Ranking" numFmtId="0">
      <sharedItems containsString="0" containsBlank="1" containsNumber="1" minValue="-1.3024428348245989" maxValue="1.3437731653076352"/>
    </cacheField>
    <cacheField name="Mix %" numFmtId="0">
      <sharedItems containsString="0" containsBlank="1" containsNumber="1" minValue="-0.14647433487221048" maxValue="0.15112239504474517"/>
    </cacheField>
    <cacheField name="Target Price" numFmtId="0">
      <sharedItems containsString="0" containsBlank="1" containsNumber="1" minValue="0" maxValue="3155.9807400000004"/>
    </cacheField>
    <cacheField name="Target Value" numFmtId="0">
      <sharedItems containsString="0" containsBlank="1" containsNumber="1" minValue="0" maxValue="99.971055223199997"/>
    </cacheField>
    <cacheField name="Tolerance" numFmtId="0">
      <sharedItems containsString="0" containsBlank="1" containsNumber="1" minValue="2.5740753836362349" maxValue="2757.2376357056696"/>
    </cacheField>
    <cacheField name="Unit Profit" numFmtId="0">
      <sharedItems containsString="0" containsBlank="1" containsNumber="1" minValue="-17.287199999999999" maxValue="413.08074000000033"/>
    </cacheField>
    <cacheField name="Unit Half Loss" numFmtId="0">
      <sharedItems containsString="0" containsBlank="1" containsNumber="1" minValue="-109.43402722397911" maxValue="7.1688178528347635"/>
    </cacheField>
    <cacheField name="Balance Risk" numFmtId="0">
      <sharedItems containsString="0" containsBlank="1" containsNumber="1" minValue="-123.30036322397916" maxValue="420.2495578528351"/>
    </cacheField>
    <cacheField name="Normalized Risk" numFmtId="0">
      <sharedItems containsString="0" containsBlank="1" containsNumber="1" minValue="0" maxValue="543.54992107681426"/>
    </cacheField>
    <cacheField name="Risk Mix" numFmtId="0">
      <sharedItems containsString="0" containsBlank="1" containsNumber="1" minValue="0" maxValue="2.8080220881230035E-3"/>
    </cacheField>
    <cacheField name="Normalized Risk %" numFmtId="0">
      <sharedItems containsString="0" containsBlank="1" containsNumber="1" minValue="0" maxValue="1.0857253751650462"/>
    </cacheField>
    <cacheField name="TargetReturn%_Metric" numFmtId="0" formula="'Target Value'/Value-1" databaseField="0"/>
    <cacheField name="TargetP&amp;L_metric" numFmtId="0" formula="'Target Value'-Value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">
  <r>
    <x v="0"/>
    <s v="APA"/>
    <x v="0"/>
    <d v="2024-12-01T00:00:00"/>
    <n v="2.2953000000000001"/>
    <n v="21.78"/>
    <n v="49.991634000000005"/>
    <n v="-5.62E-2"/>
    <n v="0.4531"/>
    <n v="-0.12403442948576474"/>
    <n v="-1.3949065613024133E-2"/>
    <n v="20.555963999999999"/>
    <n v="47.182104169200002"/>
    <n v="14.430530709600477"/>
    <n v="-1.2240360000000017"/>
    <n v="-3.674734645199762"/>
    <n v="-4.8987706451997637"/>
    <n v="425.14832849803486"/>
    <n v="2.352120267137831E-3"/>
    <n v="0.84922159043803613"/>
  </r>
  <r>
    <x v="1"/>
    <s v="Robotics &amp; AI"/>
    <x v="1"/>
    <d v="2024-07-08T00:00:00"/>
    <n v="2"/>
    <n v="20.928000000000001"/>
    <n v="41.856000000000002"/>
    <n v="2.5000000000000001E-2"/>
    <n v="0.25"/>
    <n v="0.1"/>
    <n v="1.1246123895482624E-2"/>
    <n v="21.4512"/>
    <n v="42.9024"/>
    <n v="17.08408163265306"/>
    <n v="0.52319999999999922"/>
    <n v="-1.9219591836734704"/>
    <n v="-1.3987591836734712"/>
    <n v="421.64831703650856"/>
    <n v="2.371644708624355E-3"/>
    <n v="0.8422304179444049"/>
  </r>
  <r>
    <x v="1"/>
    <s v="Batterey Value-Chain"/>
    <x v="2"/>
    <d v="2024-07-08T00:00:00"/>
    <n v="2"/>
    <n v="16.399000000000001"/>
    <n v="32.798000000000002"/>
    <n v="2.5000000000000001E-2"/>
    <n v="0.25"/>
    <n v="0.1"/>
    <n v="1.1246123895482624E-2"/>
    <n v="16.808975"/>
    <n v="33.61795"/>
    <n v="13.386938775510204"/>
    <n v="0.40997499999999931"/>
    <n v="-1.5060306122448983"/>
    <n v="-1.096055612244899"/>
    <n v="421.34561346508002"/>
    <n v="2.373348548181521E-3"/>
    <n v="0.84162577624378254"/>
  </r>
  <r>
    <x v="2"/>
    <s v="ING Group NV"/>
    <x v="3"/>
    <d v="2024-11-27T00:00:00"/>
    <n v="1.9595"/>
    <n v="15.3"/>
    <n v="29.980350000000001"/>
    <n v="0.12470000000000001"/>
    <n v="0.33310000000000001"/>
    <n v="0.37436205343740619"/>
    <n v="4.2101220347243569E-2"/>
    <n v="17.207910000000002"/>
    <n v="33.718899645"/>
    <n v="12.661370407149953"/>
    <n v="1.9079100000000011"/>
    <n v="-1.319314796425024"/>
    <n v="0.58859520357497708"/>
    <n v="419.66096264926011"/>
    <n v="2.3828759141358825E-3"/>
    <n v="0.83826073456480554"/>
  </r>
  <r>
    <x v="3"/>
    <s v="Altaria"/>
    <x v="4"/>
    <d v="2024-09-18T00:00:00"/>
    <n v="1.7345999999999999"/>
    <n v="51.88"/>
    <n v="89.991048000000006"/>
    <n v="0.1109"/>
    <n v="0.2039"/>
    <n v="0.54389406571848942"/>
    <n v="6.1167000490879003E-2"/>
    <n v="57.633492000000004"/>
    <n v="99.971055223199997"/>
    <n v="47.465690759377864"/>
    <n v="5.7534920000000014"/>
    <n v="-2.2071546203110692"/>
    <n v="3.5463373796889321"/>
    <n v="416.70322047314619"/>
    <n v="2.3997894685444205E-3"/>
    <n v="0.83235272941333582"/>
  </r>
  <r>
    <x v="1"/>
    <s v="Emergin Markets"/>
    <x v="5"/>
    <d v="2025-01-31T00:00:00"/>
    <n v="1"/>
    <n v="44.24"/>
    <n v="44.24"/>
    <n v="2.5000000000000001E-2"/>
    <n v="0.25"/>
    <n v="0.1"/>
    <n v="1.1246123895482624E-2"/>
    <n v="45.345999999999997"/>
    <n v="45.345999999999997"/>
    <n v="36.114285714285714"/>
    <n v="1.1059999999999945"/>
    <n v="-4.0628571428571441"/>
    <n v="-2.9568571428571495"/>
    <n v="423.20641499569223"/>
    <n v="2.36291314253868E-3"/>
    <n v="0.84534267392252604"/>
  </r>
  <r>
    <x v="1"/>
    <s v="Bitcoin ETF"/>
    <x v="6"/>
    <d v="2024-07-08T00:00:00"/>
    <n v="1"/>
    <n v="48.68"/>
    <n v="48.68"/>
    <n v="2.5000000000000001E-2"/>
    <n v="0.25"/>
    <n v="0.1"/>
    <n v="1.1246123895482624E-2"/>
    <n v="49.896999999999998"/>
    <n v="49.896999999999998"/>
    <n v="39.738775510204079"/>
    <n v="1.2169999999999987"/>
    <n v="-4.4706122448979606"/>
    <n v="-3.2536122448979619"/>
    <n v="423.50317009773306"/>
    <n v="2.3612574134196612E-3"/>
    <n v="0.84593543372618341"/>
  </r>
  <r>
    <x v="1"/>
    <s v="ETF5"/>
    <x v="7"/>
    <d v="2024-07-08T00:00:00"/>
    <n v="1"/>
    <n v="51.28"/>
    <n v="51.28"/>
    <n v="2.5000000000000001E-2"/>
    <n v="0.25"/>
    <n v="0.1"/>
    <n v="1.1246123895482624E-2"/>
    <n v="52.561999999999998"/>
    <n v="52.561999999999998"/>
    <n v="41.861224489795916"/>
    <n v="1.2819999999999965"/>
    <n v="-4.7093877551020427"/>
    <n v="-3.4273877551020462"/>
    <n v="423.67694560793711"/>
    <n v="2.3602889191081493E-3"/>
    <n v="0.84628254532291958"/>
  </r>
  <r>
    <x v="3"/>
    <s v="Albertson Companies"/>
    <x v="8"/>
    <d v="2024-12-04T00:00:00"/>
    <n v="1"/>
    <n v="20.36"/>
    <n v="20.36"/>
    <n v="6.1999999999999998E-3"/>
    <n v="0.25559999999999999"/>
    <n v="2.4256651017214397E-2"/>
    <n v="2.7279330262907769E-3"/>
    <n v="20.486231999999998"/>
    <n v="20.486231999999998"/>
    <n v="16.295821994557386"/>
    <n v="0.12623199999999812"/>
    <n v="-2.0320890027213068"/>
    <n v="-1.9058570027213086"/>
    <n v="422.15541485555639"/>
    <n v="2.3687958624009535E-3"/>
    <n v="0.84324333129142626"/>
  </r>
  <r>
    <x v="0"/>
    <s v="YPF"/>
    <x v="9"/>
    <d v="2024-12-01T00:00:00"/>
    <n v="0.95840000000000003"/>
    <n v="41.76"/>
    <n v="40.022784000000001"/>
    <n v="0.72509999999999997"/>
    <n v="0.53959999999999997"/>
    <n v="1.3437731653076352"/>
    <n v="0.15112239504474517"/>
    <n v="72.040175999999988"/>
    <n v="69.043304678399991"/>
    <n v="51.270718232044189"/>
    <n v="30.28017599999999"/>
    <n v="4.7553591160220954"/>
    <n v="35.035535116022089"/>
    <n v="385.21402273681304"/>
    <n v="2.5959594951797033E-3"/>
    <n v="0.76945396022908807"/>
  </r>
  <r>
    <x v="0"/>
    <s v="Excelon"/>
    <x v="10"/>
    <d v="2024-12-01T00:00:00"/>
    <n v="0.52039999999999997"/>
    <n v="40.340000000000003"/>
    <n v="20.992936"/>
    <n v="3.9699999999999999E-2"/>
    <n v="0.2208"/>
    <n v="0.17980072463768115"/>
    <n v="2.0220612257729174E-2"/>
    <n v="41.941498000000003"/>
    <n v="21.8263555592"/>
    <n v="34.154601642536619"/>
    <n v="1.6014979999999994"/>
    <n v="-3.0926991787316922"/>
    <n v="-1.4912011787316928"/>
    <n v="421.74075903156677"/>
    <n v="2.3711248642324162E-3"/>
    <n v="0.84241506817775746"/>
  </r>
  <r>
    <x v="3"/>
    <s v="Kimberly Clark"/>
    <x v="11"/>
    <d v="2024-09-09T00:00:00"/>
    <n v="0.51380000000000003"/>
    <n v="138.53"/>
    <n v="71.176714000000004"/>
    <n v="6.4000000000000003E-3"/>
    <n v="0.1852"/>
    <n v="3.4557235421166309E-2"/>
    <n v="3.8863495103179696E-3"/>
    <n v="139.41659200000001"/>
    <n v="71.632244969600009"/>
    <n v="117.51781472684085"/>
    <n v="0.88659200000000737"/>
    <n v="-10.506092636579574"/>
    <n v="-9.6195006365795663"/>
    <n v="429.86905848941467"/>
    <n v="2.3262897858107286E-3"/>
    <n v="0.85865111317771359"/>
  </r>
  <r>
    <x v="3"/>
    <s v="Pepsi"/>
    <x v="12"/>
    <d v="2024-06-17T00:00:00"/>
    <n v="0.51239999999999997"/>
    <n v="157.99"/>
    <n v="80.954076000000001"/>
    <n v="-3.0200000000000001E-2"/>
    <n v="0.1744"/>
    <n v="-0.17316513761467892"/>
    <n v="-1.9474365919929775E-2"/>
    <n v="153.21870200000001"/>
    <n v="78.509262904799996"/>
    <n v="131.15557031379714"/>
    <n v="-4.7712980000000016"/>
    <n v="-13.417214843101434"/>
    <n v="-18.188512843101435"/>
    <n v="438.43807069593652"/>
    <n v="2.2808238308609729E-3"/>
    <n v="0.87576746925093063"/>
  </r>
  <r>
    <x v="0"/>
    <s v="NextEra Energy"/>
    <x v="13"/>
    <d v="2024-08-07T00:00:00"/>
    <n v="0.45179999999999998"/>
    <n v="77.430000000000007"/>
    <n v="34.982874000000002"/>
    <n v="-7.0400000000000004E-2"/>
    <n v="0.28639999999999999"/>
    <n v="-0.24581005586592181"/>
    <n v="-2.7644103430236617E-2"/>
    <n v="71.97892800000001"/>
    <n v="32.520079670400001"/>
    <n v="57.068101415094347"/>
    <n v="-5.4510719999999964"/>
    <n v="-10.18094929245283"/>
    <n v="-15.632021292452826"/>
    <n v="435.8815791452879"/>
    <n v="2.2942011037972321E-3"/>
    <n v="0.87066095071361682"/>
  </r>
  <r>
    <x v="4"/>
    <s v="TSMC"/>
    <x v="14"/>
    <d v="2024-07-11T00:00:00"/>
    <n v="0.4108"/>
    <n v="189.76"/>
    <n v="77.953407999999996"/>
    <n v="0.17019999999999999"/>
    <n v="0.38159999999999999"/>
    <n v="0.44601677148846958"/>
    <n v="5.0159598716224905E-2"/>
    <n v="222.05715199999997"/>
    <n v="91.221078041599995"/>
    <n v="156.64520389631829"/>
    <n v="32.297151999999983"/>
    <n v="-16.557398051840849"/>
    <n v="15.739753948159134"/>
    <n v="404.50980390467595"/>
    <n v="2.4721279690804558E-3"/>
    <n v="0.80799672959620927"/>
  </r>
  <r>
    <x v="5"/>
    <s v="Ingredion"/>
    <x v="15"/>
    <d v="2024-10-15T00:00:00"/>
    <n v="0.34860000000000002"/>
    <n v="131.91"/>
    <n v="45.983826000000001"/>
    <n v="0.1167"/>
    <n v="0.22509999999999999"/>
    <n v="0.51843625055530873"/>
    <n v="5.8303983056544738E-2"/>
    <n v="147.30389700000001"/>
    <n v="51.350138494200003"/>
    <n v="119.00938289426199"/>
    <n v="15.39389700000001"/>
    <n v="-6.4503085528690036"/>
    <n v="8.9435884471310061"/>
    <n v="411.3059694057041"/>
    <n v="2.4312800551980797E-3"/>
    <n v="0.821571875230799"/>
  </r>
  <r>
    <x v="6"/>
    <s v="Agios"/>
    <x v="16"/>
    <d v="2024-12-04T00:00:00"/>
    <n v="0.28749999999999998"/>
    <n v="34.78"/>
    <n v="9.99925"/>
    <n v="-1.2800000000000001E-2"/>
    <n v="0.56640000000000001"/>
    <n v="-2.2598870056497175E-2"/>
    <n v="-2.5414969255327961E-3"/>
    <n v="34.334815999999996"/>
    <n v="9.8712595999999984"/>
    <n v="22.023809523809526"/>
    <n v="-0.44518400000000469"/>
    <n v="-6.3780952380952378"/>
    <n v="-6.8232792380952425"/>
    <n v="427.07283709093036"/>
    <n v="2.3415209611822832E-3"/>
    <n v="0.85306574114619993"/>
  </r>
  <r>
    <x v="0"/>
    <s v="First Solar"/>
    <x v="17"/>
    <d v="2024-08-07T00:00:00"/>
    <n v="0.25169999999999998"/>
    <n v="178.56"/>
    <n v="44.943551999999997"/>
    <n v="0.2082"/>
    <n v="0.51629999999999998"/>
    <n v="0.4032539221382917"/>
    <n v="4.5350435697065317E-2"/>
    <n v="215.73619199999999"/>
    <n v="54.300799526399992"/>
    <n v="136.50332543383533"/>
    <n v="37.176191999999986"/>
    <n v="-21.028337283082337"/>
    <n v="16.147854716917649"/>
    <n v="404.10170313591743"/>
    <n v="2.4746245616877674E-3"/>
    <n v="0.80718156001732733"/>
  </r>
  <r>
    <x v="4"/>
    <s v="Apple2"/>
    <x v="18"/>
    <d v="2024-07-09T00:00:00"/>
    <n v="0.18820000000000001"/>
    <n v="227.38"/>
    <n v="42.792915999999998"/>
    <n v="7.7799999999999994E-2"/>
    <n v="0.27179999999999999"/>
    <n v="0.28623988226637231"/>
    <n v="3.2190891797959822E-2"/>
    <n v="245.07016400000001"/>
    <n v="46.122204864800004"/>
    <n v="190.43551088777221"/>
    <n v="17.69016400000001"/>
    <n v="-18.472244556113893"/>
    <n v="-0.78208055611388261"/>
    <n v="421.03163840894899"/>
    <n v="2.3751184205038239E-3"/>
    <n v="0.84099862007579895"/>
  </r>
  <r>
    <x v="4"/>
    <s v="Microsoft"/>
    <x v="19"/>
    <d v="2024-10-09T00:00:00"/>
    <n v="0.16059999999999999"/>
    <n v="421.18"/>
    <n v="67.641508000000002"/>
    <n v="7.3899999999999993E-2"/>
    <n v="0.27660000000000001"/>
    <n v="0.26717281272595805"/>
    <n v="3.0046585534207009E-2"/>
    <n v="452.30520200000007"/>
    <n v="72.640215441200013"/>
    <n v="350.19539369751396"/>
    <n v="31.125202000000058"/>
    <n v="-35.492303151243021"/>
    <n v="-4.3671011512429629"/>
    <n v="424.61665900407809"/>
    <n v="2.3550653955628151E-3"/>
    <n v="0.84815959587524326"/>
  </r>
  <r>
    <x v="2"/>
    <s v="Master Card"/>
    <x v="20"/>
    <d v="2024-08-07T00:00:00"/>
    <n v="0.12939999999999999"/>
    <n v="501.56"/>
    <n v="64.901863999999989"/>
    <n v="0.1414"/>
    <n v="0.2291"/>
    <n v="0.61719773024879965"/>
    <n v="6.9410821423886646E-2"/>
    <n v="572.48058400000002"/>
    <n v="74.078987569600002"/>
    <n v="461.11979406086232"/>
    <n v="70.920584000000019"/>
    <n v="-20.220102969568842"/>
    <n v="50.700481030431177"/>
    <n v="369.54907682240389"/>
    <n v="2.7060005361089702E-3"/>
    <n v="0.7381636801271827"/>
  </r>
  <r>
    <x v="5"/>
    <s v="Yum! Brands"/>
    <x v="21"/>
    <d v="2024-10-15T00:00:00"/>
    <n v="2.9999999999999997E-4"/>
    <n v="130.51"/>
    <n v="3.9152999999999993E-2"/>
    <n v="3.49E-2"/>
    <n v="0.19839999999999999"/>
    <n v="0.17590725806451613"/>
    <n v="1.9782748183081834E-2"/>
    <n v="135.06479899999999"/>
    <n v="4.0519439699999993E-2"/>
    <n v="112.17017619252256"/>
    <n v="4.5547990000000027"/>
    <n v="-9.1699119037387149"/>
    <n v="-4.6151129037387122"/>
    <n v="424.86467075657379"/>
    <n v="2.3536906427622218E-3"/>
    <n v="0.84865499223642815"/>
  </r>
  <r>
    <x v="0"/>
    <s v="Maxeon Solar"/>
    <x v="22"/>
    <d v="2024-08-07T00:00:00"/>
    <n v="9.9999999999999998E-20"/>
    <n v="10.92"/>
    <n v="1.092E-18"/>
    <n v="-1.8341000000000001"/>
    <n v="1.4081999999999999"/>
    <n v="-1.3024428348245989"/>
    <n v="-0.14647433487221048"/>
    <n v="0"/>
    <n v="0"/>
    <n v="2.5740753836362349"/>
    <n v="-10.92"/>
    <n v="-4.1729623081818827"/>
    <n v="-15.092962308181882"/>
    <n v="435.34252016101698"/>
    <n v="2.2970418778072428E-3"/>
    <n v="0.86958419585589519"/>
  </r>
  <r>
    <x v="2"/>
    <s v="Visa"/>
    <x v="23"/>
    <d v="2024-08-07T00:00:00"/>
    <n v="9.9999999999999998E-20"/>
    <n v="283.43"/>
    <n v="2.8342999999999998E-17"/>
    <n v="0.15409999999999999"/>
    <n v="0.21940000000000001"/>
    <n v="0.70237010027347302"/>
    <n v="7.8989411681580315E-2"/>
    <n v="327.10656299999999"/>
    <n v="3.2710656299999999E-17"/>
    <n v="266.05650990331361"/>
    <n v="43.676562999999987"/>
    <n v="-8.6867450483431981"/>
    <n v="34.989817951656789"/>
    <n v="385.25973990117831"/>
    <n v="2.5956514435079739E-3"/>
    <n v="0.76954527895347236"/>
  </r>
  <r>
    <x v="4"/>
    <s v="QualComm2"/>
    <x v="24"/>
    <d v="2024-09-09T00:00:00"/>
    <n v="9.9999999999999998E-20"/>
    <n v="188.12"/>
    <n v="1.8812000000000001E-17"/>
    <n v="-1.1599999999999999E-2"/>
    <n v="0.39100000000000001"/>
    <n v="-2.9667519181585673E-2"/>
    <n v="-3.3364459638771972E-3"/>
    <n v="185.93780799999999"/>
    <n v="1.8593780799999998E-17"/>
    <n v="134.12234421788108"/>
    <n v="-2.1821920000000148"/>
    <n v="-26.998827891059463"/>
    <n v="-29.181019891059478"/>
    <n v="449.43057774389456"/>
    <n v="2.2250377466969864E-3"/>
    <n v="0.89772468674993211"/>
  </r>
  <r>
    <x v="4"/>
    <s v="Google"/>
    <x v="25"/>
    <d v="2025-01-21T00:00:00"/>
    <n v="5.3800000000000001E-2"/>
    <n v="185.82"/>
    <n v="9.9971160000000001"/>
    <n v="8.0799999999999997E-2"/>
    <n v="0.32900000000000001"/>
    <n v="0.24559270516717324"/>
    <n v="2.7619659901367659E-2"/>
    <n v="200.83425599999998"/>
    <n v="10.8048829728"/>
    <n v="148.87037333760614"/>
    <n v="15.014255999999989"/>
    <n v="-18.474813331196927"/>
    <n v="-3.460557331196938"/>
    <n v="423.71011518403202"/>
    <n v="2.3601041470668344E-3"/>
    <n v="0.84634880059967199"/>
  </r>
  <r>
    <x v="5"/>
    <s v="LVMH"/>
    <x v="26"/>
    <d v="2024-09-27T00:00:00"/>
    <n v="9.9999999999999998E-20"/>
    <n v="668.82"/>
    <n v="6.6881999999999999E-17"/>
    <n v="-4.3E-3"/>
    <n v="0.2974"/>
    <n v="-1.4458641560188298E-2"/>
    <n v="-1.6260367434625179E-3"/>
    <n v="665.94407400000011"/>
    <n v="6.6594407400000007E-17"/>
    <n v="513.8050241991242"/>
    <n v="-2.8759259999999358"/>
    <n v="-77.507487900437923"/>
    <n v="-80.383413900437859"/>
    <n v="500.63297175327295"/>
    <n v="1.9974713141603269E-3"/>
    <n v="1"/>
  </r>
  <r>
    <x v="4"/>
    <s v="ASML"/>
    <x v="27"/>
    <d v="2024-07-08T00:00:00"/>
    <n v="9.9999999999999998E-20"/>
    <n v="700.32"/>
    <n v="7.0031999999999998E-17"/>
    <n v="-1.9800000000000002E-2"/>
    <n v="0.43480000000000002"/>
    <n v="-4.5538178472861089E-2"/>
    <n v="-5.1212799708039549E-3"/>
    <n v="686.453664"/>
    <n v="6.8645366400000003E-17"/>
    <n v="481.45194555204182"/>
    <n v="-13.866336000000047"/>
    <n v="-109.43402722397911"/>
    <n v="-123.30036322397916"/>
    <n v="543.54992107681426"/>
    <n v="1.8397574191877776E-3"/>
    <n v="1.0857253751650462"/>
  </r>
  <r>
    <x v="4"/>
    <s v="Nvidia"/>
    <x v="28"/>
    <d v="2024-07-09T00:00:00"/>
    <n v="9.9999999999999998E-20"/>
    <n v="147.01"/>
    <n v="1.4700999999999999E-17"/>
    <n v="0.47439999999999999"/>
    <n v="0.55710000000000004"/>
    <n v="0.85155268353975944"/>
    <n v="9.5766669826188408E-2"/>
    <n v="216.75154399999997"/>
    <n v="2.1675154399999996E-17"/>
    <n v="135.78091807518237"/>
    <n v="69.741543999999976"/>
    <n v="-5.6145409624088103"/>
    <n v="64.127003037591166"/>
    <n v="356.12255481524392"/>
    <n v="2.8080220881230035E-3"/>
    <n v="0.71134458756893837"/>
  </r>
  <r>
    <x v="4"/>
    <s v="Applied Material"/>
    <x v="29"/>
    <d v="2024-07-08T00:00:00"/>
    <n v="9.9999999999999998E-20"/>
    <n v="169.34"/>
    <n v="1.6933999999999999E-17"/>
    <n v="4.6899999999999997E-2"/>
    <n v="0.42930000000000001"/>
    <n v="0.10924761239226646"/>
    <n v="1.2286121842490914E-2"/>
    <n v="177.28204599999998"/>
    <n v="1.7728204599999998E-17"/>
    <n v="122.49710648148148"/>
    <n v="7.9420459999999764"/>
    <n v="-23.421446759259261"/>
    <n v="-15.479400759259285"/>
    <n v="435.7289586120944"/>
    <n v="2.2950046817756843E-3"/>
    <n v="0.87035609557661098"/>
  </r>
  <r>
    <x v="0"/>
    <s v="Duke Energy"/>
    <x v="30"/>
    <d v="2024-08-07T00:00:00"/>
    <n v="9.9999999999999998E-20"/>
    <n v="113.58"/>
    <n v="1.1357999999999999E-17"/>
    <n v="7.3599999999999999E-2"/>
    <n v="0.18840000000000001"/>
    <n v="0.39065817409766451"/>
    <n v="4.3933902266853557E-2"/>
    <n v="121.93948799999998"/>
    <n v="1.2193948799999998E-17"/>
    <n v="101.88374596340148"/>
    <n v="8.3594879999999847"/>
    <n v="-5.8481270182992589"/>
    <n v="2.5113609817007259"/>
    <n v="417.73819687113439"/>
    <n v="2.393843817706917E-3"/>
    <n v="0.83442006507915023"/>
  </r>
  <r>
    <x v="4"/>
    <s v="Palantir"/>
    <x v="31"/>
    <d v="2024-07-08T00:00:00"/>
    <n v="9.9999999999999998E-20"/>
    <n v="64.349999999999994"/>
    <n v="6.4349999999999993E-18"/>
    <n v="0.58009999999999995"/>
    <n v="0.68779999999999997"/>
    <n v="0.84341378307647563"/>
    <n v="9.4851358996357507E-2"/>
    <n v="101.67943499999998"/>
    <n v="1.0167943499999998E-17"/>
    <n v="58.093346573982124"/>
    <n v="37.329434999999989"/>
    <n v="-3.1283267130089349"/>
    <n v="34.201108286991058"/>
    <n v="386.04844956584407"/>
    <n v="2.5903484423383002E-3"/>
    <n v="0.77112070388384324"/>
  </r>
  <r>
    <x v="0"/>
    <s v="Jinko Solar"/>
    <x v="32"/>
    <d v="2024-08-07T00:00:00"/>
    <n v="9.9999999999999998E-20"/>
    <n v="20.82"/>
    <n v="2.0820000000000002E-18"/>
    <n v="-0.2054"/>
    <n v="0.70030000000000003"/>
    <n v="-0.29330287019848633"/>
    <n v="-3.2985204171528351E-2"/>
    <n v="16.543572000000001"/>
    <n v="1.6543572000000001E-18"/>
    <n v="10.925119378705988"/>
    <n v="-4.2764279999999992"/>
    <n v="-4.9474403106470062"/>
    <n v="-9.2238683106470063"/>
    <n v="429.47342616348209"/>
    <n v="2.3284327715758202E-3"/>
    <n v="0.85786084895570869"/>
  </r>
  <r>
    <x v="0"/>
    <s v="SolarWinds"/>
    <x v="33"/>
    <d v="2024-08-07T00:00:00"/>
    <n v="9.9999999999999998E-20"/>
    <n v="13.04"/>
    <n v="1.304E-18"/>
    <n v="0.1043"/>
    <n v="0.40300000000000002"/>
    <n v="0.25880893300248137"/>
    <n v="2.9105973258035669E-2"/>
    <n v="14.400072"/>
    <n v="1.4400072E-18"/>
    <n v="10.04081004081004"/>
    <n v="1.3600720000000006"/>
    <n v="-1.4995949795949794"/>
    <n v="-0.13952297959497884"/>
    <n v="420.38908083243007"/>
    <n v="2.3787487487064553E-3"/>
    <n v="0.83971512974900597"/>
  </r>
  <r>
    <x v="0"/>
    <s v="Canadian Solar"/>
    <x v="34"/>
    <d v="2024-08-07T00:00:00"/>
    <n v="9.9999999999999998E-20"/>
    <n v="11.05"/>
    <n v="1.1050000000000001E-18"/>
    <n v="-0.36459999999999998"/>
    <n v="0.628"/>
    <n v="-0.58057324840764324"/>
    <n v="-6.5291986819951658E-2"/>
    <n v="7.0211699999999997"/>
    <n v="7.0211699999999999E-19"/>
    <n v="5.545518418147144"/>
    <n v="-4.028830000000001"/>
    <n v="-2.7522407909264284"/>
    <n v="-6.7810707909264298"/>
    <n v="427.03062864376153"/>
    <n v="2.3417524011707888E-3"/>
    <n v="0.85298143098376489"/>
  </r>
  <r>
    <x v="7"/>
    <s v="Gold"/>
    <x v="35"/>
    <d v="2025-01-20T00:00:00"/>
    <n v="9.9999999999999998E-20"/>
    <n v="2742.9"/>
    <n v="2.7429000000000002E-16"/>
    <n v="0.15060000000000001"/>
    <n v="0.1454"/>
    <n v="1.0357634112792298"/>
    <n v="0.11648323649653942"/>
    <n v="3155.9807400000004"/>
    <n v="3.1559807400000002E-16"/>
    <n v="2757.2376357056696"/>
    <n v="413.08074000000033"/>
    <n v="7.1688178528347635"/>
    <n v="420.2495578528351"/>
    <n v="0"/>
    <n v="0"/>
    <n v="0"/>
  </r>
  <r>
    <x v="3"/>
    <s v="Walmart"/>
    <x v="36"/>
    <d v="2024-08-01T00:00:00"/>
    <n v="9.9999999999999998E-20"/>
    <n v="86.6"/>
    <n v="8.6599999999999986E-18"/>
    <n v="0.25409999999999999"/>
    <n v="0.20669999999999999"/>
    <n v="1.2293178519593615"/>
    <n v="0.13825060870063546"/>
    <n v="108.60505999999999"/>
    <n v="1.0860505999999999E-17"/>
    <n v="90.909090909090892"/>
    <n v="22.00506"/>
    <n v="2.154545454545449"/>
    <n v="24.159605454545449"/>
    <n v="396.08995239828965"/>
    <n v="2.5246790380444857E-3"/>
    <n v="0.79117831774271297"/>
  </r>
  <r>
    <x v="8"/>
    <s v="Aptive Autoparts"/>
    <x v="37"/>
    <d v="2024-09-27T00:00:00"/>
    <n v="9.9999999999999998E-20"/>
    <n v="56"/>
    <n v="5.5999999999999995E-18"/>
    <n v="-0.30869999999999997"/>
    <n v="0.41749999999999998"/>
    <n v="-0.73940119760479039"/>
    <n v="-8.3153974767317021E-2"/>
    <n v="38.712800000000001"/>
    <n v="3.8712800000000001E-18"/>
    <n v="32.441200324412002"/>
    <n v="-17.287199999999999"/>
    <n v="-11.779399837793999"/>
    <n v="-29.066599837793998"/>
    <n v="449.3161576906291"/>
    <n v="2.2256043609465239E-3"/>
    <n v="0.8974961359757696"/>
  </r>
  <r>
    <x v="7"/>
    <s v="Mexican Peso"/>
    <x v="38"/>
    <d v="2024-10-15T00:00:00"/>
    <n v="9.9999999999999998E-20"/>
    <n v="20.399999999999999"/>
    <n v="2.0399999999999999E-18"/>
    <n v="6.9999999999999999E-4"/>
    <n v="0.1174"/>
    <n v="5.9625212947189091E-3"/>
    <n v="6.7055253209862312E-4"/>
    <n v="20.414279999999998"/>
    <n v="2.0414279999999996E-18"/>
    <n v="18.268111399659709"/>
    <n v="1.4279999999999404E-2"/>
    <n v="-1.0659443001701447"/>
    <n v="-1.0516643001701453"/>
    <n v="421.30122215300526"/>
    <n v="2.3735986211709274E-3"/>
    <n v="0.84153710587131525"/>
  </r>
  <r>
    <x v="5"/>
    <s v="Yum China Holding"/>
    <x v="39"/>
    <d v="2024-10-09T00:00:00"/>
    <n v="9.9999999999999998E-20"/>
    <n v="47.42"/>
    <n v="4.7419999999999999E-18"/>
    <n v="3.3999999999999998E-3"/>
    <n v="0.42030000000000001"/>
    <n v="8.0894599095883892E-3"/>
    <n v="9.0975068390770691E-4"/>
    <n v="47.581228000000003"/>
    <n v="4.7581228000000004E-18"/>
    <n v="33.467428894064504"/>
    <n v="0.16122800000000126"/>
    <n v="-6.9762855529677488"/>
    <n v="-6.8150575529677475"/>
    <n v="427.06461540580284"/>
    <n v="2.3415660392509595E-3"/>
    <n v="0.85304931856600363"/>
  </r>
  <r>
    <x v="5"/>
    <s v="MSG"/>
    <x v="40"/>
    <d v="2024-08-03T00:00:00"/>
    <n v="9.9999999999999998E-20"/>
    <n v="41.8"/>
    <n v="4.1799999999999993E-18"/>
    <n v="-0.18279999999999999"/>
    <n v="0.40949999999999998"/>
    <n v="-0.44639804639804642"/>
    <n v="-5.0202477364938304E-2"/>
    <n v="34.15896"/>
    <n v="3.4158960000000001E-18"/>
    <n v="26.251334547509888"/>
    <n v="-7.6410399999999967"/>
    <n v="-7.7743327262450546"/>
    <n v="-15.415372726245051"/>
    <n v="435.66493057908013"/>
    <n v="2.2953419699648834E-3"/>
    <n v="0.87022820141736279"/>
  </r>
  <r>
    <x v="7"/>
    <s v="Japan Yen"/>
    <x v="41"/>
    <d v="2024-10-09T00:00:00"/>
    <n v="9.9999999999999998E-20"/>
    <n v="153.7552"/>
    <n v="1.5375519999999999E-17"/>
    <n v="8.4900000000000003E-2"/>
    <n v="0.105"/>
    <n v="0.80857142857142861"/>
    <n v="9.0932944640616645E-2"/>
    <n v="166.80901648"/>
    <n v="1.6680901648000001E-17"/>
    <n v="150.72561513577099"/>
    <n v="13.053816479999995"/>
    <n v="-1.5147924321145041"/>
    <n v="11.539024047885491"/>
    <n v="408.71053380494959"/>
    <n v="2.4467194194638339E-3"/>
    <n v="0.81638756707054139"/>
  </r>
  <r>
    <x v="9"/>
    <s v="3M"/>
    <x v="42"/>
    <d v="2024-12-01T00:00:00"/>
    <n v="9.9999999999999998E-20"/>
    <n v="133.53"/>
    <n v="1.3353E-17"/>
    <n v="4.6300000000000001E-2"/>
    <n v="0.28910000000000002"/>
    <n v="0.16015219647180906"/>
    <n v="1.8010914436556398E-2"/>
    <n v="139.71243899999999"/>
    <n v="1.39712439E-17"/>
    <n v="107.4428709365948"/>
    <n v="6.182438999999988"/>
    <n v="-13.0435645317026"/>
    <n v="-6.8611255317026121"/>
    <n v="427.11068338453771"/>
    <n v="2.3413134789224571E-3"/>
    <n v="0.85314133803202785"/>
  </r>
  <r>
    <x v="0"/>
    <s v="PG&amp;E"/>
    <x v="43"/>
    <d v="2024-12-01T00:00:00"/>
    <n v="9.9999999999999998E-20"/>
    <n v="26.63"/>
    <n v="2.663E-18"/>
    <n v="7.4700000000000003E-2"/>
    <n v="0.27450000000000002"/>
    <n v="0.27213114754098361"/>
    <n v="3.0604206010657629E-2"/>
    <n v="28.619260999999998"/>
    <n v="2.8619260999999998E-18"/>
    <n v="22.195365894315717"/>
    <n v="1.9892609999999991"/>
    <n v="-2.2173170528421409"/>
    <n v="-0.22805605284214181"/>
    <n v="420.47761390567723"/>
    <n v="2.3782478946056873E-3"/>
    <n v="0.83989197202317167"/>
  </r>
  <r>
    <x v="6"/>
    <s v="HCA Healthcare"/>
    <x v="44"/>
    <d v="2024-12-04T00:00:00"/>
    <n v="9.9999999999999998E-20"/>
    <n v="323.75"/>
    <n v="3.2375000000000002E-17"/>
    <n v="8.5699999999999998E-2"/>
    <n v="0.31409999999999999"/>
    <n v="0.2728430436166826"/>
    <n v="3.0684266725337819E-2"/>
    <n v="351.49537500000002"/>
    <n v="3.5149537499999999E-17"/>
    <n v="263.55421686746985"/>
    <n v="27.745375000000024"/>
    <n v="-30.097891566265076"/>
    <n v="-2.3525165662650522"/>
    <n v="422.60207441910018"/>
    <n v="2.3662922179797123E-3"/>
    <n v="0.84413552095680033"/>
  </r>
  <r>
    <x v="10"/>
    <m/>
    <x v="45"/>
    <m/>
    <m/>
    <m/>
    <m/>
    <m/>
    <m/>
    <m/>
    <m/>
    <m/>
    <m/>
    <m/>
    <m/>
    <m/>
    <m/>
    <m/>
    <m/>
    <m/>
  </r>
  <r>
    <x v="10"/>
    <m/>
    <x v="45"/>
    <m/>
    <m/>
    <m/>
    <m/>
    <m/>
    <m/>
    <m/>
    <m/>
    <m/>
    <m/>
    <m/>
    <m/>
    <m/>
    <m/>
    <m/>
    <m/>
    <m/>
  </r>
  <r>
    <x v="10"/>
    <m/>
    <x v="45"/>
    <m/>
    <m/>
    <m/>
    <m/>
    <m/>
    <m/>
    <m/>
    <m/>
    <m/>
    <m/>
    <m/>
    <m/>
    <m/>
    <m/>
    <m/>
    <m/>
    <m/>
  </r>
  <r>
    <x v="10"/>
    <m/>
    <x v="45"/>
    <m/>
    <m/>
    <m/>
    <m/>
    <m/>
    <m/>
    <m/>
    <m/>
    <m/>
    <m/>
    <m/>
    <m/>
    <m/>
    <m/>
    <m/>
    <m/>
    <m/>
  </r>
  <r>
    <x v="10"/>
    <m/>
    <x v="45"/>
    <m/>
    <m/>
    <m/>
    <m/>
    <m/>
    <m/>
    <m/>
    <m/>
    <m/>
    <m/>
    <m/>
    <m/>
    <m/>
    <m/>
    <m/>
    <m/>
    <m/>
  </r>
  <r>
    <x v="10"/>
    <m/>
    <x v="45"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C9E47C-0324-45D9-96E2-71F0F41D16E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3:F17" firstHeaderRow="0" firstDataRow="1" firstDataCol="1"/>
  <pivotFields count="22">
    <pivotField axis="axisRow" showAll="0" sortType="descending">
      <items count="12">
        <item sd="0" x="5"/>
        <item sd="0" x="8"/>
        <item sd="0" x="2"/>
        <item sd="0" x="0"/>
        <item x="7"/>
        <item sd="0" x="6"/>
        <item sd="0" x="9"/>
        <item sd="0" x="4"/>
        <item sd="0" x="3"/>
        <item sd="0" x="1"/>
        <item h="1" sd="0" x="10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descending">
      <items count="47">
        <item x="18"/>
        <item x="8"/>
        <item x="16"/>
        <item x="29"/>
        <item x="0"/>
        <item x="37"/>
        <item x="27"/>
        <item x="2"/>
        <item x="7"/>
        <item x="1"/>
        <item x="34"/>
        <item x="40"/>
        <item x="30"/>
        <item x="10"/>
        <item x="17"/>
        <item x="35"/>
        <item x="25"/>
        <item x="44"/>
        <item x="3"/>
        <item x="15"/>
        <item x="32"/>
        <item x="11"/>
        <item x="20"/>
        <item x="22"/>
        <item x="26"/>
        <item x="42"/>
        <item x="4"/>
        <item x="19"/>
        <item x="13"/>
        <item x="28"/>
        <item x="43"/>
        <item x="12"/>
        <item x="31"/>
        <item x="24"/>
        <item x="33"/>
        <item x="14"/>
        <item x="41"/>
        <item x="38"/>
        <item x="23"/>
        <item x="6"/>
        <item x="36"/>
        <item x="9"/>
        <item x="21"/>
        <item x="39"/>
        <item x="45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5" showAll="0"/>
    <pivotField numFmtId="164" showAll="0"/>
    <pivotField numFmtId="44" showAll="0"/>
    <pivotField dataField="1" numFmtId="44" showAll="0"/>
    <pivotField showAll="0"/>
    <pivotField showAll="0"/>
    <pivotField numFmtId="9" showAll="0"/>
    <pivotField numFmtId="9" showAll="0"/>
    <pivotField numFmtId="44" showAll="0"/>
    <pivotField showAll="0"/>
    <pivotField numFmtId="44" showAll="0"/>
    <pivotField numFmtId="44" showAll="0"/>
    <pivotField numFmtId="44" showAll="0"/>
    <pivotField numFmtId="44" showAll="0"/>
    <pivotField numFmtId="44" showAll="0"/>
    <pivotField numFmtId="9" showAll="0"/>
    <pivotField numFmtId="9" showAll="0"/>
    <pivotField dataField="1" dragToRow="0" dragToCol="0" dragToPage="0" showAll="0" defaultSubtotal="0"/>
    <pivotField dataField="1" dragToRow="0" dragToCol="0" dragToPage="0" showAll="0" defaultSubtotal="0"/>
  </pivotFields>
  <rowFields count="2">
    <field x="0"/>
    <field x="2"/>
  </rowFields>
  <rowItems count="14">
    <i>
      <x v="8"/>
    </i>
    <i>
      <x v="9"/>
    </i>
    <i>
      <x v="7"/>
    </i>
    <i>
      <x v="3"/>
    </i>
    <i>
      <x v="2"/>
    </i>
    <i>
      <x/>
    </i>
    <i>
      <x v="5"/>
    </i>
    <i>
      <x v="4"/>
    </i>
    <i r="1">
      <x v="15"/>
    </i>
    <i r="1">
      <x v="36"/>
    </i>
    <i r="1">
      <x v="37"/>
    </i>
    <i>
      <x v="6"/>
    </i>
    <i>
      <x v="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Initial Volume $" fld="6" baseField="0" baseItem="0" numFmtId="44"/>
    <dataField name="$%" fld="6" baseField="0" baseItem="7" numFmtId="9">
      <extLst>
        <ext xmlns:x14="http://schemas.microsoft.com/office/spreadsheetml/2009/9/main" uri="{E15A36E0-9728-4e99-A89B-3F7291B0FE68}">
          <x14:dataField pivotShowAs="percentOfParentRow"/>
        </ext>
      </extLst>
    </dataField>
    <dataField name="Target Return %" fld="20" baseField="0" baseItem="0" numFmtId="10"/>
    <dataField name="Target P&amp;L" fld="21" baseField="0" baseItem="0" numFmtId="44"/>
  </dataFields>
  <formats count="3">
    <format dxfId="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0">
      <pivotArea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6"/>
  <sheetViews>
    <sheetView tabSelected="1" workbookViewId="0">
      <selection sqref="A1:F46"/>
    </sheetView>
  </sheetViews>
  <sheetFormatPr defaultRowHeight="15" x14ac:dyDescent="0.25"/>
  <cols>
    <col min="1" max="1" width="14.28515625" bestFit="1" customWidth="1"/>
    <col min="2" max="2" width="17.85546875" bestFit="1" customWidth="1"/>
    <col min="3" max="3" width="11" bestFit="1" customWidth="1"/>
    <col min="4" max="4" width="30.42578125" style="8" customWidth="1"/>
    <col min="5" max="5" width="12.5703125" style="2" bestFit="1" customWidth="1"/>
    <col min="6" max="6" width="10.5703125" style="1" bestFit="1" customWidth="1"/>
    <col min="7" max="7" width="11.140625" style="1" bestFit="1" customWidth="1"/>
    <col min="8" max="9" width="13.7109375" style="10" bestFit="1" customWidth="1"/>
    <col min="10" max="10" width="9.140625" style="10"/>
    <col min="11" max="11" width="7.5703125" style="10" customWidth="1"/>
    <col min="12" max="12" width="11.42578125" bestFit="1" customWidth="1"/>
    <col min="13" max="13" width="11.42578125" customWidth="1"/>
    <col min="14" max="14" width="14.28515625" bestFit="1" customWidth="1"/>
    <col min="15" max="15" width="10.5703125" bestFit="1" customWidth="1"/>
    <col min="16" max="16" width="13.28515625" bestFit="1" customWidth="1"/>
    <col min="17" max="17" width="12.42578125" bestFit="1" customWidth="1"/>
    <col min="18" max="18" width="14.7109375" bestFit="1" customWidth="1"/>
    <col min="19" max="19" width="12.85546875" bestFit="1" customWidth="1"/>
    <col min="20" max="20" width="15.85546875" bestFit="1" customWidth="1"/>
  </cols>
  <sheetData>
    <row r="1" spans="1:20" ht="45" customHeight="1" x14ac:dyDescent="0.25">
      <c r="A1" s="15" t="s">
        <v>35</v>
      </c>
      <c r="B1" s="15" t="s">
        <v>0</v>
      </c>
      <c r="C1" s="15" t="s">
        <v>83</v>
      </c>
      <c r="D1" s="16" t="s">
        <v>1</v>
      </c>
      <c r="E1" s="17" t="s">
        <v>2</v>
      </c>
      <c r="F1" s="18" t="s">
        <v>3</v>
      </c>
      <c r="G1" s="18" t="s">
        <v>4</v>
      </c>
      <c r="H1" s="15" t="s">
        <v>66</v>
      </c>
      <c r="I1" s="15" t="s">
        <v>61</v>
      </c>
      <c r="J1" s="15" t="s">
        <v>62</v>
      </c>
      <c r="K1" s="15" t="s">
        <v>63</v>
      </c>
      <c r="L1" s="15" t="s">
        <v>64</v>
      </c>
      <c r="M1" s="15" t="s">
        <v>166</v>
      </c>
      <c r="N1" s="15" t="s">
        <v>65</v>
      </c>
      <c r="O1" s="15" t="s">
        <v>67</v>
      </c>
      <c r="P1" s="15" t="s">
        <v>68</v>
      </c>
      <c r="Q1" s="15" t="s">
        <v>69</v>
      </c>
      <c r="R1" s="15" t="s">
        <v>70</v>
      </c>
      <c r="S1" s="15" t="s">
        <v>82</v>
      </c>
      <c r="T1" s="15" t="s">
        <v>71</v>
      </c>
    </row>
    <row r="2" spans="1:20" x14ac:dyDescent="0.25">
      <c r="A2" t="s">
        <v>40</v>
      </c>
      <c r="B2" s="7" t="s">
        <v>95</v>
      </c>
      <c r="C2" t="s">
        <v>95</v>
      </c>
      <c r="D2" s="8">
        <v>45627</v>
      </c>
      <c r="E2" s="2">
        <v>2.2953000000000001</v>
      </c>
      <c r="F2" s="1">
        <v>21.78</v>
      </c>
      <c r="G2" s="1">
        <f t="shared" ref="G2:G46" si="0">E2*F2</f>
        <v>49.991634000000005</v>
      </c>
      <c r="H2" s="21">
        <f>IFERROR(INDEX(Sheet1!$B:$C,MATCH(Positions!$C2,Sheet1!$G:$G,0),1),2.5%)</f>
        <v>-8.7400000000000005E-2</v>
      </c>
      <c r="I2" s="11">
        <f>IFERROR(INDEX(Sheet1!$B:$C,MATCH(Positions!$C2,Sheet1!$G:$G,0),2),25%)</f>
        <v>0.60389999999999999</v>
      </c>
      <c r="J2" s="9">
        <f t="shared" ref="J2:J41" si="1">IFERROR(H2/I2,"")</f>
        <v>-0.14472594800463653</v>
      </c>
      <c r="K2" s="9">
        <f t="shared" ref="K2:K46" si="2">IFERROR(J2/SUBTOTAL(9,$J$2:$J$1048576),"")</f>
        <v>-1.0406726510486033E-2</v>
      </c>
      <c r="L2" s="12">
        <f>IF((1+H2)*F2&lt;0,0,(1+H2)*F2)</f>
        <v>19.876428000000001</v>
      </c>
      <c r="M2" s="12">
        <f t="shared" ref="M2:M46" si="3">L2*E2</f>
        <v>45.622365188400003</v>
      </c>
      <c r="N2" s="12">
        <f t="shared" ref="N2:N41" si="4">F2/(1+I2-H2)</f>
        <v>12.877668065984748</v>
      </c>
      <c r="O2" s="12">
        <f t="shared" ref="O2:O41" si="5">L2-F2</f>
        <v>-1.9035720000000005</v>
      </c>
      <c r="P2" s="12">
        <f t="shared" ref="P2:P41" si="6">0.5*(N2-F2)</f>
        <v>-4.4511659670076265</v>
      </c>
      <c r="Q2" s="14">
        <f t="shared" ref="Q2:Q41" si="7">O2+P2</f>
        <v>-6.3547379670076269</v>
      </c>
      <c r="R2" s="12">
        <f t="shared" ref="R2:R46" si="8">MAX($Q$2:$Q$280)-Q2</f>
        <v>166.62691203325267</v>
      </c>
      <c r="S2" s="9">
        <f t="shared" ref="S2:S46" si="9">IFERROR((SUBTOTAL(109,$R$2:$R$1048576)/R2)/SUBTOTAL(109,$R$2:$R$1048576),0)</f>
        <v>6.0014315082574203E-3</v>
      </c>
      <c r="T2" s="9">
        <f t="shared" ref="T2:T41" si="10">R2/MAX($R$2:$R$28)</f>
        <v>0.95097174313809352</v>
      </c>
    </row>
    <row r="3" spans="1:20" x14ac:dyDescent="0.25">
      <c r="A3" t="s">
        <v>145</v>
      </c>
      <c r="B3" s="7" t="s">
        <v>152</v>
      </c>
      <c r="C3" t="s">
        <v>146</v>
      </c>
      <c r="D3" s="8">
        <v>45481</v>
      </c>
      <c r="E3" s="2">
        <v>2</v>
      </c>
      <c r="F3" s="1">
        <v>20.928000000000001</v>
      </c>
      <c r="G3" s="1">
        <f t="shared" si="0"/>
        <v>41.856000000000002</v>
      </c>
      <c r="H3" s="21">
        <f>IFERROR(INDEX(Sheet1!$B:$C,MATCH(Positions!$C3,Sheet1!$G:$G,0),1),2.5%)</f>
        <v>2.5000000000000001E-2</v>
      </c>
      <c r="I3" s="11">
        <f>IFERROR(INDEX(Sheet1!$B:$C,MATCH(Positions!$C3,Sheet1!$G:$G,0),2),25%)</f>
        <v>0.25</v>
      </c>
      <c r="J3" s="9">
        <f t="shared" si="1"/>
        <v>0.1</v>
      </c>
      <c r="K3" s="9">
        <f t="shared" si="2"/>
        <v>7.1906431804147786E-3</v>
      </c>
      <c r="L3" s="12">
        <f t="shared" ref="L3:L41" si="11">IF((1+H3)*F3&lt;0,0,(1+H3)*F3)</f>
        <v>21.4512</v>
      </c>
      <c r="M3" s="12">
        <f t="shared" si="3"/>
        <v>42.9024</v>
      </c>
      <c r="N3" s="12">
        <f t="shared" si="4"/>
        <v>17.08408163265306</v>
      </c>
      <c r="O3" s="12">
        <f t="shared" si="5"/>
        <v>0.52319999999999922</v>
      </c>
      <c r="P3" s="12">
        <f t="shared" si="6"/>
        <v>-1.9219591836734704</v>
      </c>
      <c r="Q3" s="14">
        <f t="shared" si="7"/>
        <v>-1.3987591836734712</v>
      </c>
      <c r="R3" s="12">
        <f t="shared" si="8"/>
        <v>161.67093324991851</v>
      </c>
      <c r="S3" s="9">
        <f t="shared" si="9"/>
        <v>6.1854037698548647E-3</v>
      </c>
      <c r="T3" s="9">
        <f t="shared" si="10"/>
        <v>0.92268702175045747</v>
      </c>
    </row>
    <row r="4" spans="1:20" x14ac:dyDescent="0.25">
      <c r="A4" t="s">
        <v>145</v>
      </c>
      <c r="B4" s="7" t="s">
        <v>153</v>
      </c>
      <c r="C4" t="s">
        <v>147</v>
      </c>
      <c r="D4" s="8">
        <v>45481</v>
      </c>
      <c r="E4" s="2">
        <v>2</v>
      </c>
      <c r="F4" s="1">
        <v>16.399000000000001</v>
      </c>
      <c r="G4" s="1">
        <f t="shared" si="0"/>
        <v>32.798000000000002</v>
      </c>
      <c r="H4" s="21">
        <f>IFERROR(INDEX(Sheet1!$B:$C,MATCH(Positions!$C4,Sheet1!$G:$G,0),1),2.5%)</f>
        <v>2.5000000000000001E-2</v>
      </c>
      <c r="I4" s="11">
        <f>IFERROR(INDEX(Sheet1!$B:$C,MATCH(Positions!$C4,Sheet1!$G:$G,0),2),25%)</f>
        <v>0.25</v>
      </c>
      <c r="J4" s="9">
        <f t="shared" si="1"/>
        <v>0.1</v>
      </c>
      <c r="K4" s="9">
        <f t="shared" si="2"/>
        <v>7.1906431804147786E-3</v>
      </c>
      <c r="L4" s="12">
        <f t="shared" si="11"/>
        <v>16.808975</v>
      </c>
      <c r="M4" s="12">
        <f t="shared" si="3"/>
        <v>33.61795</v>
      </c>
      <c r="N4" s="12">
        <f t="shared" si="4"/>
        <v>13.386938775510204</v>
      </c>
      <c r="O4" s="12">
        <f t="shared" si="5"/>
        <v>0.40997499999999931</v>
      </c>
      <c r="P4" s="12">
        <f t="shared" si="6"/>
        <v>-1.5060306122448983</v>
      </c>
      <c r="Q4" s="14">
        <f t="shared" si="7"/>
        <v>-1.096055612244899</v>
      </c>
      <c r="R4" s="12">
        <f t="shared" si="8"/>
        <v>161.36822967848994</v>
      </c>
      <c r="S4" s="9">
        <f t="shared" si="9"/>
        <v>6.1970066969960569E-3</v>
      </c>
      <c r="T4" s="9">
        <f t="shared" si="10"/>
        <v>0.92095943441499695</v>
      </c>
    </row>
    <row r="5" spans="1:20" x14ac:dyDescent="0.25">
      <c r="A5" t="s">
        <v>37</v>
      </c>
      <c r="B5" s="4" t="s">
        <v>86</v>
      </c>
      <c r="C5" s="20" t="s">
        <v>87</v>
      </c>
      <c r="D5" s="8">
        <v>45623</v>
      </c>
      <c r="E5" s="2">
        <v>1.9595</v>
      </c>
      <c r="F5" s="1">
        <v>15.3</v>
      </c>
      <c r="G5" s="1">
        <f t="shared" si="0"/>
        <v>29.980350000000001</v>
      </c>
      <c r="H5" s="21">
        <f>IFERROR(INDEX(Sheet1!$B:$C,MATCH(Positions!$C5,Sheet1!$G:$G,0),1),2.5%)</f>
        <v>7.0499999999999993E-2</v>
      </c>
      <c r="I5" s="11">
        <f>IFERROR(INDEX(Sheet1!$B:$C,MATCH(Positions!$C5,Sheet1!$G:$G,0),2),25%)</f>
        <v>0.35260000000000002</v>
      </c>
      <c r="J5" s="9">
        <f t="shared" si="1"/>
        <v>0.19994327850255245</v>
      </c>
      <c r="K5" s="9">
        <f t="shared" si="2"/>
        <v>1.4377207720341513E-2</v>
      </c>
      <c r="L5" s="12">
        <f t="shared" si="11"/>
        <v>16.37865</v>
      </c>
      <c r="M5" s="12">
        <f t="shared" si="3"/>
        <v>32.093964675000002</v>
      </c>
      <c r="N5" s="12">
        <f t="shared" si="4"/>
        <v>11.933546525232041</v>
      </c>
      <c r="O5" s="12">
        <f t="shared" si="5"/>
        <v>1.0786499999999997</v>
      </c>
      <c r="P5" s="12">
        <f t="shared" si="6"/>
        <v>-1.68322673738398</v>
      </c>
      <c r="Q5" s="14">
        <f t="shared" si="7"/>
        <v>-0.60457673738398032</v>
      </c>
      <c r="R5" s="12">
        <f t="shared" si="8"/>
        <v>160.87675080362902</v>
      </c>
      <c r="S5" s="9">
        <f t="shared" si="9"/>
        <v>6.215938567907987E-3</v>
      </c>
      <c r="T5" s="9">
        <f t="shared" si="10"/>
        <v>0.91815447021900465</v>
      </c>
    </row>
    <row r="6" spans="1:20" x14ac:dyDescent="0.25">
      <c r="A6" t="s">
        <v>38</v>
      </c>
      <c r="B6" s="5" t="s">
        <v>6</v>
      </c>
      <c r="C6" t="s">
        <v>5</v>
      </c>
      <c r="D6" s="8">
        <v>45553</v>
      </c>
      <c r="E6" s="2">
        <v>1.7345999999999999</v>
      </c>
      <c r="F6" s="1">
        <v>51.88</v>
      </c>
      <c r="G6" s="1">
        <f t="shared" si="0"/>
        <v>89.991048000000006</v>
      </c>
      <c r="H6" s="21">
        <f>IFERROR(INDEX(Sheet1!$B:$C,MATCH(Positions!$C6,Sheet1!$G:$G,0),1),2.5%)</f>
        <v>5.8799999999999998E-2</v>
      </c>
      <c r="I6" s="11">
        <f>IFERROR(INDEX(Sheet1!$B:$C,MATCH(Positions!$C6,Sheet1!$G:$G,0),2),25%)</f>
        <v>0.22600000000000001</v>
      </c>
      <c r="J6" s="9">
        <f t="shared" si="1"/>
        <v>0.26017699115044246</v>
      </c>
      <c r="K6" s="9">
        <f t="shared" si="2"/>
        <v>1.8708399071167652E-2</v>
      </c>
      <c r="L6" s="12">
        <f t="shared" si="11"/>
        <v>54.930543999999998</v>
      </c>
      <c r="M6" s="12">
        <f t="shared" si="3"/>
        <v>95.282521622399997</v>
      </c>
      <c r="N6" s="12">
        <f t="shared" si="4"/>
        <v>44.44825222755312</v>
      </c>
      <c r="O6" s="12">
        <f t="shared" si="5"/>
        <v>3.050543999999995</v>
      </c>
      <c r="P6" s="12">
        <f t="shared" si="6"/>
        <v>-3.7158738862234415</v>
      </c>
      <c r="Q6" s="14">
        <f t="shared" si="7"/>
        <v>-0.66532988622344647</v>
      </c>
      <c r="R6" s="12">
        <f t="shared" si="8"/>
        <v>160.93750395246849</v>
      </c>
      <c r="S6" s="9">
        <f t="shared" si="9"/>
        <v>6.21359208040993E-3</v>
      </c>
      <c r="T6" s="9">
        <f t="shared" si="10"/>
        <v>0.91850120009083625</v>
      </c>
    </row>
    <row r="7" spans="1:20" x14ac:dyDescent="0.25">
      <c r="A7" t="s">
        <v>145</v>
      </c>
      <c r="B7" s="7" t="s">
        <v>154</v>
      </c>
      <c r="C7" t="s">
        <v>151</v>
      </c>
      <c r="D7" s="8">
        <v>45688</v>
      </c>
      <c r="E7" s="2">
        <v>1</v>
      </c>
      <c r="F7" s="1">
        <v>44.24</v>
      </c>
      <c r="G7" s="1">
        <f t="shared" si="0"/>
        <v>44.24</v>
      </c>
      <c r="H7" s="21">
        <f>IFERROR(INDEX(Sheet1!$B:$C,MATCH(Positions!$C7,Sheet1!$G:$G,0),1),2.5%)</f>
        <v>2.5000000000000001E-2</v>
      </c>
      <c r="I7" s="11">
        <f>IFERROR(INDEX(Sheet1!$B:$C,MATCH(Positions!$C7,Sheet1!$G:$G,0),2),25%)</f>
        <v>0.25</v>
      </c>
      <c r="J7" s="9">
        <f t="shared" si="1"/>
        <v>0.1</v>
      </c>
      <c r="K7" s="9">
        <f t="shared" si="2"/>
        <v>7.1906431804147786E-3</v>
      </c>
      <c r="L7" s="12">
        <f t="shared" si="11"/>
        <v>45.345999999999997</v>
      </c>
      <c r="M7" s="12">
        <f t="shared" si="3"/>
        <v>45.345999999999997</v>
      </c>
      <c r="N7" s="12">
        <f t="shared" si="4"/>
        <v>36.114285714285714</v>
      </c>
      <c r="O7" s="12">
        <f t="shared" si="5"/>
        <v>1.1059999999999945</v>
      </c>
      <c r="P7" s="12">
        <f t="shared" si="6"/>
        <v>-4.0628571428571441</v>
      </c>
      <c r="Q7" s="14">
        <f t="shared" si="7"/>
        <v>-2.9568571428571495</v>
      </c>
      <c r="R7" s="12">
        <f t="shared" si="8"/>
        <v>163.2290312091022</v>
      </c>
      <c r="S7" s="9">
        <f t="shared" si="9"/>
        <v>6.1263611784778916E-3</v>
      </c>
      <c r="T7" s="9">
        <f t="shared" si="10"/>
        <v>0.93157938561980136</v>
      </c>
    </row>
    <row r="8" spans="1:20" x14ac:dyDescent="0.25">
      <c r="A8" t="s">
        <v>145</v>
      </c>
      <c r="B8" s="7" t="s">
        <v>155</v>
      </c>
      <c r="C8" t="s">
        <v>148</v>
      </c>
      <c r="D8" s="8">
        <v>45481</v>
      </c>
      <c r="E8" s="2">
        <v>1</v>
      </c>
      <c r="F8" s="1">
        <v>48.68</v>
      </c>
      <c r="G8" s="1">
        <f t="shared" si="0"/>
        <v>48.68</v>
      </c>
      <c r="H8" s="21">
        <f>IFERROR(INDEX(Sheet1!$B:$C,MATCH(Positions!$C8,Sheet1!$G:$G,0),1),2.5%)</f>
        <v>2.5000000000000001E-2</v>
      </c>
      <c r="I8" s="11">
        <f>IFERROR(INDEX(Sheet1!$B:$C,MATCH(Positions!$C8,Sheet1!$G:$G,0),2),25%)</f>
        <v>0.25</v>
      </c>
      <c r="J8" s="9">
        <f t="shared" si="1"/>
        <v>0.1</v>
      </c>
      <c r="K8" s="9">
        <f t="shared" si="2"/>
        <v>7.1906431804147786E-3</v>
      </c>
      <c r="L8" s="12">
        <f t="shared" si="11"/>
        <v>49.896999999999998</v>
      </c>
      <c r="M8" s="12">
        <f t="shared" si="3"/>
        <v>49.896999999999998</v>
      </c>
      <c r="N8" s="12">
        <f t="shared" si="4"/>
        <v>39.738775510204079</v>
      </c>
      <c r="O8" s="12">
        <f t="shared" si="5"/>
        <v>1.2169999999999987</v>
      </c>
      <c r="P8" s="12">
        <f t="shared" si="6"/>
        <v>-4.4706122448979606</v>
      </c>
      <c r="Q8" s="14">
        <f t="shared" si="7"/>
        <v>-3.2536122448979619</v>
      </c>
      <c r="R8" s="12">
        <f t="shared" si="8"/>
        <v>163.52578631114301</v>
      </c>
      <c r="S8" s="9">
        <f t="shared" si="9"/>
        <v>6.1152434888604341E-3</v>
      </c>
      <c r="T8" s="9">
        <f t="shared" si="10"/>
        <v>0.93327302389965228</v>
      </c>
    </row>
    <row r="9" spans="1:20" x14ac:dyDescent="0.25">
      <c r="A9" t="s">
        <v>145</v>
      </c>
      <c r="B9" s="7" t="s">
        <v>149</v>
      </c>
      <c r="C9" t="s">
        <v>150</v>
      </c>
      <c r="D9" s="8">
        <v>45481</v>
      </c>
      <c r="E9" s="2">
        <v>1</v>
      </c>
      <c r="F9" s="1">
        <v>51.28</v>
      </c>
      <c r="G9" s="1">
        <f t="shared" si="0"/>
        <v>51.28</v>
      </c>
      <c r="H9" s="21">
        <f>IFERROR(INDEX(Sheet1!$B:$C,MATCH(Positions!$C9,Sheet1!$G:$G,0),1),2.5%)</f>
        <v>2.5000000000000001E-2</v>
      </c>
      <c r="I9" s="11">
        <f>IFERROR(INDEX(Sheet1!$B:$C,MATCH(Positions!$C9,Sheet1!$G:$G,0),2),25%)</f>
        <v>0.25</v>
      </c>
      <c r="J9" s="9">
        <f t="shared" si="1"/>
        <v>0.1</v>
      </c>
      <c r="K9" s="9">
        <f t="shared" si="2"/>
        <v>7.1906431804147786E-3</v>
      </c>
      <c r="L9" s="12">
        <f t="shared" si="11"/>
        <v>52.561999999999998</v>
      </c>
      <c r="M9" s="12">
        <f t="shared" si="3"/>
        <v>52.561999999999998</v>
      </c>
      <c r="N9" s="12">
        <f t="shared" si="4"/>
        <v>41.861224489795916</v>
      </c>
      <c r="O9" s="12">
        <f t="shared" si="5"/>
        <v>1.2819999999999965</v>
      </c>
      <c r="P9" s="12">
        <f t="shared" si="6"/>
        <v>-4.7093877551020427</v>
      </c>
      <c r="Q9" s="14">
        <f t="shared" si="7"/>
        <v>-3.4273877551020462</v>
      </c>
      <c r="R9" s="12">
        <f t="shared" si="8"/>
        <v>163.69956182134709</v>
      </c>
      <c r="S9" s="9">
        <f t="shared" si="9"/>
        <v>6.1087518431561004E-3</v>
      </c>
      <c r="T9" s="9">
        <f t="shared" si="10"/>
        <v>0.93426479406352891</v>
      </c>
    </row>
    <row r="10" spans="1:20" x14ac:dyDescent="0.25">
      <c r="A10" t="s">
        <v>38</v>
      </c>
      <c r="B10" s="5" t="s">
        <v>99</v>
      </c>
      <c r="C10" s="20" t="s">
        <v>100</v>
      </c>
      <c r="D10" s="8">
        <v>45630</v>
      </c>
      <c r="E10" s="2">
        <v>1</v>
      </c>
      <c r="F10" s="1">
        <v>20.36</v>
      </c>
      <c r="G10" s="1">
        <f t="shared" si="0"/>
        <v>20.36</v>
      </c>
      <c r="H10" s="21">
        <f>IFERROR(INDEX(Sheet1!$B:$C,MATCH(Positions!$C10,Sheet1!$G:$G,0),1),2.5%)</f>
        <v>0.14929999999999999</v>
      </c>
      <c r="I10" s="11">
        <f>IFERROR(INDEX(Sheet1!$B:$C,MATCH(Positions!$C10,Sheet1!$G:$G,0),2),25%)</f>
        <v>0.31569999999999998</v>
      </c>
      <c r="J10" s="9">
        <f t="shared" si="1"/>
        <v>0.47291732657586316</v>
      </c>
      <c r="K10" s="9">
        <f t="shared" si="2"/>
        <v>3.4005797492427187E-2</v>
      </c>
      <c r="L10" s="12">
        <f t="shared" si="11"/>
        <v>23.399747999999999</v>
      </c>
      <c r="M10" s="12">
        <f t="shared" si="3"/>
        <v>23.399747999999999</v>
      </c>
      <c r="N10" s="12">
        <f t="shared" si="4"/>
        <v>17.455418381344305</v>
      </c>
      <c r="O10" s="12">
        <f t="shared" si="5"/>
        <v>3.0397479999999995</v>
      </c>
      <c r="P10" s="12">
        <f t="shared" si="6"/>
        <v>-1.452290809327847</v>
      </c>
      <c r="Q10" s="14">
        <f t="shared" si="7"/>
        <v>1.5874571906721524</v>
      </c>
      <c r="R10" s="12">
        <f t="shared" si="8"/>
        <v>158.68471687557289</v>
      </c>
      <c r="S10" s="9">
        <f t="shared" si="9"/>
        <v>6.3018041036939634E-3</v>
      </c>
      <c r="T10" s="9">
        <f t="shared" si="10"/>
        <v>0.90564411219733409</v>
      </c>
    </row>
    <row r="11" spans="1:20" x14ac:dyDescent="0.25">
      <c r="A11" t="s">
        <v>40</v>
      </c>
      <c r="B11" s="7" t="s">
        <v>136</v>
      </c>
      <c r="C11" t="s">
        <v>136</v>
      </c>
      <c r="D11" s="8">
        <v>45627</v>
      </c>
      <c r="E11" s="2">
        <v>1.2354000000000001</v>
      </c>
      <c r="F11" s="1">
        <v>40.49</v>
      </c>
      <c r="G11" s="1">
        <f t="shared" si="0"/>
        <v>50.021346000000001</v>
      </c>
      <c r="H11" s="21">
        <f>IFERROR(INDEX(Sheet1!$B:$C,MATCH(Positions!$C11,Sheet1!$G:$G,0),1),2.5%)</f>
        <v>4.19E-2</v>
      </c>
      <c r="I11" s="11">
        <f>IFERROR(INDEX(Sheet1!$B:$C,MATCH(Positions!$C11,Sheet1!$G:$G,0),2),25%)</f>
        <v>0.53510000000000002</v>
      </c>
      <c r="J11" s="9">
        <f t="shared" si="1"/>
        <v>7.8303120911979066E-2</v>
      </c>
      <c r="K11" s="9">
        <f t="shared" si="2"/>
        <v>5.6304980239091605E-3</v>
      </c>
      <c r="L11" s="12">
        <f t="shared" si="11"/>
        <v>42.186531000000002</v>
      </c>
      <c r="M11" s="12">
        <f t="shared" si="3"/>
        <v>52.117240397400003</v>
      </c>
      <c r="N11" s="12">
        <f t="shared" si="4"/>
        <v>27.116260380391111</v>
      </c>
      <c r="O11" s="12">
        <f t="shared" si="5"/>
        <v>1.6965310000000002</v>
      </c>
      <c r="P11" s="12">
        <f t="shared" si="6"/>
        <v>-6.6868698098044455</v>
      </c>
      <c r="Q11" s="14">
        <f t="shared" si="7"/>
        <v>-4.9903388098044452</v>
      </c>
      <c r="R11" s="12">
        <f t="shared" si="8"/>
        <v>165.2625128760495</v>
      </c>
      <c r="S11" s="9">
        <f t="shared" si="9"/>
        <v>6.0509790308587519E-3</v>
      </c>
      <c r="T11" s="9">
        <f t="shared" si="10"/>
        <v>0.94318485547973796</v>
      </c>
    </row>
    <row r="12" spans="1:20" x14ac:dyDescent="0.25">
      <c r="A12" t="s">
        <v>40</v>
      </c>
      <c r="B12" s="7" t="s">
        <v>91</v>
      </c>
      <c r="C12" s="20" t="s">
        <v>92</v>
      </c>
      <c r="D12" s="8">
        <v>45627</v>
      </c>
      <c r="E12" s="2">
        <v>0.52039999999999997</v>
      </c>
      <c r="F12" s="1">
        <v>40.340000000000003</v>
      </c>
      <c r="G12" s="1">
        <f t="shared" si="0"/>
        <v>20.992936</v>
      </c>
      <c r="H12" s="21">
        <f>IFERROR(INDEX(Sheet1!$B:$C,MATCH(Positions!$C12,Sheet1!$G:$G,0),1),2.5%)</f>
        <v>8.6900000000000005E-2</v>
      </c>
      <c r="I12" s="11">
        <f>IFERROR(INDEX(Sheet1!$B:$C,MATCH(Positions!$C12,Sheet1!$G:$G,0),2),25%)</f>
        <v>0.24529999999999999</v>
      </c>
      <c r="J12" s="9">
        <f t="shared" si="1"/>
        <v>0.35426008968609868</v>
      </c>
      <c r="K12" s="9">
        <f t="shared" si="2"/>
        <v>2.547357897994473E-2</v>
      </c>
      <c r="L12" s="12">
        <f t="shared" si="11"/>
        <v>43.845546000000006</v>
      </c>
      <c r="M12" s="12">
        <f t="shared" si="3"/>
        <v>22.817222138400002</v>
      </c>
      <c r="N12" s="12">
        <f t="shared" si="4"/>
        <v>34.82389502762431</v>
      </c>
      <c r="O12" s="12">
        <f t="shared" si="5"/>
        <v>3.5055460000000025</v>
      </c>
      <c r="P12" s="12">
        <f t="shared" si="6"/>
        <v>-2.7580524861878466</v>
      </c>
      <c r="Q12" s="14">
        <f t="shared" si="7"/>
        <v>0.7474935138121559</v>
      </c>
      <c r="R12" s="12">
        <f t="shared" si="8"/>
        <v>159.5246805524329</v>
      </c>
      <c r="S12" s="9">
        <f t="shared" si="9"/>
        <v>6.2686224886143432E-3</v>
      </c>
      <c r="T12" s="9">
        <f t="shared" si="10"/>
        <v>0.91043794599170247</v>
      </c>
    </row>
    <row r="13" spans="1:20" x14ac:dyDescent="0.25">
      <c r="A13" t="s">
        <v>38</v>
      </c>
      <c r="B13" s="5" t="s">
        <v>19</v>
      </c>
      <c r="C13" t="s">
        <v>20</v>
      </c>
      <c r="D13" s="8">
        <v>45544</v>
      </c>
      <c r="E13" s="2">
        <v>0.51380000000000003</v>
      </c>
      <c r="F13" s="1">
        <v>138.53</v>
      </c>
      <c r="G13" s="1">
        <f t="shared" si="0"/>
        <v>71.176714000000004</v>
      </c>
      <c r="H13" s="21">
        <f>IFERROR(INDEX(Sheet1!$B:$C,MATCH(Positions!$C13,Sheet1!$G:$G,0),1),2.5%)</f>
        <v>5.0200000000000002E-2</v>
      </c>
      <c r="I13" s="11">
        <f>IFERROR(INDEX(Sheet1!$B:$C,MATCH(Positions!$C13,Sheet1!$G:$G,0),2),25%)</f>
        <v>0.2001</v>
      </c>
      <c r="J13" s="9">
        <f t="shared" si="1"/>
        <v>0.25087456271864067</v>
      </c>
      <c r="K13" s="9">
        <f t="shared" si="2"/>
        <v>1.8039494635523332E-2</v>
      </c>
      <c r="L13" s="12">
        <f t="shared" si="11"/>
        <v>145.484206</v>
      </c>
      <c r="M13" s="12">
        <f t="shared" si="3"/>
        <v>74.749785042799999</v>
      </c>
      <c r="N13" s="12">
        <f t="shared" si="4"/>
        <v>120.47134533437691</v>
      </c>
      <c r="O13" s="12">
        <f t="shared" si="5"/>
        <v>6.9542059999999992</v>
      </c>
      <c r="P13" s="12">
        <f t="shared" si="6"/>
        <v>-9.0293273328115475</v>
      </c>
      <c r="Q13" s="14">
        <f t="shared" si="7"/>
        <v>-2.0751213328115483</v>
      </c>
      <c r="R13" s="12">
        <f t="shared" si="8"/>
        <v>162.34729539905658</v>
      </c>
      <c r="S13" s="9">
        <f t="shared" si="9"/>
        <v>6.1596344893948335E-3</v>
      </c>
      <c r="T13" s="9">
        <f t="shared" si="10"/>
        <v>0.92654715025016887</v>
      </c>
    </row>
    <row r="14" spans="1:20" x14ac:dyDescent="0.25">
      <c r="A14" t="s">
        <v>38</v>
      </c>
      <c r="B14" s="5" t="s">
        <v>15</v>
      </c>
      <c r="C14" t="s">
        <v>16</v>
      </c>
      <c r="D14" s="8">
        <v>45460</v>
      </c>
      <c r="E14" s="2">
        <v>0.51239999999999997</v>
      </c>
      <c r="F14" s="1">
        <v>157.99</v>
      </c>
      <c r="G14" s="1">
        <f t="shared" si="0"/>
        <v>80.954076000000001</v>
      </c>
      <c r="H14" s="21">
        <f>IFERROR(INDEX(Sheet1!$B:$C,MATCH(Positions!$C14,Sheet1!$G:$G,0),1),2.5%)</f>
        <v>6.59E-2</v>
      </c>
      <c r="I14" s="11">
        <f>IFERROR(INDEX(Sheet1!$B:$C,MATCH(Positions!$C14,Sheet1!$G:$G,0),2),25%)</f>
        <v>0.1875</v>
      </c>
      <c r="J14" s="9">
        <f t="shared" si="1"/>
        <v>0.35146666666666665</v>
      </c>
      <c r="K14" s="9">
        <f t="shared" si="2"/>
        <v>2.5272713898097803E-2</v>
      </c>
      <c r="L14" s="12">
        <f t="shared" si="11"/>
        <v>168.40154100000001</v>
      </c>
      <c r="M14" s="12">
        <f t="shared" si="3"/>
        <v>86.288949608400003</v>
      </c>
      <c r="N14" s="12">
        <f t="shared" si="4"/>
        <v>140.86126961483598</v>
      </c>
      <c r="O14" s="12">
        <f t="shared" si="5"/>
        <v>10.411541</v>
      </c>
      <c r="P14" s="12">
        <f t="shared" si="6"/>
        <v>-8.5643651925820166</v>
      </c>
      <c r="Q14" s="14">
        <f t="shared" si="7"/>
        <v>1.8471758074179832</v>
      </c>
      <c r="R14" s="12">
        <f t="shared" si="8"/>
        <v>158.42499825882706</v>
      </c>
      <c r="S14" s="9">
        <f t="shared" si="9"/>
        <v>6.3121351490643459E-3</v>
      </c>
      <c r="T14" s="9">
        <f t="shared" si="10"/>
        <v>0.90416184824201995</v>
      </c>
    </row>
    <row r="15" spans="1:20" x14ac:dyDescent="0.25">
      <c r="A15" t="s">
        <v>40</v>
      </c>
      <c r="B15" s="7" t="s">
        <v>26</v>
      </c>
      <c r="C15" t="s">
        <v>27</v>
      </c>
      <c r="D15" s="8">
        <v>45511</v>
      </c>
      <c r="E15" s="2">
        <v>0.45179999999999998</v>
      </c>
      <c r="F15" s="1">
        <v>77.430000000000007</v>
      </c>
      <c r="G15" s="1">
        <f t="shared" si="0"/>
        <v>34.982874000000002</v>
      </c>
      <c r="H15" s="21">
        <f>IFERROR(INDEX(Sheet1!$B:$C,MATCH(Positions!$C15,Sheet1!$G:$G,0),1),2.5%)</f>
        <v>0.1212</v>
      </c>
      <c r="I15" s="11">
        <f>IFERROR(INDEX(Sheet1!$B:$C,MATCH(Positions!$C15,Sheet1!$G:$G,0),2),25%)</f>
        <v>0.24540000000000001</v>
      </c>
      <c r="J15" s="9">
        <f t="shared" si="1"/>
        <v>0.49388753056234719</v>
      </c>
      <c r="K15" s="9">
        <f t="shared" si="2"/>
        <v>3.5513690035300367E-2</v>
      </c>
      <c r="L15" s="12">
        <f t="shared" si="11"/>
        <v>86.814516000000012</v>
      </c>
      <c r="M15" s="12">
        <f t="shared" si="3"/>
        <v>39.222798328800003</v>
      </c>
      <c r="N15" s="12">
        <f t="shared" si="4"/>
        <v>68.875644903042158</v>
      </c>
      <c r="O15" s="12">
        <f t="shared" si="5"/>
        <v>9.384516000000005</v>
      </c>
      <c r="P15" s="12">
        <f t="shared" si="6"/>
        <v>-4.2771775484789245</v>
      </c>
      <c r="Q15" s="14">
        <f t="shared" si="7"/>
        <v>5.1073384515210805</v>
      </c>
      <c r="R15" s="12">
        <f t="shared" si="8"/>
        <v>155.16483561472396</v>
      </c>
      <c r="S15" s="9">
        <f t="shared" si="9"/>
        <v>6.4447591881127714E-3</v>
      </c>
      <c r="T15" s="9">
        <f t="shared" si="10"/>
        <v>0.88555547478922669</v>
      </c>
    </row>
    <row r="16" spans="1:20" x14ac:dyDescent="0.25">
      <c r="A16" t="s">
        <v>36</v>
      </c>
      <c r="B16" s="3" t="s">
        <v>21</v>
      </c>
      <c r="C16" t="s">
        <v>22</v>
      </c>
      <c r="D16" s="8">
        <v>45484</v>
      </c>
      <c r="E16" s="2">
        <v>0.4108</v>
      </c>
      <c r="F16" s="1">
        <v>189.76</v>
      </c>
      <c r="G16" s="1">
        <f t="shared" si="0"/>
        <v>77.953407999999996</v>
      </c>
      <c r="H16" s="21">
        <f>IFERROR(INDEX(Sheet1!$B:$C,MATCH(Positions!$C16,Sheet1!$G:$G,0),1),2.5%)</f>
        <v>0.24179999999999999</v>
      </c>
      <c r="I16" s="11">
        <f>IFERROR(INDEX(Sheet1!$B:$C,MATCH(Positions!$C16,Sheet1!$G:$G,0),2),25%)</f>
        <v>0.32229999999999998</v>
      </c>
      <c r="J16" s="9">
        <f t="shared" si="1"/>
        <v>0.75023270245113249</v>
      </c>
      <c r="K16" s="9">
        <f t="shared" si="2"/>
        <v>5.3946556656043851E-2</v>
      </c>
      <c r="L16" s="12">
        <f t="shared" si="11"/>
        <v>235.643968</v>
      </c>
      <c r="M16" s="12">
        <f t="shared" si="3"/>
        <v>96.802542054400007</v>
      </c>
      <c r="N16" s="12">
        <f t="shared" si="4"/>
        <v>175.62239703840814</v>
      </c>
      <c r="O16" s="12">
        <f t="shared" si="5"/>
        <v>45.88396800000001</v>
      </c>
      <c r="P16" s="12">
        <f t="shared" si="6"/>
        <v>-7.0688014807959263</v>
      </c>
      <c r="Q16" s="14">
        <f t="shared" si="7"/>
        <v>38.815166519204084</v>
      </c>
      <c r="R16" s="12">
        <f t="shared" si="8"/>
        <v>121.45700754704096</v>
      </c>
      <c r="S16" s="9">
        <f t="shared" si="9"/>
        <v>8.2333660296438193E-3</v>
      </c>
      <c r="T16" s="9">
        <f t="shared" si="10"/>
        <v>0.69317843542762225</v>
      </c>
    </row>
    <row r="17" spans="1:20" x14ac:dyDescent="0.25">
      <c r="A17" t="s">
        <v>39</v>
      </c>
      <c r="B17" s="6" t="s">
        <v>156</v>
      </c>
      <c r="C17" t="s">
        <v>43</v>
      </c>
      <c r="D17" s="8">
        <v>45580</v>
      </c>
      <c r="E17" s="2">
        <v>0.34860000000000002</v>
      </c>
      <c r="F17" s="1">
        <v>131.91</v>
      </c>
      <c r="G17" s="1">
        <f t="shared" si="0"/>
        <v>45.983826000000001</v>
      </c>
      <c r="H17" s="21">
        <f>IFERROR(INDEX(Sheet1!$B:$C,MATCH(Positions!$C17,Sheet1!$G:$G,0),1),2.5%)</f>
        <v>6.9500000000000006E-2</v>
      </c>
      <c r="I17" s="11">
        <f>IFERROR(INDEX(Sheet1!$B:$C,MATCH(Positions!$C17,Sheet1!$G:$G,0),2),25%)</f>
        <v>0.25430000000000003</v>
      </c>
      <c r="J17" s="9">
        <f t="shared" si="1"/>
        <v>0.2732992528509634</v>
      </c>
      <c r="K17" s="9">
        <f t="shared" si="2"/>
        <v>1.965197408725234E-2</v>
      </c>
      <c r="L17" s="12">
        <f t="shared" si="11"/>
        <v>141.07774500000002</v>
      </c>
      <c r="M17" s="12">
        <f t="shared" si="3"/>
        <v>49.179701907000009</v>
      </c>
      <c r="N17" s="12">
        <f t="shared" si="4"/>
        <v>111.3352464550979</v>
      </c>
      <c r="O17" s="12">
        <f t="shared" si="5"/>
        <v>9.1677450000000249</v>
      </c>
      <c r="P17" s="12">
        <f t="shared" si="6"/>
        <v>-10.287376772451047</v>
      </c>
      <c r="Q17" s="14">
        <f t="shared" si="7"/>
        <v>-1.1196317724510223</v>
      </c>
      <c r="R17" s="12">
        <f t="shared" si="8"/>
        <v>161.39180583869606</v>
      </c>
      <c r="S17" s="9">
        <f t="shared" si="9"/>
        <v>6.1961014365218489E-3</v>
      </c>
      <c r="T17" s="9">
        <f t="shared" si="10"/>
        <v>0.92109398808279364</v>
      </c>
    </row>
    <row r="18" spans="1:20" x14ac:dyDescent="0.25">
      <c r="A18" t="s">
        <v>96</v>
      </c>
      <c r="B18" s="7" t="s">
        <v>97</v>
      </c>
      <c r="C18" s="20" t="s">
        <v>98</v>
      </c>
      <c r="D18" s="8">
        <v>45630</v>
      </c>
      <c r="E18" s="2">
        <v>0.28749999999999998</v>
      </c>
      <c r="F18" s="1">
        <v>34.78</v>
      </c>
      <c r="G18" s="1">
        <f t="shared" si="0"/>
        <v>9.99925</v>
      </c>
      <c r="H18" s="21">
        <f>IFERROR(INDEX(Sheet1!$B:$C,MATCH(Positions!$C18,Sheet1!$G:$G,0),1),2.5%)</f>
        <v>-0.1268</v>
      </c>
      <c r="I18" s="11">
        <f>IFERROR(INDEX(Sheet1!$B:$C,MATCH(Positions!$C18,Sheet1!$G:$G,0),2),25%)</f>
        <v>0.58609999999999995</v>
      </c>
      <c r="J18" s="9">
        <f t="shared" si="1"/>
        <v>-0.2163453335608258</v>
      </c>
      <c r="K18" s="9">
        <f t="shared" si="2"/>
        <v>-1.5556620973837124E-2</v>
      </c>
      <c r="L18" s="12">
        <f t="shared" si="11"/>
        <v>30.369896000000001</v>
      </c>
      <c r="M18" s="12">
        <f t="shared" si="3"/>
        <v>8.7313450999999986</v>
      </c>
      <c r="N18" s="12">
        <f t="shared" si="4"/>
        <v>20.304746336622102</v>
      </c>
      <c r="O18" s="12">
        <f t="shared" si="5"/>
        <v>-4.4101040000000005</v>
      </c>
      <c r="P18" s="12">
        <f t="shared" si="6"/>
        <v>-7.2376268316889494</v>
      </c>
      <c r="Q18" s="14">
        <f t="shared" si="7"/>
        <v>-11.64773083168895</v>
      </c>
      <c r="R18" s="12">
        <f t="shared" si="8"/>
        <v>171.919904897934</v>
      </c>
      <c r="S18" s="9">
        <f t="shared" si="9"/>
        <v>5.8166621287609683E-3</v>
      </c>
      <c r="T18" s="9">
        <f t="shared" si="10"/>
        <v>0.981179868521459</v>
      </c>
    </row>
    <row r="19" spans="1:20" x14ac:dyDescent="0.25">
      <c r="A19" t="s">
        <v>40</v>
      </c>
      <c r="B19" s="7" t="s">
        <v>47</v>
      </c>
      <c r="C19" t="s">
        <v>46</v>
      </c>
      <c r="D19" s="8">
        <v>45511</v>
      </c>
      <c r="E19" s="2">
        <v>0.25169999999999998</v>
      </c>
      <c r="F19" s="1">
        <v>178.56</v>
      </c>
      <c r="G19" s="1">
        <f t="shared" si="0"/>
        <v>44.943551999999997</v>
      </c>
      <c r="H19" s="21">
        <f>IFERROR(INDEX(Sheet1!$B:$C,MATCH(Positions!$C19,Sheet1!$G:$G,0),1),2.5%)</f>
        <v>0.123</v>
      </c>
      <c r="I19" s="11">
        <f>IFERROR(INDEX(Sheet1!$B:$C,MATCH(Positions!$C19,Sheet1!$G:$G,0),2),25%)</f>
        <v>0.47839999999999999</v>
      </c>
      <c r="J19" s="9">
        <f t="shared" si="1"/>
        <v>0.25710702341137126</v>
      </c>
      <c r="K19" s="9">
        <f t="shared" si="2"/>
        <v>1.8487648645297193E-2</v>
      </c>
      <c r="L19" s="12">
        <f t="shared" si="11"/>
        <v>200.52288000000001</v>
      </c>
      <c r="M19" s="12">
        <f t="shared" si="3"/>
        <v>50.471608895999999</v>
      </c>
      <c r="N19" s="12">
        <f t="shared" si="4"/>
        <v>131.73970783532536</v>
      </c>
      <c r="O19" s="12">
        <f t="shared" si="5"/>
        <v>21.962880000000013</v>
      </c>
      <c r="P19" s="12">
        <f t="shared" si="6"/>
        <v>-23.41014608233732</v>
      </c>
      <c r="Q19" s="14">
        <f t="shared" si="7"/>
        <v>-1.4472660823373076</v>
      </c>
      <c r="R19" s="12">
        <f t="shared" si="8"/>
        <v>161.71944014858235</v>
      </c>
      <c r="S19" s="9">
        <f t="shared" si="9"/>
        <v>6.1835484904055674E-3</v>
      </c>
      <c r="T19" s="9">
        <f t="shared" si="10"/>
        <v>0.92296385992391761</v>
      </c>
    </row>
    <row r="20" spans="1:20" x14ac:dyDescent="0.25">
      <c r="A20" t="s">
        <v>36</v>
      </c>
      <c r="B20" s="3" t="s">
        <v>14</v>
      </c>
      <c r="C20" t="s">
        <v>13</v>
      </c>
      <c r="D20" s="8">
        <v>45482</v>
      </c>
      <c r="E20" s="2">
        <v>0.18820000000000001</v>
      </c>
      <c r="F20" s="1">
        <v>227.38</v>
      </c>
      <c r="G20" s="1">
        <f t="shared" si="0"/>
        <v>42.792915999999998</v>
      </c>
      <c r="H20" s="21">
        <f>IFERROR(INDEX(Sheet1!$B:$C,MATCH(Positions!$C20,Sheet1!$G:$G,0),1),2.5%)</f>
        <v>0.2092</v>
      </c>
      <c r="I20" s="11">
        <f>IFERROR(INDEX(Sheet1!$B:$C,MATCH(Positions!$C20,Sheet1!$G:$G,0),2),25%)</f>
        <v>0.28439999999999999</v>
      </c>
      <c r="J20" s="9">
        <f t="shared" si="1"/>
        <v>0.73558368495077353</v>
      </c>
      <c r="K20" s="9">
        <f t="shared" si="2"/>
        <v>5.2893198078156518E-2</v>
      </c>
      <c r="L20" s="12">
        <f t="shared" si="11"/>
        <v>274.94789600000001</v>
      </c>
      <c r="M20" s="12">
        <f t="shared" si="3"/>
        <v>51.745194027200007</v>
      </c>
      <c r="N20" s="12">
        <f t="shared" si="4"/>
        <v>211.47693452380955</v>
      </c>
      <c r="O20" s="12">
        <f t="shared" si="5"/>
        <v>47.567896000000019</v>
      </c>
      <c r="P20" s="12">
        <f t="shared" si="6"/>
        <v>-7.9515327380952243</v>
      </c>
      <c r="Q20" s="14">
        <f t="shared" si="7"/>
        <v>39.616363261904795</v>
      </c>
      <c r="R20" s="12">
        <f t="shared" si="8"/>
        <v>120.65581080434025</v>
      </c>
      <c r="S20" s="9">
        <f t="shared" si="9"/>
        <v>8.2880384569429116E-3</v>
      </c>
      <c r="T20" s="9">
        <f t="shared" si="10"/>
        <v>0.68860585196132951</v>
      </c>
    </row>
    <row r="21" spans="1:20" x14ac:dyDescent="0.25">
      <c r="A21" t="s">
        <v>36</v>
      </c>
      <c r="B21" s="3" t="s">
        <v>11</v>
      </c>
      <c r="C21" t="s">
        <v>12</v>
      </c>
      <c r="D21" s="8">
        <v>45574</v>
      </c>
      <c r="E21" s="2">
        <v>0.16059999999999999</v>
      </c>
      <c r="F21" s="1">
        <v>421.18</v>
      </c>
      <c r="G21" s="1">
        <f t="shared" si="0"/>
        <v>67.641508000000002</v>
      </c>
      <c r="H21" s="21">
        <f>IFERROR(INDEX(Sheet1!$B:$C,MATCH(Positions!$C21,Sheet1!$G:$G,0),1),2.5%)</f>
        <v>0.2412</v>
      </c>
      <c r="I21" s="11">
        <f>IFERROR(INDEX(Sheet1!$B:$C,MATCH(Positions!$C21,Sheet1!$G:$G,0),2),25%)</f>
        <v>0.27010000000000001</v>
      </c>
      <c r="J21" s="9">
        <f t="shared" si="1"/>
        <v>0.89300259163272855</v>
      </c>
      <c r="K21" s="9">
        <f t="shared" si="2"/>
        <v>6.4212629956166029E-2</v>
      </c>
      <c r="L21" s="12">
        <f t="shared" si="11"/>
        <v>522.76861600000007</v>
      </c>
      <c r="M21" s="12">
        <f t="shared" si="3"/>
        <v>83.956639729600013</v>
      </c>
      <c r="N21" s="12">
        <f t="shared" si="4"/>
        <v>409.34979103897371</v>
      </c>
      <c r="O21" s="12">
        <f t="shared" si="5"/>
        <v>101.58861600000006</v>
      </c>
      <c r="P21" s="12">
        <f t="shared" si="6"/>
        <v>-5.9151044805131505</v>
      </c>
      <c r="Q21" s="14">
        <f t="shared" si="7"/>
        <v>95.673511519486908</v>
      </c>
      <c r="R21" s="12">
        <f t="shared" si="8"/>
        <v>64.598662546758135</v>
      </c>
      <c r="S21" s="9">
        <f t="shared" si="9"/>
        <v>1.5480196656953616E-2</v>
      </c>
      <c r="T21" s="9">
        <f t="shared" si="10"/>
        <v>0.36867695606229905</v>
      </c>
    </row>
    <row r="22" spans="1:20" x14ac:dyDescent="0.25">
      <c r="A22" t="s">
        <v>37</v>
      </c>
      <c r="B22" s="4" t="s">
        <v>8</v>
      </c>
      <c r="C22" t="s">
        <v>28</v>
      </c>
      <c r="D22" s="8">
        <v>45511</v>
      </c>
      <c r="E22" s="2">
        <v>0.12939999999999999</v>
      </c>
      <c r="F22" s="1">
        <v>501.56</v>
      </c>
      <c r="G22" s="1">
        <f t="shared" si="0"/>
        <v>64.901863999999989</v>
      </c>
      <c r="H22" s="21">
        <f>IFERROR(INDEX(Sheet1!$B:$C,MATCH(Positions!$C22,Sheet1!$G:$G,0),1),2.5%)</f>
        <v>0.1928</v>
      </c>
      <c r="I22" s="11">
        <f>IFERROR(INDEX(Sheet1!$B:$C,MATCH(Positions!$C22,Sheet1!$G:$G,0),2),25%)</f>
        <v>0.26650000000000001</v>
      </c>
      <c r="J22" s="9">
        <f t="shared" si="1"/>
        <v>0.72345215759849901</v>
      </c>
      <c r="K22" s="9">
        <f t="shared" si="2"/>
        <v>5.2020863233920044E-2</v>
      </c>
      <c r="L22" s="12">
        <f t="shared" si="11"/>
        <v>598.2607680000001</v>
      </c>
      <c r="M22" s="12">
        <f t="shared" si="3"/>
        <v>77.414943379200011</v>
      </c>
      <c r="N22" s="12">
        <f t="shared" si="4"/>
        <v>467.13234609294966</v>
      </c>
      <c r="O22" s="12">
        <f t="shared" si="5"/>
        <v>96.700768000000096</v>
      </c>
      <c r="P22" s="12">
        <f t="shared" si="6"/>
        <v>-17.213826953525171</v>
      </c>
      <c r="Q22" s="14">
        <f t="shared" si="7"/>
        <v>79.486941046474925</v>
      </c>
      <c r="R22" s="12">
        <f t="shared" si="8"/>
        <v>80.785233019770118</v>
      </c>
      <c r="S22" s="9">
        <f t="shared" si="9"/>
        <v>1.2378499914152324E-2</v>
      </c>
      <c r="T22" s="9">
        <f t="shared" si="10"/>
        <v>0.46105681805647636</v>
      </c>
    </row>
    <row r="23" spans="1:20" x14ac:dyDescent="0.25">
      <c r="A23" t="s">
        <v>36</v>
      </c>
      <c r="B23" s="3" t="s">
        <v>18</v>
      </c>
      <c r="C23" t="s">
        <v>17</v>
      </c>
      <c r="D23" s="8">
        <v>45678</v>
      </c>
      <c r="E23" s="2">
        <v>5.3800000000000001E-2</v>
      </c>
      <c r="F23" s="1">
        <v>185.82</v>
      </c>
      <c r="G23" s="1">
        <f t="shared" si="0"/>
        <v>9.9971160000000001</v>
      </c>
      <c r="H23" s="21">
        <f>IFERROR(INDEX(Sheet1!$B:$C,MATCH(Positions!$C23,Sheet1!$G:$G,0),1),2.5%)</f>
        <v>0.1925</v>
      </c>
      <c r="I23" s="11">
        <f>IFERROR(INDEX(Sheet1!$B:$C,MATCH(Positions!$C23,Sheet1!$G:$G,0),2),25%)</f>
        <v>0.28539999999999999</v>
      </c>
      <c r="J23" s="9">
        <f t="shared" si="1"/>
        <v>0.6744919411352488</v>
      </c>
      <c r="K23" s="9">
        <f t="shared" si="2"/>
        <v>4.8500308767689022E-2</v>
      </c>
      <c r="L23" s="12">
        <f t="shared" si="11"/>
        <v>221.59034999999997</v>
      </c>
      <c r="M23" s="12">
        <f t="shared" si="3"/>
        <v>11.921560829999999</v>
      </c>
      <c r="N23" s="12">
        <f t="shared" si="4"/>
        <v>170.02470491353276</v>
      </c>
      <c r="O23" s="12">
        <f t="shared" si="5"/>
        <v>35.770349999999979</v>
      </c>
      <c r="P23" s="12">
        <f t="shared" si="6"/>
        <v>-7.8976475432336173</v>
      </c>
      <c r="Q23" s="14">
        <f t="shared" si="7"/>
        <v>27.872702456766362</v>
      </c>
      <c r="R23" s="12">
        <f t="shared" si="8"/>
        <v>132.39947160947867</v>
      </c>
      <c r="S23" s="9">
        <f t="shared" si="9"/>
        <v>7.552900233239364E-3</v>
      </c>
      <c r="T23" s="9">
        <f t="shared" si="10"/>
        <v>0.75562917640760074</v>
      </c>
    </row>
    <row r="24" spans="1:20" x14ac:dyDescent="0.25">
      <c r="A24" t="s">
        <v>39</v>
      </c>
      <c r="B24" s="6" t="s">
        <v>58</v>
      </c>
      <c r="C24" t="s">
        <v>59</v>
      </c>
      <c r="D24" s="8">
        <v>45580</v>
      </c>
      <c r="E24" s="2">
        <v>2.9999999999999997E-4</v>
      </c>
      <c r="F24" s="1">
        <v>130.51</v>
      </c>
      <c r="G24" s="1">
        <f t="shared" si="0"/>
        <v>3.9152999999999993E-2</v>
      </c>
      <c r="H24" s="21">
        <f>IFERROR(INDEX(Sheet1!$B:$C,MATCH(Positions!$C24,Sheet1!$G:$G,0),1),2.5%)</f>
        <v>0.1169</v>
      </c>
      <c r="I24" s="11">
        <f>IFERROR(INDEX(Sheet1!$B:$C,MATCH(Positions!$C24,Sheet1!$G:$G,0),2),25%)</f>
        <v>0.23899999999999999</v>
      </c>
      <c r="J24" s="9">
        <f t="shared" si="1"/>
        <v>0.48912133891213394</v>
      </c>
      <c r="K24" s="9">
        <f t="shared" si="2"/>
        <v>3.5170970200438814E-2</v>
      </c>
      <c r="L24" s="12">
        <f t="shared" si="11"/>
        <v>145.76661899999999</v>
      </c>
      <c r="M24" s="12">
        <f t="shared" si="3"/>
        <v>4.3729985699999994E-2</v>
      </c>
      <c r="N24" s="12">
        <f t="shared" si="4"/>
        <v>116.3087068888691</v>
      </c>
      <c r="O24" s="12">
        <f t="shared" si="5"/>
        <v>15.256619000000001</v>
      </c>
      <c r="P24" s="12">
        <f t="shared" si="6"/>
        <v>-7.1006465555654472</v>
      </c>
      <c r="Q24" s="14">
        <f t="shared" si="7"/>
        <v>8.1559724444345534</v>
      </c>
      <c r="R24" s="12">
        <f t="shared" si="8"/>
        <v>152.11620162181049</v>
      </c>
      <c r="S24" s="9">
        <f t="shared" si="9"/>
        <v>6.5739217081306573E-3</v>
      </c>
      <c r="T24" s="9">
        <f t="shared" si="10"/>
        <v>0.86815633591631525</v>
      </c>
    </row>
    <row r="25" spans="1:20" x14ac:dyDescent="0.25">
      <c r="A25" t="s">
        <v>40</v>
      </c>
      <c r="B25" s="7" t="s">
        <v>51</v>
      </c>
      <c r="C25" s="13" t="s">
        <v>50</v>
      </c>
      <c r="D25" s="8">
        <v>45511</v>
      </c>
      <c r="E25" s="2">
        <v>9.9999999999999998E-20</v>
      </c>
      <c r="F25" s="1">
        <v>10.92</v>
      </c>
      <c r="G25" s="1">
        <f t="shared" si="0"/>
        <v>1.092E-18</v>
      </c>
      <c r="H25" s="21">
        <f>IFERROR(INDEX(Sheet1!$B:$C,MATCH(Positions!$C25,Sheet1!$G:$G,0),1),2.5%)</f>
        <v>-1.4844999999999999</v>
      </c>
      <c r="I25" s="11">
        <f>IFERROR(INDEX(Sheet1!$B:$C,MATCH(Positions!$C25,Sheet1!$G:$G,0),2),25%)</f>
        <v>1.3212999999999999</v>
      </c>
      <c r="J25" s="9">
        <f t="shared" si="1"/>
        <v>-1.1235147203511693</v>
      </c>
      <c r="K25" s="9">
        <f t="shared" si="2"/>
        <v>-8.0787934619887522E-2</v>
      </c>
      <c r="L25" s="12">
        <f t="shared" si="11"/>
        <v>0</v>
      </c>
      <c r="M25" s="12">
        <f t="shared" si="3"/>
        <v>0</v>
      </c>
      <c r="N25" s="12">
        <f t="shared" si="4"/>
        <v>2.8693047453886176</v>
      </c>
      <c r="O25" s="12">
        <f t="shared" si="5"/>
        <v>-10.92</v>
      </c>
      <c r="P25" s="12">
        <f t="shared" si="6"/>
        <v>-4.025347627305691</v>
      </c>
      <c r="Q25" s="14">
        <f t="shared" si="7"/>
        <v>-14.94534762730569</v>
      </c>
      <c r="R25" s="12">
        <f t="shared" si="8"/>
        <v>175.21752169355074</v>
      </c>
      <c r="S25" s="9">
        <f t="shared" si="9"/>
        <v>5.7071917827314364E-3</v>
      </c>
      <c r="T25" s="9">
        <f t="shared" si="10"/>
        <v>1</v>
      </c>
    </row>
    <row r="26" spans="1:20" x14ac:dyDescent="0.25">
      <c r="A26" t="s">
        <v>37</v>
      </c>
      <c r="B26" s="4" t="s">
        <v>7</v>
      </c>
      <c r="C26" t="s">
        <v>25</v>
      </c>
      <c r="D26" s="8">
        <v>45511</v>
      </c>
      <c r="E26" s="2">
        <v>9.9999999999999998E-20</v>
      </c>
      <c r="F26" s="1">
        <v>283.43</v>
      </c>
      <c r="G26" s="1">
        <f t="shared" si="0"/>
        <v>2.8342999999999998E-17</v>
      </c>
      <c r="H26" s="21">
        <f>IFERROR(INDEX(Sheet1!$B:$C,MATCH(Positions!$C26,Sheet1!$G:$G,0),1),2.5%)</f>
        <v>0.17100000000000001</v>
      </c>
      <c r="I26" s="11">
        <f>IFERROR(INDEX(Sheet1!$B:$C,MATCH(Positions!$C26,Sheet1!$G:$G,0),2),25%)</f>
        <v>0.24360000000000001</v>
      </c>
      <c r="J26" s="9">
        <f t="shared" si="1"/>
        <v>0.70197044334975367</v>
      </c>
      <c r="K26" s="9">
        <f t="shared" si="2"/>
        <v>5.0476189813256446E-2</v>
      </c>
      <c r="L26" s="12">
        <f t="shared" si="11"/>
        <v>331.89653000000004</v>
      </c>
      <c r="M26" s="12">
        <f t="shared" si="3"/>
        <v>3.3189653000000001E-17</v>
      </c>
      <c r="N26" s="12">
        <f t="shared" si="4"/>
        <v>264.24575797128472</v>
      </c>
      <c r="O26" s="12">
        <f t="shared" si="5"/>
        <v>48.466530000000034</v>
      </c>
      <c r="P26" s="12">
        <f t="shared" si="6"/>
        <v>-9.5921210143576445</v>
      </c>
      <c r="Q26" s="14">
        <f t="shared" si="7"/>
        <v>38.87440898564239</v>
      </c>
      <c r="R26" s="12">
        <f t="shared" si="8"/>
        <v>121.39776508060265</v>
      </c>
      <c r="S26" s="9">
        <f t="shared" si="9"/>
        <v>8.2373839364838809E-3</v>
      </c>
      <c r="T26" s="9">
        <f t="shared" si="10"/>
        <v>0.6928403273099768</v>
      </c>
    </row>
    <row r="27" spans="1:20" x14ac:dyDescent="0.25">
      <c r="A27" t="s">
        <v>36</v>
      </c>
      <c r="B27" s="3" t="s">
        <v>10</v>
      </c>
      <c r="C27" t="s">
        <v>9</v>
      </c>
      <c r="D27" s="8">
        <v>45544</v>
      </c>
      <c r="E27" s="2">
        <v>9.9999999999999998E-20</v>
      </c>
      <c r="F27" s="1">
        <v>188.12</v>
      </c>
      <c r="G27" s="1">
        <f t="shared" si="0"/>
        <v>1.8812000000000001E-17</v>
      </c>
      <c r="H27" s="21">
        <f>IFERROR(INDEX(Sheet1!$B:$C,MATCH(Positions!$C27,Sheet1!$G:$G,0),1),2.5%)</f>
        <v>0.1164</v>
      </c>
      <c r="I27" s="11">
        <f>IFERROR(INDEX(Sheet1!$B:$C,MATCH(Positions!$C27,Sheet1!$G:$G,0),2),25%)</f>
        <v>0.3664</v>
      </c>
      <c r="J27" s="9">
        <f t="shared" si="1"/>
        <v>0.31768558951965065</v>
      </c>
      <c r="K27" s="9">
        <f t="shared" si="2"/>
        <v>2.2843637177955244E-2</v>
      </c>
      <c r="L27" s="12">
        <f t="shared" si="11"/>
        <v>210.01716800000003</v>
      </c>
      <c r="M27" s="12">
        <f t="shared" si="3"/>
        <v>2.1001716800000003E-17</v>
      </c>
      <c r="N27" s="12">
        <f t="shared" si="4"/>
        <v>150.49600000000001</v>
      </c>
      <c r="O27" s="12">
        <f t="shared" si="5"/>
        <v>21.897168000000022</v>
      </c>
      <c r="P27" s="12">
        <f t="shared" si="6"/>
        <v>-18.811999999999998</v>
      </c>
      <c r="Q27" s="14">
        <f t="shared" si="7"/>
        <v>3.0851680000000243</v>
      </c>
      <c r="R27" s="12">
        <f t="shared" si="8"/>
        <v>157.18700606624503</v>
      </c>
      <c r="S27" s="9">
        <f t="shared" si="9"/>
        <v>6.3618490168236876E-3</v>
      </c>
      <c r="T27" s="9">
        <f t="shared" si="10"/>
        <v>0.89709638937343017</v>
      </c>
    </row>
    <row r="28" spans="1:20" x14ac:dyDescent="0.25">
      <c r="A28" t="s">
        <v>39</v>
      </c>
      <c r="B28" s="6" t="s">
        <v>33</v>
      </c>
      <c r="C28" t="s">
        <v>34</v>
      </c>
      <c r="D28" s="8">
        <v>45562</v>
      </c>
      <c r="E28" s="2">
        <v>9.9999999999999998E-20</v>
      </c>
      <c r="F28" s="1">
        <v>668.82</v>
      </c>
      <c r="G28" s="1">
        <f t="shared" si="0"/>
        <v>6.6881999999999999E-17</v>
      </c>
      <c r="H28" s="21">
        <f>IFERROR(INDEX(Sheet1!$B:$C,MATCH(Positions!$C28,Sheet1!$G:$G,0),1),2.5%)</f>
        <v>0.16070000000000001</v>
      </c>
      <c r="I28" s="11">
        <f>IFERROR(INDEX(Sheet1!$B:$C,MATCH(Positions!$C28,Sheet1!$G:$G,0),2),25%)</f>
        <v>0.27700000000000002</v>
      </c>
      <c r="J28" s="9">
        <f t="shared" si="1"/>
        <v>0.58014440433212999</v>
      </c>
      <c r="K28" s="9">
        <f t="shared" si="2"/>
        <v>4.1716114046666239E-2</v>
      </c>
      <c r="L28" s="12">
        <f t="shared" si="11"/>
        <v>776.29937400000006</v>
      </c>
      <c r="M28" s="12">
        <f t="shared" si="3"/>
        <v>7.7629937400000001E-17</v>
      </c>
      <c r="N28" s="12">
        <f t="shared" si="4"/>
        <v>599.14001612469769</v>
      </c>
      <c r="O28" s="12">
        <f t="shared" si="5"/>
        <v>107.47937400000001</v>
      </c>
      <c r="P28" s="12">
        <f t="shared" si="6"/>
        <v>-34.839991937651178</v>
      </c>
      <c r="Q28" s="14">
        <f t="shared" si="7"/>
        <v>72.63938206234883</v>
      </c>
      <c r="R28" s="12">
        <f t="shared" si="8"/>
        <v>87.632792003896213</v>
      </c>
      <c r="S28" s="9">
        <f t="shared" si="9"/>
        <v>1.1411253449000453E-2</v>
      </c>
      <c r="T28" s="9">
        <f t="shared" si="10"/>
        <v>0.50013715042244966</v>
      </c>
    </row>
    <row r="29" spans="1:20" x14ac:dyDescent="0.25">
      <c r="A29" t="s">
        <v>36</v>
      </c>
      <c r="B29" s="3" t="s">
        <v>60</v>
      </c>
      <c r="C29" t="s">
        <v>60</v>
      </c>
      <c r="D29" s="8">
        <v>45481</v>
      </c>
      <c r="E29" s="2">
        <v>9.9999999999999998E-20</v>
      </c>
      <c r="F29" s="1">
        <v>700.32</v>
      </c>
      <c r="G29" s="1">
        <f t="shared" si="0"/>
        <v>7.0031999999999998E-17</v>
      </c>
      <c r="H29" s="21">
        <f>IFERROR(INDEX(Sheet1!$B:$C,MATCH(Positions!$C29,Sheet1!$G:$G,0),1),2.5%)</f>
        <v>0.2051</v>
      </c>
      <c r="I29" s="11">
        <f>IFERROR(INDEX(Sheet1!$B:$C,MATCH(Positions!$C29,Sheet1!$G:$G,0),2),25%)</f>
        <v>0.36940000000000001</v>
      </c>
      <c r="J29" s="9">
        <f t="shared" si="1"/>
        <v>0.55522468868435304</v>
      </c>
      <c r="K29" s="9">
        <f t="shared" si="2"/>
        <v>3.9924226212860611E-2</v>
      </c>
      <c r="L29" s="12">
        <f t="shared" si="11"/>
        <v>843.95563200000015</v>
      </c>
      <c r="M29" s="12">
        <f t="shared" si="3"/>
        <v>8.4395563200000012E-17</v>
      </c>
      <c r="N29" s="12">
        <f t="shared" si="4"/>
        <v>601.49446019067261</v>
      </c>
      <c r="O29" s="12">
        <f t="shared" si="5"/>
        <v>143.6356320000001</v>
      </c>
      <c r="P29" s="12">
        <f t="shared" si="6"/>
        <v>-49.412769904663719</v>
      </c>
      <c r="Q29" s="14">
        <f t="shared" si="7"/>
        <v>94.222862095336382</v>
      </c>
      <c r="R29" s="12">
        <f t="shared" si="8"/>
        <v>66.049311970908661</v>
      </c>
      <c r="S29" s="9">
        <f t="shared" si="9"/>
        <v>1.5140203132478484E-2</v>
      </c>
      <c r="T29" s="9">
        <f t="shared" si="10"/>
        <v>0.376956090535435</v>
      </c>
    </row>
    <row r="30" spans="1:20" x14ac:dyDescent="0.25">
      <c r="A30" t="s">
        <v>36</v>
      </c>
      <c r="B30" s="3" t="s">
        <v>23</v>
      </c>
      <c r="C30" t="s">
        <v>24</v>
      </c>
      <c r="D30" s="8">
        <v>45482</v>
      </c>
      <c r="E30" s="2">
        <v>9.9999999999999998E-20</v>
      </c>
      <c r="F30" s="1">
        <v>147.01</v>
      </c>
      <c r="G30" s="1">
        <f t="shared" si="0"/>
        <v>1.4700999999999999E-17</v>
      </c>
      <c r="H30" s="21">
        <f>IFERROR(INDEX(Sheet1!$B:$C,MATCH(Positions!$C30,Sheet1!$G:$G,0),1),2.5%)</f>
        <v>0.55089999999999995</v>
      </c>
      <c r="I30" s="11">
        <f>IFERROR(INDEX(Sheet1!$B:$C,MATCH(Positions!$C30,Sheet1!$G:$G,0),2),25%)</f>
        <v>0.48780000000000001</v>
      </c>
      <c r="J30" s="9">
        <f t="shared" si="1"/>
        <v>1.1293562935629355</v>
      </c>
      <c r="K30" s="9">
        <f t="shared" si="2"/>
        <v>8.1207981305668323E-2</v>
      </c>
      <c r="L30" s="12">
        <f t="shared" si="11"/>
        <v>227.99780899999999</v>
      </c>
      <c r="M30" s="12">
        <f t="shared" si="3"/>
        <v>2.2799780899999998E-17</v>
      </c>
      <c r="N30" s="12">
        <f t="shared" si="4"/>
        <v>156.91108976411567</v>
      </c>
      <c r="O30" s="12">
        <f t="shared" si="5"/>
        <v>80.987808999999999</v>
      </c>
      <c r="P30" s="12">
        <f t="shared" si="6"/>
        <v>4.9505448820578408</v>
      </c>
      <c r="Q30" s="14">
        <f t="shared" si="7"/>
        <v>85.938353882057839</v>
      </c>
      <c r="R30" s="12">
        <f t="shared" si="8"/>
        <v>74.333820184187203</v>
      </c>
      <c r="S30" s="9">
        <f t="shared" si="9"/>
        <v>1.3452826688069595E-2</v>
      </c>
      <c r="T30" s="9">
        <f t="shared" si="10"/>
        <v>0.42423736773422943</v>
      </c>
    </row>
    <row r="31" spans="1:20" x14ac:dyDescent="0.25">
      <c r="A31" t="s">
        <v>36</v>
      </c>
      <c r="B31" s="3" t="s">
        <v>29</v>
      </c>
      <c r="C31" t="s">
        <v>30</v>
      </c>
      <c r="D31" s="8">
        <v>45481</v>
      </c>
      <c r="E31" s="2">
        <v>9.9999999999999998E-20</v>
      </c>
      <c r="F31" s="1">
        <v>169.34</v>
      </c>
      <c r="G31" s="1">
        <f t="shared" si="0"/>
        <v>1.6933999999999999E-17</v>
      </c>
      <c r="H31" s="21">
        <f>IFERROR(INDEX(Sheet1!$B:$C,MATCH(Positions!$C31,Sheet1!$G:$G,0),1),2.5%)</f>
        <v>0.21429999999999999</v>
      </c>
      <c r="I31" s="11">
        <f>IFERROR(INDEX(Sheet1!$B:$C,MATCH(Positions!$C31,Sheet1!$G:$G,0),2),25%)</f>
        <v>0.40479999999999999</v>
      </c>
      <c r="J31" s="9">
        <f t="shared" si="1"/>
        <v>0.52939723320158105</v>
      </c>
      <c r="K31" s="9">
        <f t="shared" si="2"/>
        <v>3.8067066046514005E-2</v>
      </c>
      <c r="L31" s="12">
        <f t="shared" si="11"/>
        <v>205.62956199999999</v>
      </c>
      <c r="M31" s="12">
        <f t="shared" si="3"/>
        <v>2.0562956199999998E-17</v>
      </c>
      <c r="N31" s="12">
        <f t="shared" si="4"/>
        <v>142.2427551448971</v>
      </c>
      <c r="O31" s="12">
        <f t="shared" si="5"/>
        <v>36.289561999999989</v>
      </c>
      <c r="P31" s="12">
        <f t="shared" si="6"/>
        <v>-13.54862242755145</v>
      </c>
      <c r="Q31" s="14">
        <f t="shared" si="7"/>
        <v>22.740939572448539</v>
      </c>
      <c r="R31" s="12">
        <f t="shared" si="8"/>
        <v>137.53123449379649</v>
      </c>
      <c r="S31" s="9">
        <f t="shared" si="9"/>
        <v>7.2710755755275814E-3</v>
      </c>
      <c r="T31" s="9">
        <f t="shared" si="10"/>
        <v>0.78491713137190566</v>
      </c>
    </row>
    <row r="32" spans="1:20" x14ac:dyDescent="0.25">
      <c r="A32" t="s">
        <v>40</v>
      </c>
      <c r="B32" s="7" t="s">
        <v>31</v>
      </c>
      <c r="C32" s="13" t="s">
        <v>32</v>
      </c>
      <c r="D32" s="8">
        <v>45511</v>
      </c>
      <c r="E32" s="2">
        <v>9.9999999999999998E-20</v>
      </c>
      <c r="F32" s="1">
        <v>113.58</v>
      </c>
      <c r="G32" s="1">
        <f t="shared" si="0"/>
        <v>1.1357999999999999E-17</v>
      </c>
      <c r="H32" s="21">
        <f>IFERROR(INDEX(Sheet1!$B:$C,MATCH(Positions!$C32,Sheet1!$G:$G,0),1),2.5%)</f>
        <v>7.6100000000000001E-2</v>
      </c>
      <c r="I32" s="11">
        <f>IFERROR(INDEX(Sheet1!$B:$C,MATCH(Positions!$C32,Sheet1!$G:$G,0),2),25%)</f>
        <v>0.20619999999999999</v>
      </c>
      <c r="J32" s="9">
        <f t="shared" si="1"/>
        <v>0.36905916585838994</v>
      </c>
      <c r="K32" s="9">
        <f t="shared" si="2"/>
        <v>2.6537727741491979E-2</v>
      </c>
      <c r="L32" s="12">
        <f t="shared" si="11"/>
        <v>122.223438</v>
      </c>
      <c r="M32" s="12">
        <f t="shared" si="3"/>
        <v>1.2222343799999999E-17</v>
      </c>
      <c r="N32" s="12">
        <f t="shared" si="4"/>
        <v>100.50438014335016</v>
      </c>
      <c r="O32" s="12">
        <f t="shared" si="5"/>
        <v>8.6434380000000033</v>
      </c>
      <c r="P32" s="12">
        <f t="shared" si="6"/>
        <v>-6.5378099283249185</v>
      </c>
      <c r="Q32" s="14">
        <f t="shared" si="7"/>
        <v>2.1056280716750848</v>
      </c>
      <c r="R32" s="12">
        <f t="shared" si="8"/>
        <v>158.16654599456996</v>
      </c>
      <c r="S32" s="9">
        <f t="shared" si="9"/>
        <v>6.3224495022754755E-3</v>
      </c>
      <c r="T32" s="9">
        <f t="shared" si="10"/>
        <v>0.9026868116032235</v>
      </c>
    </row>
    <row r="33" spans="1:20" x14ac:dyDescent="0.25">
      <c r="A33" t="s">
        <v>36</v>
      </c>
      <c r="B33" s="3" t="s">
        <v>84</v>
      </c>
      <c r="C33" t="s">
        <v>85</v>
      </c>
      <c r="D33" s="8">
        <v>45481</v>
      </c>
      <c r="E33" s="2">
        <v>9.9999999999999998E-20</v>
      </c>
      <c r="F33" s="1">
        <v>64.349999999999994</v>
      </c>
      <c r="G33" s="1">
        <f t="shared" si="0"/>
        <v>6.4349999999999993E-18</v>
      </c>
      <c r="H33" s="21">
        <f>IFERROR(INDEX(Sheet1!$B:$C,MATCH(Positions!$C33,Sheet1!$G:$G,0),1),2.5%)</f>
        <v>0.56589999999999996</v>
      </c>
      <c r="I33" s="11">
        <f>IFERROR(INDEX(Sheet1!$B:$C,MATCH(Positions!$C33,Sheet1!$G:$G,0),2),25%)</f>
        <v>0.70699999999999996</v>
      </c>
      <c r="J33" s="9">
        <f t="shared" si="1"/>
        <v>0.80042432814710041</v>
      </c>
      <c r="K33" s="9">
        <f t="shared" si="2"/>
        <v>5.7555657366290279E-2</v>
      </c>
      <c r="L33" s="12">
        <f t="shared" si="11"/>
        <v>100.765665</v>
      </c>
      <c r="M33" s="12">
        <f t="shared" si="3"/>
        <v>1.0076566499999999E-17</v>
      </c>
      <c r="N33" s="12">
        <f t="shared" si="4"/>
        <v>56.392954167031817</v>
      </c>
      <c r="O33" s="12">
        <f t="shared" si="5"/>
        <v>36.415665000000004</v>
      </c>
      <c r="P33" s="12">
        <f t="shared" si="6"/>
        <v>-3.9785229164840885</v>
      </c>
      <c r="Q33" s="14">
        <f t="shared" si="7"/>
        <v>32.437142083515916</v>
      </c>
      <c r="R33" s="12">
        <f t="shared" si="8"/>
        <v>127.83503198272913</v>
      </c>
      <c r="S33" s="9">
        <f t="shared" si="9"/>
        <v>7.8225818423161408E-3</v>
      </c>
      <c r="T33" s="9">
        <f t="shared" si="10"/>
        <v>0.7295790440770421</v>
      </c>
    </row>
    <row r="34" spans="1:20" x14ac:dyDescent="0.25">
      <c r="A34" t="s">
        <v>40</v>
      </c>
      <c r="B34" s="7" t="s">
        <v>49</v>
      </c>
      <c r="C34" s="13" t="s">
        <v>48</v>
      </c>
      <c r="D34" s="8">
        <v>45511</v>
      </c>
      <c r="E34" s="2">
        <v>9.9999999999999998E-20</v>
      </c>
      <c r="F34" s="1">
        <v>20.82</v>
      </c>
      <c r="G34" s="1">
        <f t="shared" si="0"/>
        <v>2.0820000000000002E-18</v>
      </c>
      <c r="H34" s="21">
        <f>IFERROR(INDEX(Sheet1!$B:$C,MATCH(Positions!$C34,Sheet1!$G:$G,0),1),2.5%)</f>
        <v>1.1900000000000001E-2</v>
      </c>
      <c r="I34" s="11">
        <f>IFERROR(INDEX(Sheet1!$B:$C,MATCH(Positions!$C34,Sheet1!$G:$G,0),2),25%)</f>
        <v>0.70799999999999996</v>
      </c>
      <c r="J34" s="9">
        <f t="shared" si="1"/>
        <v>1.6807909604519777E-2</v>
      </c>
      <c r="K34" s="9">
        <f t="shared" si="2"/>
        <v>1.2085968057476818E-3</v>
      </c>
      <c r="L34" s="12">
        <f t="shared" si="11"/>
        <v>21.067758000000001</v>
      </c>
      <c r="M34" s="12">
        <f t="shared" si="3"/>
        <v>2.1067757999999999E-18</v>
      </c>
      <c r="N34" s="12">
        <f t="shared" si="4"/>
        <v>12.275219621484583</v>
      </c>
      <c r="O34" s="12">
        <f t="shared" si="5"/>
        <v>0.24775800000000103</v>
      </c>
      <c r="P34" s="12">
        <f t="shared" si="6"/>
        <v>-4.2723901892577087</v>
      </c>
      <c r="Q34" s="14">
        <f t="shared" si="7"/>
        <v>-4.0246321892577077</v>
      </c>
      <c r="R34" s="12">
        <f t="shared" si="8"/>
        <v>164.29680625550276</v>
      </c>
      <c r="S34" s="9">
        <f t="shared" si="9"/>
        <v>6.0865455804714232E-3</v>
      </c>
      <c r="T34" s="9">
        <f t="shared" si="10"/>
        <v>0.93767338259042421</v>
      </c>
    </row>
    <row r="35" spans="1:20" x14ac:dyDescent="0.25">
      <c r="A35" t="s">
        <v>40</v>
      </c>
      <c r="B35" s="7" t="s">
        <v>52</v>
      </c>
      <c r="C35" t="s">
        <v>53</v>
      </c>
      <c r="D35" s="8">
        <v>45511</v>
      </c>
      <c r="E35" s="2">
        <v>9.9999999999999998E-20</v>
      </c>
      <c r="F35" s="1">
        <v>13.04</v>
      </c>
      <c r="G35" s="1">
        <f t="shared" si="0"/>
        <v>1.304E-18</v>
      </c>
      <c r="H35" s="21">
        <f>IFERROR(INDEX(Sheet1!$B:$C,MATCH(Positions!$C35,Sheet1!$G:$G,0),1),2.5%)</f>
        <v>4.82E-2</v>
      </c>
      <c r="I35" s="11">
        <f>IFERROR(INDEX(Sheet1!$B:$C,MATCH(Positions!$C35,Sheet1!$G:$G,0),2),25%)</f>
        <v>0.4264</v>
      </c>
      <c r="J35" s="9">
        <f t="shared" si="1"/>
        <v>0.11303939962476547</v>
      </c>
      <c r="K35" s="9">
        <f t="shared" si="2"/>
        <v>8.128259880300007E-3</v>
      </c>
      <c r="L35" s="12">
        <f t="shared" si="11"/>
        <v>13.668528</v>
      </c>
      <c r="M35" s="12">
        <f t="shared" si="3"/>
        <v>1.3668528E-18</v>
      </c>
      <c r="N35" s="12">
        <f t="shared" si="4"/>
        <v>9.4616166013640974</v>
      </c>
      <c r="O35" s="12">
        <f t="shared" si="5"/>
        <v>0.62852800000000109</v>
      </c>
      <c r="P35" s="12">
        <f t="shared" si="6"/>
        <v>-1.7891916993179509</v>
      </c>
      <c r="Q35" s="14">
        <f t="shared" si="7"/>
        <v>-1.1606636993179498</v>
      </c>
      <c r="R35" s="12">
        <f t="shared" si="8"/>
        <v>161.43283776556299</v>
      </c>
      <c r="S35" s="9">
        <f t="shared" si="9"/>
        <v>6.1945265525978439E-3</v>
      </c>
      <c r="T35" s="9">
        <f t="shared" si="10"/>
        <v>0.92132816515863825</v>
      </c>
    </row>
    <row r="36" spans="1:20" x14ac:dyDescent="0.25">
      <c r="A36" t="s">
        <v>40</v>
      </c>
      <c r="B36" s="7" t="s">
        <v>45</v>
      </c>
      <c r="C36" t="s">
        <v>44</v>
      </c>
      <c r="D36" s="8">
        <v>45511</v>
      </c>
      <c r="E36" s="2">
        <v>9.9999999999999998E-20</v>
      </c>
      <c r="F36" s="1">
        <v>11.05</v>
      </c>
      <c r="G36" s="1">
        <f t="shared" si="0"/>
        <v>1.1050000000000001E-18</v>
      </c>
      <c r="H36" s="21">
        <f>IFERROR(INDEX(Sheet1!$B:$C,MATCH(Positions!$C36,Sheet1!$G:$G,0),1),2.5%)</f>
        <v>-0.1055</v>
      </c>
      <c r="I36" s="11">
        <f>IFERROR(INDEX(Sheet1!$B:$C,MATCH(Positions!$C36,Sheet1!$G:$G,0),2),25%)</f>
        <v>0.57940000000000003</v>
      </c>
      <c r="J36" s="9">
        <f t="shared" si="1"/>
        <v>-0.18208491542975491</v>
      </c>
      <c r="K36" s="9">
        <f t="shared" si="2"/>
        <v>-1.3093076553913688E-2</v>
      </c>
      <c r="L36" s="12">
        <f t="shared" si="11"/>
        <v>9.8842250000000007</v>
      </c>
      <c r="M36" s="12">
        <f t="shared" si="3"/>
        <v>9.8842250000000007E-19</v>
      </c>
      <c r="N36" s="12">
        <f t="shared" si="4"/>
        <v>6.5582527152946763</v>
      </c>
      <c r="O36" s="12">
        <f t="shared" si="5"/>
        <v>-1.165775</v>
      </c>
      <c r="P36" s="12">
        <f t="shared" si="6"/>
        <v>-2.2458736423526622</v>
      </c>
      <c r="Q36" s="14">
        <f t="shared" si="7"/>
        <v>-3.4116486423526622</v>
      </c>
      <c r="R36" s="12">
        <f t="shared" si="8"/>
        <v>163.68382270859772</v>
      </c>
      <c r="S36" s="9">
        <f t="shared" si="9"/>
        <v>6.1093392337266917E-3</v>
      </c>
      <c r="T36" s="9">
        <f t="shared" si="10"/>
        <v>0.93417496792857824</v>
      </c>
    </row>
    <row r="37" spans="1:20" x14ac:dyDescent="0.25">
      <c r="A37" t="s">
        <v>75</v>
      </c>
      <c r="B37" s="7" t="s">
        <v>80</v>
      </c>
      <c r="C37" s="13" t="s">
        <v>81</v>
      </c>
      <c r="D37" s="8">
        <f ca="1">TODAY()-20</f>
        <v>45683</v>
      </c>
      <c r="E37" s="2">
        <v>9.9999999999999998E-20</v>
      </c>
      <c r="F37" s="1">
        <v>2742.9</v>
      </c>
      <c r="G37" s="1">
        <f t="shared" si="0"/>
        <v>2.7429000000000002E-16</v>
      </c>
      <c r="H37" s="21">
        <f>IFERROR(INDEX(Sheet1!$B:$C,MATCH(Positions!$C37,Sheet1!$G:$G,0),1),2.5%)</f>
        <v>8.6599999999999996E-2</v>
      </c>
      <c r="I37" s="11">
        <f>IFERROR(INDEX(Sheet1!$B:$C,MATCH(Positions!$C37,Sheet1!$G:$G,0),2),25%)</f>
        <v>0.14630000000000001</v>
      </c>
      <c r="J37" s="9">
        <f t="shared" si="1"/>
        <v>0.59193438140806554</v>
      </c>
      <c r="K37" s="9">
        <f t="shared" si="2"/>
        <v>4.2563889229249467E-2</v>
      </c>
      <c r="L37" s="12">
        <f t="shared" si="11"/>
        <v>2980.43514</v>
      </c>
      <c r="M37" s="12">
        <f t="shared" si="3"/>
        <v>2.98043514E-16</v>
      </c>
      <c r="N37" s="12">
        <f t="shared" si="4"/>
        <v>2588.3740681324903</v>
      </c>
      <c r="O37" s="12">
        <f t="shared" si="5"/>
        <v>237.53513999999996</v>
      </c>
      <c r="P37" s="12">
        <f t="shared" si="6"/>
        <v>-77.262965933754913</v>
      </c>
      <c r="Q37" s="14">
        <f t="shared" si="7"/>
        <v>160.27217406624504</v>
      </c>
      <c r="R37" s="12">
        <f t="shared" si="8"/>
        <v>0</v>
      </c>
      <c r="S37" s="9">
        <f t="shared" si="9"/>
        <v>0</v>
      </c>
      <c r="T37" s="9">
        <f t="shared" si="10"/>
        <v>0</v>
      </c>
    </row>
    <row r="38" spans="1:20" x14ac:dyDescent="0.25">
      <c r="A38" t="s">
        <v>38</v>
      </c>
      <c r="B38" s="5" t="s">
        <v>54</v>
      </c>
      <c r="C38" t="s">
        <v>55</v>
      </c>
      <c r="D38" s="8">
        <v>45505</v>
      </c>
      <c r="E38" s="2">
        <v>9.9999999999999998E-20</v>
      </c>
      <c r="F38" s="1">
        <v>86.6</v>
      </c>
      <c r="G38" s="1">
        <f t="shared" si="0"/>
        <v>8.6599999999999986E-18</v>
      </c>
      <c r="H38" s="21">
        <f>IFERROR(INDEX(Sheet1!$B:$C,MATCH(Positions!$C38,Sheet1!$G:$G,0),1),2.5%)</f>
        <v>0.1467</v>
      </c>
      <c r="I38" s="11">
        <f>IFERROR(INDEX(Sheet1!$B:$C,MATCH(Positions!$C38,Sheet1!$G:$G,0),2),25%)</f>
        <v>0.21079999999999999</v>
      </c>
      <c r="J38" s="9">
        <f t="shared" si="1"/>
        <v>0.6959203036053131</v>
      </c>
      <c r="K38" s="9">
        <f t="shared" si="2"/>
        <v>5.0041145852317261E-2</v>
      </c>
      <c r="L38" s="12">
        <f t="shared" si="11"/>
        <v>99.304220000000001</v>
      </c>
      <c r="M38" s="12">
        <f t="shared" si="3"/>
        <v>9.9304219999999992E-18</v>
      </c>
      <c r="N38" s="12">
        <f t="shared" si="4"/>
        <v>81.383328634526833</v>
      </c>
      <c r="O38" s="12">
        <f t="shared" si="5"/>
        <v>12.704220000000007</v>
      </c>
      <c r="P38" s="12">
        <f t="shared" si="6"/>
        <v>-2.6083356827365805</v>
      </c>
      <c r="Q38" s="14">
        <f t="shared" si="7"/>
        <v>10.095884317263426</v>
      </c>
      <c r="R38" s="12">
        <f t="shared" si="8"/>
        <v>150.17628974898162</v>
      </c>
      <c r="S38" s="9">
        <f t="shared" si="9"/>
        <v>6.6588407642211135E-3</v>
      </c>
      <c r="T38" s="9">
        <f t="shared" si="10"/>
        <v>0.8570848868164832</v>
      </c>
    </row>
    <row r="39" spans="1:20" x14ac:dyDescent="0.25">
      <c r="A39" t="s">
        <v>72</v>
      </c>
      <c r="B39" s="5" t="s">
        <v>73</v>
      </c>
      <c r="C39" t="s">
        <v>74</v>
      </c>
      <c r="D39" s="8">
        <v>45562</v>
      </c>
      <c r="E39" s="2">
        <v>9.9999999999999998E-20</v>
      </c>
      <c r="F39" s="1">
        <v>56</v>
      </c>
      <c r="G39" s="1">
        <f t="shared" si="0"/>
        <v>5.5999999999999995E-18</v>
      </c>
      <c r="H39" s="21">
        <f>IFERROR(INDEX(Sheet1!$B:$C,MATCH(Positions!$C39,Sheet1!$G:$G,0),1),2.5%)</f>
        <v>4.1000000000000003E-3</v>
      </c>
      <c r="I39" s="11">
        <f>IFERROR(INDEX(Sheet1!$B:$C,MATCH(Positions!$C39,Sheet1!$G:$G,0),2),25%)</f>
        <v>0.4047</v>
      </c>
      <c r="J39" s="9">
        <f t="shared" si="1"/>
        <v>1.0130961205831481E-2</v>
      </c>
      <c r="K39" s="9">
        <f t="shared" si="2"/>
        <v>7.2848127105758817E-4</v>
      </c>
      <c r="L39" s="12">
        <f t="shared" si="11"/>
        <v>56.229599999999998</v>
      </c>
      <c r="M39" s="12">
        <f t="shared" si="3"/>
        <v>5.6229599999999995E-18</v>
      </c>
      <c r="N39" s="12">
        <f t="shared" si="4"/>
        <v>39.98286448664858</v>
      </c>
      <c r="O39" s="12">
        <f t="shared" si="5"/>
        <v>0.22959999999999781</v>
      </c>
      <c r="P39" s="12">
        <f t="shared" si="6"/>
        <v>-8.0085677566757099</v>
      </c>
      <c r="Q39" s="14">
        <f t="shared" si="7"/>
        <v>-7.7789677566757121</v>
      </c>
      <c r="R39" s="12">
        <f t="shared" si="8"/>
        <v>168.05114182292075</v>
      </c>
      <c r="S39" s="9">
        <f t="shared" si="9"/>
        <v>5.950569506119289E-3</v>
      </c>
      <c r="T39" s="9">
        <f t="shared" si="10"/>
        <v>0.95910009569040855</v>
      </c>
    </row>
    <row r="40" spans="1:20" x14ac:dyDescent="0.25">
      <c r="A40" t="s">
        <v>75</v>
      </c>
      <c r="B40" s="5" t="s">
        <v>76</v>
      </c>
      <c r="C40" t="s">
        <v>77</v>
      </c>
      <c r="D40" s="8">
        <v>45580</v>
      </c>
      <c r="E40" s="2">
        <v>9.9999999999999998E-20</v>
      </c>
      <c r="F40" s="1">
        <v>17</v>
      </c>
      <c r="G40" s="1">
        <f t="shared" si="0"/>
        <v>1.7E-18</v>
      </c>
      <c r="H40" s="21">
        <f>IFERROR(INDEX(Sheet1!$B:$C,MATCH(Positions!$C40,Sheet1!$G:$G,0),1),2.5%)</f>
        <v>3.1099999999999999E-2</v>
      </c>
      <c r="I40" s="11">
        <f>IFERROR(INDEX(Sheet1!$B:$C,MATCH(Positions!$C40,Sheet1!$G:$G,0),2),25%)</f>
        <v>0.1285</v>
      </c>
      <c r="J40" s="9">
        <f t="shared" si="1"/>
        <v>0.24202334630350195</v>
      </c>
      <c r="K40" s="9">
        <f t="shared" si="2"/>
        <v>1.7403035245984404E-2</v>
      </c>
      <c r="L40" s="12">
        <f t="shared" si="11"/>
        <v>17.528699999999997</v>
      </c>
      <c r="M40" s="12">
        <f t="shared" si="3"/>
        <v>1.7528699999999997E-18</v>
      </c>
      <c r="N40" s="12">
        <f t="shared" si="4"/>
        <v>15.491160925824675</v>
      </c>
      <c r="O40" s="12">
        <f t="shared" si="5"/>
        <v>0.52869999999999706</v>
      </c>
      <c r="P40" s="12">
        <f t="shared" si="6"/>
        <v>-0.75441953708766274</v>
      </c>
      <c r="Q40" s="14">
        <f t="shared" si="7"/>
        <v>-0.22571953708766568</v>
      </c>
      <c r="R40" s="12">
        <f t="shared" si="8"/>
        <v>160.4978936033327</v>
      </c>
      <c r="S40" s="9">
        <f t="shared" si="9"/>
        <v>6.2306113653521206E-3</v>
      </c>
      <c r="T40" s="9">
        <f t="shared" si="10"/>
        <v>0.91599225951864482</v>
      </c>
    </row>
    <row r="41" spans="1:20" x14ac:dyDescent="0.25">
      <c r="A41" t="s">
        <v>39</v>
      </c>
      <c r="B41" s="6" t="s">
        <v>57</v>
      </c>
      <c r="C41" t="s">
        <v>56</v>
      </c>
      <c r="D41" s="8">
        <v>45574</v>
      </c>
      <c r="E41" s="2">
        <v>9.9999999999999998E-20</v>
      </c>
      <c r="F41" s="1">
        <v>47.42</v>
      </c>
      <c r="G41" s="1">
        <f t="shared" si="0"/>
        <v>4.7419999999999999E-18</v>
      </c>
      <c r="H41" s="21">
        <f>IFERROR(INDEX(Sheet1!$B:$C,MATCH(Positions!$C41,Sheet1!$G:$G,0),1),2.5%)</f>
        <v>8.5199999999999998E-2</v>
      </c>
      <c r="I41" s="11">
        <f>IFERROR(INDEX(Sheet1!$B:$C,MATCH(Positions!$C41,Sheet1!$G:$G,0),2),25%)</f>
        <v>0.36359999999999998</v>
      </c>
      <c r="J41" s="9">
        <f t="shared" si="1"/>
        <v>0.23432343234323433</v>
      </c>
      <c r="K41" s="9">
        <f t="shared" si="2"/>
        <v>1.6849361907902614E-2</v>
      </c>
      <c r="L41" s="12">
        <f t="shared" si="11"/>
        <v>51.460183999999998</v>
      </c>
      <c r="M41" s="12">
        <f t="shared" si="3"/>
        <v>5.1460184E-18</v>
      </c>
      <c r="N41" s="12">
        <f t="shared" si="4"/>
        <v>37.093241551939926</v>
      </c>
      <c r="O41" s="12">
        <f t="shared" si="5"/>
        <v>4.0401839999999964</v>
      </c>
      <c r="P41" s="12">
        <f t="shared" si="6"/>
        <v>-5.163379224030038</v>
      </c>
      <c r="Q41" s="14">
        <f t="shared" si="7"/>
        <v>-1.1231952240300416</v>
      </c>
      <c r="R41" s="12">
        <f t="shared" si="8"/>
        <v>161.39536929027508</v>
      </c>
      <c r="S41" s="9">
        <f t="shared" si="9"/>
        <v>6.195964632674595E-3</v>
      </c>
      <c r="T41" s="9">
        <f t="shared" si="10"/>
        <v>0.92111432538436366</v>
      </c>
    </row>
    <row r="42" spans="1:20" x14ac:dyDescent="0.25">
      <c r="A42" t="s">
        <v>39</v>
      </c>
      <c r="B42" s="6" t="s">
        <v>42</v>
      </c>
      <c r="C42" t="s">
        <v>41</v>
      </c>
      <c r="D42" s="8">
        <v>45507</v>
      </c>
      <c r="E42" s="2">
        <v>9.9999999999999998E-20</v>
      </c>
      <c r="F42" s="1">
        <v>41.8</v>
      </c>
      <c r="G42" s="1">
        <f t="shared" si="0"/>
        <v>4.1799999999999993E-18</v>
      </c>
      <c r="H42" s="21">
        <f>IFERROR(INDEX(Sheet1!$B:$C,MATCH(Positions!$C42,Sheet1!$G:$G,0),1),2.5%)</f>
        <v>8.3500000000000005E-2</v>
      </c>
      <c r="I42" s="11">
        <f>IFERROR(INDEX(Sheet1!$B:$C,MATCH(Positions!$C42,Sheet1!$G:$G,0),2),25%)</f>
        <v>0.39029999999999998</v>
      </c>
      <c r="J42" s="9">
        <f t="shared" ref="J42:J46" si="12">IFERROR(H42/I42,"")</f>
        <v>0.21393799641301564</v>
      </c>
      <c r="K42" s="9">
        <f t="shared" si="2"/>
        <v>1.5383517949388522E-2</v>
      </c>
      <c r="L42" s="12">
        <f t="shared" ref="L42:L46" si="13">IF((1+H42)*F42&lt;0,0,(1+H42)*F42)</f>
        <v>45.290299999999995</v>
      </c>
      <c r="M42" s="12">
        <f t="shared" si="3"/>
        <v>4.5290299999999995E-18</v>
      </c>
      <c r="N42" s="12">
        <f t="shared" ref="N42:N46" si="14">F42/(1+I42-H42)</f>
        <v>31.986531986531986</v>
      </c>
      <c r="O42" s="12">
        <f t="shared" ref="O42:O46" si="15">L42-F42</f>
        <v>3.4902999999999977</v>
      </c>
      <c r="P42" s="12">
        <f t="shared" ref="P42:P46" si="16">0.5*(N42-F42)</f>
        <v>-4.9067340067340055</v>
      </c>
      <c r="Q42" s="14">
        <f t="shared" ref="Q42:Q46" si="17">O42+P42</f>
        <v>-1.4164340067340078</v>
      </c>
      <c r="R42" s="12">
        <f t="shared" si="8"/>
        <v>161.68860807297904</v>
      </c>
      <c r="S42" s="9">
        <f t="shared" si="9"/>
        <v>6.1847276188353633E-3</v>
      </c>
      <c r="T42" s="9">
        <f t="shared" ref="T42:T46" si="18">R42/MAX($R$2:$R$28)</f>
        <v>0.92278789535538974</v>
      </c>
    </row>
    <row r="43" spans="1:20" x14ac:dyDescent="0.25">
      <c r="A43" t="s">
        <v>75</v>
      </c>
      <c r="B43" s="7" t="s">
        <v>78</v>
      </c>
      <c r="C43" t="s">
        <v>79</v>
      </c>
      <c r="D43" s="8">
        <v>45574</v>
      </c>
      <c r="E43" s="2">
        <v>9.9999999999999998E-20</v>
      </c>
      <c r="F43" s="1">
        <v>153.7552</v>
      </c>
      <c r="G43" s="1">
        <f t="shared" si="0"/>
        <v>1.5375519999999999E-17</v>
      </c>
      <c r="H43" s="21">
        <f>IFERROR(INDEX(Sheet1!$B:$C,MATCH(Positions!$C43,Sheet1!$G:$G,0),1),2.5%)</f>
        <v>2.2700000000000001E-2</v>
      </c>
      <c r="I43" s="11">
        <f>IFERROR(INDEX(Sheet1!$B:$C,MATCH(Positions!$C43,Sheet1!$G:$G,0),2),25%)</f>
        <v>8.8400000000000006E-2</v>
      </c>
      <c r="J43" s="9">
        <f t="shared" si="12"/>
        <v>0.25678733031674206</v>
      </c>
      <c r="K43" s="9">
        <f t="shared" si="2"/>
        <v>1.8464660655589982E-2</v>
      </c>
      <c r="L43" s="12">
        <f t="shared" si="13"/>
        <v>157.24544304</v>
      </c>
      <c r="M43" s="12">
        <f t="shared" si="3"/>
        <v>1.5724544303999999E-17</v>
      </c>
      <c r="N43" s="12">
        <f t="shared" si="14"/>
        <v>144.27625035188137</v>
      </c>
      <c r="O43" s="12">
        <f t="shared" si="15"/>
        <v>3.4902430399999957</v>
      </c>
      <c r="P43" s="12">
        <f t="shared" si="16"/>
        <v>-4.7394748240593145</v>
      </c>
      <c r="Q43" s="14">
        <f t="shared" si="17"/>
        <v>-1.2492317840593188</v>
      </c>
      <c r="R43" s="12">
        <f t="shared" si="8"/>
        <v>161.52140585030435</v>
      </c>
      <c r="S43" s="9">
        <f t="shared" si="9"/>
        <v>6.1911298674974715E-3</v>
      </c>
      <c r="T43" s="9">
        <f t="shared" si="18"/>
        <v>0.92183364020408631</v>
      </c>
    </row>
    <row r="44" spans="1:20" x14ac:dyDescent="0.25">
      <c r="A44" t="s">
        <v>88</v>
      </c>
      <c r="B44" t="s">
        <v>89</v>
      </c>
      <c r="C44" s="20" t="s">
        <v>90</v>
      </c>
      <c r="D44" s="8">
        <v>45627</v>
      </c>
      <c r="E44" s="2">
        <v>9.9999999999999998E-20</v>
      </c>
      <c r="F44" s="1">
        <v>133.53</v>
      </c>
      <c r="G44" s="1">
        <f t="shared" si="0"/>
        <v>1.3353E-17</v>
      </c>
      <c r="H44" s="21">
        <f>IFERROR(INDEX(Sheet1!$B:$C,MATCH(Positions!$C44,Sheet1!$G:$G,0),1),2.5%)</f>
        <v>4.0899999999999999E-2</v>
      </c>
      <c r="I44" s="11">
        <f>IFERROR(INDEX(Sheet1!$B:$C,MATCH(Positions!$C44,Sheet1!$G:$G,0),2),25%)</f>
        <v>0.25</v>
      </c>
      <c r="J44" s="9">
        <f t="shared" si="12"/>
        <v>0.1636</v>
      </c>
      <c r="K44" s="9">
        <f t="shared" si="2"/>
        <v>1.1763892243158576E-2</v>
      </c>
      <c r="L44" s="12">
        <f t="shared" si="13"/>
        <v>138.991377</v>
      </c>
      <c r="M44" s="12">
        <f t="shared" si="3"/>
        <v>1.38991377E-17</v>
      </c>
      <c r="N44" s="12">
        <f t="shared" si="14"/>
        <v>110.4375155074022</v>
      </c>
      <c r="O44" s="12">
        <f t="shared" si="15"/>
        <v>5.4613769999999988</v>
      </c>
      <c r="P44" s="12">
        <f t="shared" si="16"/>
        <v>-11.546242246298903</v>
      </c>
      <c r="Q44" s="14">
        <f t="shared" si="17"/>
        <v>-6.0848652462989037</v>
      </c>
      <c r="R44" s="12">
        <f t="shared" si="8"/>
        <v>166.35703931254395</v>
      </c>
      <c r="S44" s="9">
        <f t="shared" si="9"/>
        <v>6.0111673310153475E-3</v>
      </c>
      <c r="T44" s="9">
        <f t="shared" si="18"/>
        <v>0.94943152776408135</v>
      </c>
    </row>
    <row r="45" spans="1:20" x14ac:dyDescent="0.25">
      <c r="A45" t="s">
        <v>40</v>
      </c>
      <c r="B45" s="7" t="s">
        <v>93</v>
      </c>
      <c r="C45" s="20" t="s">
        <v>94</v>
      </c>
      <c r="D45" s="8">
        <v>45627</v>
      </c>
      <c r="E45" s="2">
        <v>9.9999999999999998E-20</v>
      </c>
      <c r="F45" s="1">
        <v>26.63</v>
      </c>
      <c r="G45" s="1">
        <f t="shared" si="0"/>
        <v>2.663E-18</v>
      </c>
      <c r="H45" s="21">
        <f>IFERROR(INDEX(Sheet1!$B:$C,MATCH(Positions!$C45,Sheet1!$G:$G,0),1),2.5%)</f>
        <v>-0.1193</v>
      </c>
      <c r="I45" s="11">
        <f>IFERROR(INDEX(Sheet1!$B:$C,MATCH(Positions!$C45,Sheet1!$G:$G,0),2),25%)</f>
        <v>0.60340000000000005</v>
      </c>
      <c r="J45" s="9">
        <f t="shared" si="12"/>
        <v>-0.19771295989393436</v>
      </c>
      <c r="K45" s="9">
        <f t="shared" si="2"/>
        <v>-1.4216833467409396E-2</v>
      </c>
      <c r="L45" s="12">
        <f t="shared" si="13"/>
        <v>23.453040999999999</v>
      </c>
      <c r="M45" s="12">
        <f t="shared" si="3"/>
        <v>2.3453040999999998E-18</v>
      </c>
      <c r="N45" s="12">
        <f t="shared" si="14"/>
        <v>15.458292215707898</v>
      </c>
      <c r="O45" s="12">
        <f t="shared" si="15"/>
        <v>-3.1769590000000001</v>
      </c>
      <c r="P45" s="12">
        <f t="shared" si="16"/>
        <v>-5.5858538921460505</v>
      </c>
      <c r="Q45" s="14">
        <f t="shared" si="17"/>
        <v>-8.7628128921460515</v>
      </c>
      <c r="R45" s="12">
        <f t="shared" si="8"/>
        <v>169.0349869583911</v>
      </c>
      <c r="S45" s="9">
        <f t="shared" si="9"/>
        <v>5.9159350261975977E-3</v>
      </c>
      <c r="T45" s="9">
        <f t="shared" si="18"/>
        <v>0.96471508856304522</v>
      </c>
    </row>
    <row r="46" spans="1:20" x14ac:dyDescent="0.25">
      <c r="A46" t="s">
        <v>96</v>
      </c>
      <c r="B46" s="7" t="s">
        <v>101</v>
      </c>
      <c r="C46" s="20" t="s">
        <v>102</v>
      </c>
      <c r="D46" s="8">
        <v>45630</v>
      </c>
      <c r="E46" s="2">
        <v>9.9999999999999998E-20</v>
      </c>
      <c r="F46" s="1">
        <v>323.75</v>
      </c>
      <c r="G46" s="1">
        <f t="shared" si="0"/>
        <v>3.2375000000000002E-17</v>
      </c>
      <c r="H46" s="21">
        <f>IFERROR(INDEX(Sheet1!$B:$C,MATCH(Positions!$C46,Sheet1!$G:$G,0),1),2.5%)</f>
        <v>0.16109999999999999</v>
      </c>
      <c r="I46" s="11">
        <f>IFERROR(INDEX(Sheet1!$B:$C,MATCH(Positions!$C46,Sheet1!$G:$G,0),2),25%)</f>
        <v>0.32779999999999998</v>
      </c>
      <c r="J46" s="9">
        <f t="shared" si="12"/>
        <v>0.49145820622330688</v>
      </c>
      <c r="K46" s="9">
        <f t="shared" si="2"/>
        <v>3.533900599038501E-2</v>
      </c>
      <c r="L46" s="12">
        <f t="shared" si="13"/>
        <v>375.90612500000003</v>
      </c>
      <c r="M46" s="12">
        <f t="shared" si="3"/>
        <v>3.7590612500000005E-17</v>
      </c>
      <c r="N46" s="12">
        <f t="shared" si="14"/>
        <v>277.49207165509563</v>
      </c>
      <c r="O46" s="12">
        <f t="shared" si="15"/>
        <v>52.156125000000031</v>
      </c>
      <c r="P46" s="12">
        <f t="shared" si="16"/>
        <v>-23.128964172452186</v>
      </c>
      <c r="Q46" s="14">
        <f t="shared" si="17"/>
        <v>29.027160827547846</v>
      </c>
      <c r="R46" s="12">
        <f t="shared" si="8"/>
        <v>131.2450132386972</v>
      </c>
      <c r="S46" s="9">
        <f t="shared" si="9"/>
        <v>7.619337110974918E-3</v>
      </c>
      <c r="T46" s="9">
        <f t="shared" si="18"/>
        <v>0.74904046108037126</v>
      </c>
    </row>
  </sheetData>
  <autoFilter ref="A1:T46" xr:uid="{00000000-0001-0000-0000-000000000000}"/>
  <conditionalFormatting sqref="S2:S46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3E3ADDBA-BC7C-4D57-B9DE-7F1FC69F757B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T2:T46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05E8D-08B7-4DF5-A194-73864790DB1A}">
  <dimension ref="B3:F17"/>
  <sheetViews>
    <sheetView workbookViewId="0">
      <selection activeCell="B14" sqref="B14"/>
    </sheetView>
  </sheetViews>
  <sheetFormatPr defaultRowHeight="15" x14ac:dyDescent="0.25"/>
  <cols>
    <col min="2" max="2" width="16.140625" bestFit="1" customWidth="1"/>
    <col min="3" max="3" width="15.140625" bestFit="1" customWidth="1"/>
    <col min="4" max="4" width="5.5703125" bestFit="1" customWidth="1"/>
    <col min="5" max="5" width="15.140625" bestFit="1" customWidth="1"/>
    <col min="6" max="6" width="10.5703125" bestFit="1" customWidth="1"/>
  </cols>
  <sheetData>
    <row r="3" spans="2:6" x14ac:dyDescent="0.25">
      <c r="B3" s="25" t="s">
        <v>160</v>
      </c>
      <c r="C3" s="10" t="s">
        <v>161</v>
      </c>
      <c r="D3" s="10" t="s">
        <v>162</v>
      </c>
      <c r="E3" t="s">
        <v>163</v>
      </c>
      <c r="F3" t="s">
        <v>164</v>
      </c>
    </row>
    <row r="4" spans="2:6" x14ac:dyDescent="0.25">
      <c r="B4" s="23" t="s">
        <v>38</v>
      </c>
      <c r="C4" s="12">
        <v>262.48183799999998</v>
      </c>
      <c r="D4" s="24">
        <v>0.25694241418020713</v>
      </c>
      <c r="E4" s="19">
        <v>3.0923880903333201E-2</v>
      </c>
      <c r="F4" s="12">
        <v>8.1169570975999932</v>
      </c>
    </row>
    <row r="5" spans="2:6" x14ac:dyDescent="0.25">
      <c r="B5" s="23" t="s">
        <v>145</v>
      </c>
      <c r="C5" s="12">
        <v>218.85400000000001</v>
      </c>
      <c r="D5" s="24">
        <v>0.21423529925523863</v>
      </c>
      <c r="E5" s="19">
        <v>2.4999999999999911E-2</v>
      </c>
      <c r="F5" s="12">
        <v>5.471350000000001</v>
      </c>
    </row>
    <row r="6" spans="2:6" x14ac:dyDescent="0.25">
      <c r="B6" s="23" t="s">
        <v>36</v>
      </c>
      <c r="C6" s="12">
        <v>198.38494800000001</v>
      </c>
      <c r="D6" s="24">
        <v>0.19419822668315384</v>
      </c>
      <c r="E6" s="19">
        <v>0.11292909843341525</v>
      </c>
      <c r="F6" s="12">
        <v>22.403433320399984</v>
      </c>
    </row>
    <row r="7" spans="2:6" x14ac:dyDescent="0.25">
      <c r="B7" s="23" t="s">
        <v>40</v>
      </c>
      <c r="C7" s="12">
        <v>190.93378000000001</v>
      </c>
      <c r="D7" s="24">
        <v>0.18690430833447821</v>
      </c>
      <c r="E7" s="19">
        <v>0.17775201226100479</v>
      </c>
      <c r="F7" s="12">
        <v>33.938863603599998</v>
      </c>
    </row>
    <row r="8" spans="2:6" x14ac:dyDescent="0.25">
      <c r="B8" s="23" t="s">
        <v>37</v>
      </c>
      <c r="C8" s="12">
        <v>94.882213999999991</v>
      </c>
      <c r="D8" s="24">
        <v>9.2879817185381977E-2</v>
      </c>
      <c r="E8" s="19">
        <v>0.13612322763252549</v>
      </c>
      <c r="F8" s="12">
        <v>12.915673214600005</v>
      </c>
    </row>
    <row r="9" spans="2:6" x14ac:dyDescent="0.25">
      <c r="B9" s="23" t="s">
        <v>39</v>
      </c>
      <c r="C9" s="12">
        <v>46.022978999999999</v>
      </c>
      <c r="D9" s="24">
        <v>4.5051708804420124E-2</v>
      </c>
      <c r="E9" s="19">
        <v>0.11663041051514722</v>
      </c>
      <c r="F9" s="12">
        <v>5.3676789339000024</v>
      </c>
    </row>
    <row r="10" spans="2:6" x14ac:dyDescent="0.25">
      <c r="B10" s="23" t="s">
        <v>96</v>
      </c>
      <c r="C10" s="12">
        <v>9.99925</v>
      </c>
      <c r="D10" s="24">
        <v>9.7882255571200196E-3</v>
      </c>
      <c r="E10" s="19">
        <v>-1.2800000000000145E-2</v>
      </c>
      <c r="F10" s="12">
        <v>-0.12799040000000161</v>
      </c>
    </row>
    <row r="11" spans="2:6" x14ac:dyDescent="0.25">
      <c r="B11" s="23" t="s">
        <v>75</v>
      </c>
      <c r="C11" s="12">
        <v>2.9170551999999998E-16</v>
      </c>
      <c r="D11" s="24">
        <v>2.8554935880360874E-19</v>
      </c>
      <c r="E11" s="19">
        <v>0.14608871182142869</v>
      </c>
      <c r="F11" s="12">
        <v>4.2614883648000013E-17</v>
      </c>
    </row>
    <row r="12" spans="2:6" x14ac:dyDescent="0.25">
      <c r="B12" s="26" t="s">
        <v>81</v>
      </c>
      <c r="C12" s="12">
        <v>2.7429000000000002E-16</v>
      </c>
      <c r="D12" s="24">
        <v>0.94029759875644459</v>
      </c>
      <c r="E12" s="19">
        <v>0.15060000000000007</v>
      </c>
      <c r="F12" s="12">
        <v>4.1308074000000006E-17</v>
      </c>
    </row>
    <row r="13" spans="2:6" x14ac:dyDescent="0.25">
      <c r="B13" s="26" t="s">
        <v>79</v>
      </c>
      <c r="C13" s="12">
        <v>1.5375519999999999E-17</v>
      </c>
      <c r="D13" s="24">
        <v>5.270904712396255E-2</v>
      </c>
      <c r="E13" s="19">
        <v>8.4900000000000198E-2</v>
      </c>
      <c r="F13" s="12">
        <v>1.3053816480000015E-18</v>
      </c>
    </row>
    <row r="14" spans="2:6" x14ac:dyDescent="0.25">
      <c r="B14" s="26" t="s">
        <v>77</v>
      </c>
      <c r="C14" s="12">
        <v>2.0399999999999999E-18</v>
      </c>
      <c r="D14" s="24">
        <v>6.9933541195929374E-3</v>
      </c>
      <c r="E14" s="19">
        <v>6.9999999999992291E-4</v>
      </c>
      <c r="F14" s="12">
        <v>1.4279999999996661E-21</v>
      </c>
    </row>
    <row r="15" spans="2:6" x14ac:dyDescent="0.25">
      <c r="B15" s="23" t="s">
        <v>88</v>
      </c>
      <c r="C15" s="12">
        <v>1.3353E-17</v>
      </c>
      <c r="D15" s="24">
        <v>1.3071197926266831E-20</v>
      </c>
      <c r="E15" s="19">
        <v>4.6300000000000008E-2</v>
      </c>
      <c r="F15" s="12">
        <v>6.1824389999999998E-19</v>
      </c>
    </row>
    <row r="16" spans="2:6" x14ac:dyDescent="0.25">
      <c r="B16" s="23" t="s">
        <v>72</v>
      </c>
      <c r="C16" s="12">
        <v>5.5999999999999995E-18</v>
      </c>
      <c r="D16" s="24">
        <v>5.4818174482958324E-21</v>
      </c>
      <c r="E16" s="19">
        <v>-0.30869999999999986</v>
      </c>
      <c r="F16" s="12">
        <v>-1.7287199999999994E-18</v>
      </c>
    </row>
    <row r="17" spans="2:6" x14ac:dyDescent="0.25">
      <c r="B17" s="23" t="s">
        <v>165</v>
      </c>
      <c r="C17" s="12">
        <v>1021.5590090000001</v>
      </c>
      <c r="D17" s="24">
        <v>1</v>
      </c>
      <c r="E17" s="19">
        <v>8.6226997162236252E-2</v>
      </c>
      <c r="F17" s="12">
        <v>88.085965770099961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BB01-2590-4471-B7D1-AC4B730D30F2}">
  <dimension ref="A1:G41"/>
  <sheetViews>
    <sheetView workbookViewId="0">
      <selection sqref="A1:G41"/>
    </sheetView>
  </sheetViews>
  <sheetFormatPr defaultRowHeight="15" x14ac:dyDescent="0.25"/>
  <cols>
    <col min="1" max="1" width="32.28515625" bestFit="1" customWidth="1"/>
    <col min="2" max="2" width="13.85546875" bestFit="1" customWidth="1"/>
    <col min="3" max="3" width="16" bestFit="1" customWidth="1"/>
    <col min="4" max="4" width="15" bestFit="1" customWidth="1"/>
    <col min="5" max="5" width="17.28515625" bestFit="1" customWidth="1"/>
    <col min="6" max="6" width="14.28515625" bestFit="1" customWidth="1"/>
    <col min="7" max="7" width="7.28515625" bestFit="1" customWidth="1"/>
  </cols>
  <sheetData>
    <row r="1" spans="1:7" x14ac:dyDescent="0.25">
      <c r="A1" s="22" t="s">
        <v>103</v>
      </c>
      <c r="B1" s="22" t="s">
        <v>104</v>
      </c>
      <c r="C1" s="22" t="s">
        <v>105</v>
      </c>
      <c r="D1" s="22" t="s">
        <v>106</v>
      </c>
      <c r="E1" s="22" t="s">
        <v>107</v>
      </c>
      <c r="F1" s="22" t="s">
        <v>35</v>
      </c>
      <c r="G1" s="22" t="s">
        <v>83</v>
      </c>
    </row>
    <row r="2" spans="1:7" x14ac:dyDescent="0.25">
      <c r="A2" s="22" t="s">
        <v>157</v>
      </c>
      <c r="B2" s="22">
        <v>8.6599999999999996E-2</v>
      </c>
      <c r="C2" s="22">
        <v>0.14630000000000001</v>
      </c>
      <c r="D2" s="22">
        <v>7.1999999999999998E-3</v>
      </c>
      <c r="E2" s="22">
        <v>4.2200000000000001E-2</v>
      </c>
      <c r="F2" s="22" t="s">
        <v>75</v>
      </c>
      <c r="G2" s="22" t="s">
        <v>81</v>
      </c>
    </row>
    <row r="3" spans="1:7" x14ac:dyDescent="0.25">
      <c r="A3" s="22" t="s">
        <v>158</v>
      </c>
      <c r="B3" s="22">
        <v>3.1099999999999999E-2</v>
      </c>
      <c r="C3" s="22">
        <v>0.1285</v>
      </c>
      <c r="D3" s="22">
        <v>2.5999999999999999E-3</v>
      </c>
      <c r="E3" s="22">
        <v>3.7100000000000001E-2</v>
      </c>
      <c r="F3" s="22" t="s">
        <v>75</v>
      </c>
      <c r="G3" s="22" t="s">
        <v>77</v>
      </c>
    </row>
    <row r="4" spans="1:7" x14ac:dyDescent="0.25">
      <c r="A4" s="22" t="s">
        <v>159</v>
      </c>
      <c r="B4" s="22">
        <v>2.2700000000000001E-2</v>
      </c>
      <c r="C4" s="22">
        <v>8.8400000000000006E-2</v>
      </c>
      <c r="D4" s="22">
        <v>1.9E-3</v>
      </c>
      <c r="E4" s="22">
        <v>2.5499999999999998E-2</v>
      </c>
      <c r="F4" s="22" t="s">
        <v>75</v>
      </c>
      <c r="G4" s="22" t="s">
        <v>79</v>
      </c>
    </row>
    <row r="5" spans="1:7" x14ac:dyDescent="0.25">
      <c r="A5" s="22" t="s">
        <v>120</v>
      </c>
      <c r="B5" s="22">
        <v>-8.7400000000000005E-2</v>
      </c>
      <c r="C5" s="22">
        <v>0.60389999999999999</v>
      </c>
      <c r="D5" s="22">
        <v>-7.3000000000000001E-3</v>
      </c>
      <c r="E5" s="22">
        <v>0.17430000000000001</v>
      </c>
      <c r="F5" s="22" t="s">
        <v>40</v>
      </c>
      <c r="G5" s="22" t="s">
        <v>95</v>
      </c>
    </row>
    <row r="6" spans="1:7" x14ac:dyDescent="0.25">
      <c r="A6" s="22" t="s">
        <v>135</v>
      </c>
      <c r="B6" s="22">
        <v>4.19E-2</v>
      </c>
      <c r="C6" s="22">
        <v>0.53510000000000002</v>
      </c>
      <c r="D6" s="22">
        <v>3.5000000000000001E-3</v>
      </c>
      <c r="E6" s="22">
        <v>0.1545</v>
      </c>
      <c r="F6" s="22" t="s">
        <v>40</v>
      </c>
      <c r="G6" s="22" t="s">
        <v>136</v>
      </c>
    </row>
    <row r="7" spans="1:7" x14ac:dyDescent="0.25">
      <c r="A7" s="22" t="s">
        <v>118</v>
      </c>
      <c r="B7" s="22">
        <v>8.6900000000000005E-2</v>
      </c>
      <c r="C7" s="22">
        <v>0.24529999999999999</v>
      </c>
      <c r="D7" s="22">
        <v>7.1999999999999998E-3</v>
      </c>
      <c r="E7" s="22">
        <v>7.0800000000000002E-2</v>
      </c>
      <c r="F7" s="22" t="s">
        <v>40</v>
      </c>
      <c r="G7" s="22" t="s">
        <v>92</v>
      </c>
    </row>
    <row r="8" spans="1:7" x14ac:dyDescent="0.25">
      <c r="A8" s="22" t="s">
        <v>112</v>
      </c>
      <c r="B8" s="22">
        <v>0.1212</v>
      </c>
      <c r="C8" s="22">
        <v>0.24540000000000001</v>
      </c>
      <c r="D8" s="22">
        <v>1.01E-2</v>
      </c>
      <c r="E8" s="22">
        <v>7.0800000000000002E-2</v>
      </c>
      <c r="F8" s="22" t="s">
        <v>40</v>
      </c>
      <c r="G8" s="22" t="s">
        <v>27</v>
      </c>
    </row>
    <row r="9" spans="1:7" x14ac:dyDescent="0.25">
      <c r="A9" s="22" t="s">
        <v>113</v>
      </c>
      <c r="B9" s="22">
        <v>0.123</v>
      </c>
      <c r="C9" s="22">
        <v>0.47839999999999999</v>
      </c>
      <c r="D9" s="22">
        <v>1.0200000000000001E-2</v>
      </c>
      <c r="E9" s="22">
        <v>0.1381</v>
      </c>
      <c r="F9" s="22" t="s">
        <v>40</v>
      </c>
      <c r="G9" s="22" t="s">
        <v>46</v>
      </c>
    </row>
    <row r="10" spans="1:7" x14ac:dyDescent="0.25">
      <c r="A10" s="22" t="s">
        <v>111</v>
      </c>
      <c r="B10" s="22">
        <v>-1.4844999999999999</v>
      </c>
      <c r="C10" s="22">
        <v>1.3212999999999999</v>
      </c>
      <c r="D10" s="22">
        <v>-0.1237</v>
      </c>
      <c r="E10" s="22">
        <v>0.38140000000000002</v>
      </c>
      <c r="F10" s="22" t="s">
        <v>40</v>
      </c>
      <c r="G10" s="22" t="s">
        <v>50</v>
      </c>
    </row>
    <row r="11" spans="1:7" x14ac:dyDescent="0.25">
      <c r="A11" s="22" t="s">
        <v>114</v>
      </c>
      <c r="B11" s="22">
        <v>7.6100000000000001E-2</v>
      </c>
      <c r="C11" s="22">
        <v>0.20619999999999999</v>
      </c>
      <c r="D11" s="22">
        <v>6.3E-3</v>
      </c>
      <c r="E11" s="22">
        <v>5.9499999999999997E-2</v>
      </c>
      <c r="F11" s="22" t="s">
        <v>40</v>
      </c>
      <c r="G11" s="22" t="s">
        <v>32</v>
      </c>
    </row>
    <row r="12" spans="1:7" x14ac:dyDescent="0.25">
      <c r="A12" s="22" t="s">
        <v>115</v>
      </c>
      <c r="B12" s="22">
        <v>1.1900000000000001E-2</v>
      </c>
      <c r="C12" s="22">
        <v>0.70799999999999996</v>
      </c>
      <c r="D12" s="22">
        <v>1E-3</v>
      </c>
      <c r="E12" s="22">
        <v>0.2044</v>
      </c>
      <c r="F12" s="22" t="s">
        <v>40</v>
      </c>
      <c r="G12" s="22" t="s">
        <v>48</v>
      </c>
    </row>
    <row r="13" spans="1:7" x14ac:dyDescent="0.25">
      <c r="A13" s="22" t="s">
        <v>116</v>
      </c>
      <c r="B13" s="22">
        <v>4.82E-2</v>
      </c>
      <c r="C13" s="22">
        <v>0.4264</v>
      </c>
      <c r="D13" s="22">
        <v>4.0000000000000001E-3</v>
      </c>
      <c r="E13" s="22">
        <v>0.1231</v>
      </c>
      <c r="F13" s="22" t="s">
        <v>40</v>
      </c>
      <c r="G13" s="22" t="s">
        <v>53</v>
      </c>
    </row>
    <row r="14" spans="1:7" x14ac:dyDescent="0.25">
      <c r="A14" s="22" t="s">
        <v>117</v>
      </c>
      <c r="B14" s="22">
        <v>-0.1055</v>
      </c>
      <c r="C14" s="22">
        <v>0.57940000000000003</v>
      </c>
      <c r="D14" s="22">
        <v>-8.8000000000000005E-3</v>
      </c>
      <c r="E14" s="22">
        <v>0.1673</v>
      </c>
      <c r="F14" s="22" t="s">
        <v>40</v>
      </c>
      <c r="G14" s="22" t="s">
        <v>44</v>
      </c>
    </row>
    <row r="15" spans="1:7" x14ac:dyDescent="0.25">
      <c r="A15" s="22" t="s">
        <v>119</v>
      </c>
      <c r="B15" s="22">
        <v>-0.1193</v>
      </c>
      <c r="C15" s="22">
        <v>0.60340000000000005</v>
      </c>
      <c r="D15" s="22">
        <v>-9.9000000000000008E-3</v>
      </c>
      <c r="E15" s="22">
        <v>0.17419999999999999</v>
      </c>
      <c r="F15" s="22" t="s">
        <v>40</v>
      </c>
      <c r="G15" s="22" t="s">
        <v>94</v>
      </c>
    </row>
    <row r="16" spans="1:7" x14ac:dyDescent="0.25">
      <c r="A16" s="22" t="s">
        <v>109</v>
      </c>
      <c r="B16" s="22">
        <v>-0.1268</v>
      </c>
      <c r="C16" s="22">
        <v>0.58609999999999995</v>
      </c>
      <c r="D16" s="22">
        <v>-1.06E-2</v>
      </c>
      <c r="E16" s="22">
        <v>0.16919999999999999</v>
      </c>
      <c r="F16" s="22" t="s">
        <v>96</v>
      </c>
      <c r="G16" s="22" t="s">
        <v>98</v>
      </c>
    </row>
    <row r="17" spans="1:7" x14ac:dyDescent="0.25">
      <c r="A17" s="22" t="s">
        <v>110</v>
      </c>
      <c r="B17" s="22">
        <v>0.16109999999999999</v>
      </c>
      <c r="C17" s="22">
        <v>0.32779999999999998</v>
      </c>
      <c r="D17" s="22">
        <v>1.34E-2</v>
      </c>
      <c r="E17" s="22">
        <v>9.4600000000000004E-2</v>
      </c>
      <c r="F17" s="22" t="s">
        <v>96</v>
      </c>
      <c r="G17" s="22" t="s">
        <v>102</v>
      </c>
    </row>
    <row r="18" spans="1:7" x14ac:dyDescent="0.25">
      <c r="A18" s="22" t="s">
        <v>138</v>
      </c>
      <c r="B18" s="22">
        <v>6.9500000000000006E-2</v>
      </c>
      <c r="C18" s="22">
        <v>0.25430000000000003</v>
      </c>
      <c r="D18" s="22">
        <v>5.7999999999999996E-3</v>
      </c>
      <c r="E18" s="22">
        <v>7.3400000000000007E-2</v>
      </c>
      <c r="F18" s="22" t="s">
        <v>39</v>
      </c>
      <c r="G18" s="22" t="s">
        <v>43</v>
      </c>
    </row>
    <row r="19" spans="1:7" x14ac:dyDescent="0.25">
      <c r="A19" s="22" t="s">
        <v>137</v>
      </c>
      <c r="B19" s="22">
        <v>0.1169</v>
      </c>
      <c r="C19" s="22">
        <v>0.23899999999999999</v>
      </c>
      <c r="D19" s="22">
        <v>9.7000000000000003E-3</v>
      </c>
      <c r="E19" s="22">
        <v>6.9000000000000006E-2</v>
      </c>
      <c r="F19" s="22" t="s">
        <v>39</v>
      </c>
      <c r="G19" s="22" t="s">
        <v>59</v>
      </c>
    </row>
    <row r="20" spans="1:7" x14ac:dyDescent="0.25">
      <c r="A20" s="22" t="s">
        <v>33</v>
      </c>
      <c r="B20" s="22">
        <v>0.16070000000000001</v>
      </c>
      <c r="C20" s="22">
        <v>0.27700000000000002</v>
      </c>
      <c r="D20" s="22">
        <v>1.34E-2</v>
      </c>
      <c r="E20" s="22">
        <v>0.08</v>
      </c>
      <c r="F20" s="22" t="s">
        <v>39</v>
      </c>
      <c r="G20" s="22" t="s">
        <v>34</v>
      </c>
    </row>
    <row r="21" spans="1:7" x14ac:dyDescent="0.25">
      <c r="A21" s="22" t="s">
        <v>139</v>
      </c>
      <c r="B21" s="22">
        <v>8.5199999999999998E-2</v>
      </c>
      <c r="C21" s="22">
        <v>0.36359999999999998</v>
      </c>
      <c r="D21" s="22">
        <v>7.1000000000000004E-3</v>
      </c>
      <c r="E21" s="22">
        <v>0.105</v>
      </c>
      <c r="F21" s="22" t="s">
        <v>39</v>
      </c>
      <c r="G21" s="22" t="s">
        <v>56</v>
      </c>
    </row>
    <row r="22" spans="1:7" x14ac:dyDescent="0.25">
      <c r="A22" s="22" t="s">
        <v>140</v>
      </c>
      <c r="B22" s="22">
        <v>8.3500000000000005E-2</v>
      </c>
      <c r="C22" s="22">
        <v>0.39029999999999998</v>
      </c>
      <c r="D22" s="22">
        <v>7.0000000000000001E-3</v>
      </c>
      <c r="E22" s="22">
        <v>0.11269999999999999</v>
      </c>
      <c r="F22" s="22" t="s">
        <v>39</v>
      </c>
      <c r="G22" s="22" t="s">
        <v>41</v>
      </c>
    </row>
    <row r="23" spans="1:7" x14ac:dyDescent="0.25">
      <c r="A23" s="22" t="s">
        <v>121</v>
      </c>
      <c r="B23" s="22">
        <v>5.8799999999999998E-2</v>
      </c>
      <c r="C23" s="22">
        <v>0.22600000000000001</v>
      </c>
      <c r="D23" s="22">
        <v>4.8999999999999998E-3</v>
      </c>
      <c r="E23" s="22">
        <v>6.5199999999999994E-2</v>
      </c>
      <c r="F23" s="22" t="s">
        <v>38</v>
      </c>
      <c r="G23" s="22" t="s">
        <v>5</v>
      </c>
    </row>
    <row r="24" spans="1:7" x14ac:dyDescent="0.25">
      <c r="A24" s="22" t="s">
        <v>125</v>
      </c>
      <c r="B24" s="22">
        <v>0.14929999999999999</v>
      </c>
      <c r="C24" s="22">
        <v>0.31569999999999998</v>
      </c>
      <c r="D24" s="22">
        <v>1.24E-2</v>
      </c>
      <c r="E24" s="22">
        <v>9.11E-2</v>
      </c>
      <c r="F24" s="22" t="s">
        <v>38</v>
      </c>
      <c r="G24" s="22" t="s">
        <v>100</v>
      </c>
    </row>
    <row r="25" spans="1:7" x14ac:dyDescent="0.25">
      <c r="A25" s="22" t="s">
        <v>122</v>
      </c>
      <c r="B25" s="22">
        <v>5.0200000000000002E-2</v>
      </c>
      <c r="C25" s="22">
        <v>0.2001</v>
      </c>
      <c r="D25" s="22">
        <v>4.1999999999999997E-3</v>
      </c>
      <c r="E25" s="22">
        <v>5.7799999999999997E-2</v>
      </c>
      <c r="F25" s="22" t="s">
        <v>38</v>
      </c>
      <c r="G25" s="22" t="s">
        <v>20</v>
      </c>
    </row>
    <row r="26" spans="1:7" x14ac:dyDescent="0.25">
      <c r="A26" s="22" t="s">
        <v>123</v>
      </c>
      <c r="B26" s="22">
        <v>6.59E-2</v>
      </c>
      <c r="C26" s="22">
        <v>0.1875</v>
      </c>
      <c r="D26" s="22">
        <v>5.4999999999999997E-3</v>
      </c>
      <c r="E26" s="22">
        <v>5.4100000000000002E-2</v>
      </c>
      <c r="F26" s="22" t="s">
        <v>38</v>
      </c>
      <c r="G26" s="22" t="s">
        <v>16</v>
      </c>
    </row>
    <row r="27" spans="1:7" x14ac:dyDescent="0.25">
      <c r="A27" s="22" t="s">
        <v>124</v>
      </c>
      <c r="B27" s="22">
        <v>0.1467</v>
      </c>
      <c r="C27" s="22">
        <v>0.21079999999999999</v>
      </c>
      <c r="D27" s="22">
        <v>1.2200000000000001E-2</v>
      </c>
      <c r="E27" s="22">
        <v>6.0900000000000003E-2</v>
      </c>
      <c r="F27" s="22" t="s">
        <v>38</v>
      </c>
      <c r="G27" s="22" t="s">
        <v>55</v>
      </c>
    </row>
    <row r="28" spans="1:7" x14ac:dyDescent="0.25">
      <c r="A28" s="22" t="s">
        <v>141</v>
      </c>
      <c r="B28" s="22">
        <v>4.1000000000000003E-3</v>
      </c>
      <c r="C28" s="22">
        <v>0.4047</v>
      </c>
      <c r="D28" s="22">
        <v>2.9999999999999997E-4</v>
      </c>
      <c r="E28" s="22">
        <v>0.1168</v>
      </c>
      <c r="F28" s="22" t="s">
        <v>72</v>
      </c>
      <c r="G28" s="22" t="s">
        <v>74</v>
      </c>
    </row>
    <row r="29" spans="1:7" x14ac:dyDescent="0.25">
      <c r="A29" s="22" t="s">
        <v>126</v>
      </c>
      <c r="B29" s="22">
        <v>0.24179999999999999</v>
      </c>
      <c r="C29" s="22">
        <v>0.32229999999999998</v>
      </c>
      <c r="D29" s="22">
        <v>2.01E-2</v>
      </c>
      <c r="E29" s="22">
        <v>9.2999999999999999E-2</v>
      </c>
      <c r="F29" s="22" t="s">
        <v>36</v>
      </c>
      <c r="G29" s="22" t="s">
        <v>22</v>
      </c>
    </row>
    <row r="30" spans="1:7" x14ac:dyDescent="0.25">
      <c r="A30" s="22" t="s">
        <v>128</v>
      </c>
      <c r="B30" s="22">
        <v>0.2092</v>
      </c>
      <c r="C30" s="22">
        <v>0.28439999999999999</v>
      </c>
      <c r="D30" s="22">
        <v>1.7399999999999999E-2</v>
      </c>
      <c r="E30" s="22">
        <v>8.2100000000000006E-2</v>
      </c>
      <c r="F30" s="22" t="s">
        <v>36</v>
      </c>
      <c r="G30" s="22" t="s">
        <v>13</v>
      </c>
    </row>
    <row r="31" spans="1:7" x14ac:dyDescent="0.25">
      <c r="A31" s="22" t="s">
        <v>129</v>
      </c>
      <c r="B31" s="22">
        <v>0.2412</v>
      </c>
      <c r="C31" s="22">
        <v>0.27010000000000001</v>
      </c>
      <c r="D31" s="22">
        <v>2.01E-2</v>
      </c>
      <c r="E31" s="22">
        <v>7.8E-2</v>
      </c>
      <c r="F31" s="22" t="s">
        <v>36</v>
      </c>
      <c r="G31" s="22" t="s">
        <v>12</v>
      </c>
    </row>
    <row r="32" spans="1:7" x14ac:dyDescent="0.25">
      <c r="A32" s="22" t="s">
        <v>127</v>
      </c>
      <c r="B32" s="22">
        <v>0.1164</v>
      </c>
      <c r="C32" s="22">
        <v>0.3664</v>
      </c>
      <c r="D32" s="22">
        <v>9.7000000000000003E-3</v>
      </c>
      <c r="E32" s="22">
        <v>0.10580000000000001</v>
      </c>
      <c r="F32" s="22" t="s">
        <v>36</v>
      </c>
      <c r="G32" s="22" t="s">
        <v>9</v>
      </c>
    </row>
    <row r="33" spans="1:7" x14ac:dyDescent="0.25">
      <c r="A33" s="22" t="s">
        <v>130</v>
      </c>
      <c r="B33" s="22">
        <v>0.1925</v>
      </c>
      <c r="C33" s="22">
        <v>0.28539999999999999</v>
      </c>
      <c r="D33" s="22">
        <v>1.6E-2</v>
      </c>
      <c r="E33" s="22">
        <v>8.2400000000000001E-2</v>
      </c>
      <c r="F33" s="22" t="s">
        <v>36</v>
      </c>
      <c r="G33" s="22" t="s">
        <v>17</v>
      </c>
    </row>
    <row r="34" spans="1:7" x14ac:dyDescent="0.25">
      <c r="A34" s="22" t="s">
        <v>131</v>
      </c>
      <c r="B34" s="22">
        <v>0.2051</v>
      </c>
      <c r="C34" s="22">
        <v>0.36940000000000001</v>
      </c>
      <c r="D34" s="22">
        <v>1.7100000000000001E-2</v>
      </c>
      <c r="E34" s="22">
        <v>0.1067</v>
      </c>
      <c r="F34" s="22" t="s">
        <v>36</v>
      </c>
      <c r="G34" s="22" t="s">
        <v>60</v>
      </c>
    </row>
    <row r="35" spans="1:7" x14ac:dyDescent="0.25">
      <c r="A35" s="22" t="s">
        <v>132</v>
      </c>
      <c r="B35" s="22">
        <v>0.55089999999999995</v>
      </c>
      <c r="C35" s="22">
        <v>0.48780000000000001</v>
      </c>
      <c r="D35" s="22">
        <v>4.5900000000000003E-2</v>
      </c>
      <c r="E35" s="22">
        <v>0.14080000000000001</v>
      </c>
      <c r="F35" s="22" t="s">
        <v>36</v>
      </c>
      <c r="G35" s="22" t="s">
        <v>24</v>
      </c>
    </row>
    <row r="36" spans="1:7" x14ac:dyDescent="0.25">
      <c r="A36" s="22" t="s">
        <v>133</v>
      </c>
      <c r="B36" s="22">
        <v>0.21429999999999999</v>
      </c>
      <c r="C36" s="22">
        <v>0.40479999999999999</v>
      </c>
      <c r="D36" s="22">
        <v>1.7899999999999999E-2</v>
      </c>
      <c r="E36" s="22">
        <v>0.1169</v>
      </c>
      <c r="F36" s="22" t="s">
        <v>36</v>
      </c>
      <c r="G36" s="22" t="s">
        <v>30</v>
      </c>
    </row>
    <row r="37" spans="1:7" x14ac:dyDescent="0.25">
      <c r="A37" s="22" t="s">
        <v>134</v>
      </c>
      <c r="B37" s="22">
        <v>0.56589999999999996</v>
      </c>
      <c r="C37" s="22">
        <v>0.70699999999999996</v>
      </c>
      <c r="D37" s="22">
        <v>4.7199999999999999E-2</v>
      </c>
      <c r="E37" s="22">
        <v>0.2041</v>
      </c>
      <c r="F37" s="22" t="s">
        <v>36</v>
      </c>
      <c r="G37" s="22" t="s">
        <v>85</v>
      </c>
    </row>
    <row r="38" spans="1:7" x14ac:dyDescent="0.25">
      <c r="A38" s="22" t="s">
        <v>142</v>
      </c>
      <c r="B38" s="22">
        <v>7.0499999999999993E-2</v>
      </c>
      <c r="C38" s="22">
        <v>0.35260000000000002</v>
      </c>
      <c r="D38" s="22">
        <v>5.8999999999999999E-3</v>
      </c>
      <c r="E38" s="22">
        <v>0.1018</v>
      </c>
      <c r="F38" s="22" t="s">
        <v>37</v>
      </c>
      <c r="G38" s="22" t="s">
        <v>87</v>
      </c>
    </row>
    <row r="39" spans="1:7" x14ac:dyDescent="0.25">
      <c r="A39" s="22" t="s">
        <v>144</v>
      </c>
      <c r="B39" s="22">
        <v>0.1928</v>
      </c>
      <c r="C39" s="22">
        <v>0.26650000000000001</v>
      </c>
      <c r="D39" s="22">
        <v>1.61E-2</v>
      </c>
      <c r="E39" s="22">
        <v>7.6899999999999996E-2</v>
      </c>
      <c r="F39" s="22" t="s">
        <v>37</v>
      </c>
      <c r="G39" s="22" t="s">
        <v>28</v>
      </c>
    </row>
    <row r="40" spans="1:7" x14ac:dyDescent="0.25">
      <c r="A40" s="22" t="s">
        <v>143</v>
      </c>
      <c r="B40" s="22">
        <v>0.17100000000000001</v>
      </c>
      <c r="C40" s="22">
        <v>0.24360000000000001</v>
      </c>
      <c r="D40" s="22">
        <v>1.43E-2</v>
      </c>
      <c r="E40" s="22">
        <v>7.0300000000000001E-2</v>
      </c>
      <c r="F40" s="22" t="s">
        <v>37</v>
      </c>
      <c r="G40" s="22" t="s">
        <v>25</v>
      </c>
    </row>
    <row r="41" spans="1:7" x14ac:dyDescent="0.25">
      <c r="A41" s="22" t="s">
        <v>108</v>
      </c>
      <c r="B41" s="22">
        <v>4.0899999999999999E-2</v>
      </c>
      <c r="C41" s="22">
        <v>0.25</v>
      </c>
      <c r="D41" s="22">
        <v>3.3999999999999998E-3</v>
      </c>
      <c r="E41" s="22">
        <v>7.22E-2</v>
      </c>
      <c r="F41" s="22" t="s">
        <v>88</v>
      </c>
      <c r="G41" s="22" t="s">
        <v>90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Positions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walton</dc:creator>
  <cp:lastModifiedBy>samuel walton</cp:lastModifiedBy>
  <dcterms:created xsi:type="dcterms:W3CDTF">2015-06-05T18:17:20Z</dcterms:created>
  <dcterms:modified xsi:type="dcterms:W3CDTF">2025-02-15T18:28:35Z</dcterms:modified>
</cp:coreProperties>
</file>