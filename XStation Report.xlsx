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Professional_WorkTools\Github\StockSillines\"/>
    </mc:Choice>
  </mc:AlternateContent>
  <xr:revisionPtr revIDLastSave="0" documentId="13_ncr:1_{41274A47-DF0C-46AF-A267-B99AFC1D72AB}" xr6:coauthVersionLast="47" xr6:coauthVersionMax="47" xr10:uidLastSave="{00000000-0000-0000-0000-000000000000}"/>
  <bookViews>
    <workbookView xWindow="-120" yWindow="-120" windowWidth="29040" windowHeight="15720" xr2:uid="{00000000-000D-0000-FFFF-FFFF00000000}"/>
  </bookViews>
  <sheets>
    <sheet name="PVT" sheetId="7" r:id="rId1"/>
    <sheet name="Summary" sheetId="8" r:id="rId2"/>
    <sheet name="Positions" sheetId="9" r:id="rId3"/>
    <sheet name="CLOSED POSITION HISTORY" sheetId="1" r:id="rId4"/>
    <sheet name="OPEN POSITION" sheetId="2" r:id="rId5"/>
    <sheet name="PENDING ORDERS HISTORY " sheetId="3" state="hidden" r:id="rId6"/>
    <sheet name="CASH OPERATION HISTORY" sheetId="4" r:id="rId7"/>
    <sheet name="CLOSED POSITION HISTORY MT" sheetId="5" state="hidden" r:id="rId8"/>
    <sheet name="BALANCE OPERATION HISTORY MT" sheetId="6" state="hidden" r:id="rId9"/>
  </sheets>
  <externalReferences>
    <externalReference r:id="rId10"/>
  </externalReferences>
  <definedNames>
    <definedName name="_xlnm._FilterDatabase" localSheetId="6" hidden="1">'CASH OPERATION HISTORY'!$B$11:$J$674</definedName>
    <definedName name="_xlnm._FilterDatabase" localSheetId="3" hidden="1">'CLOSED POSITION HISTORY'!$B$13:$X$160</definedName>
    <definedName name="_xlnm._FilterDatabase" localSheetId="4" hidden="1">'OPEN POSITION'!$B$11:$T$107</definedName>
    <definedName name="_xlnm.Print_Titles" localSheetId="8">'BALANCE OPERATION HISTORY MT'!$1:$4</definedName>
    <definedName name="_xlnm.Print_Titles" localSheetId="6">'CASH OPERATION HISTORY'!$1:$4</definedName>
    <definedName name="_xlnm.Print_Titles" localSheetId="3">'CLOSED POSITION HISTORY'!$1:$4</definedName>
    <definedName name="_xlnm.Print_Titles" localSheetId="7">'CLOSED POSITION HISTORY MT'!$1:$4</definedName>
    <definedName name="_xlnm.Print_Titles" localSheetId="4">'OPEN POSITION'!$1:$4</definedName>
    <definedName name="_xlnm.Print_Titles" localSheetId="5">'PENDING ORDERS HISTORY '!$1:$4</definedName>
    <definedName name="Slicer_Chapter">#N/A</definedName>
    <definedName name="Slicer_Chapter1">#N/A</definedName>
    <definedName name="Slicer_Chapter11">#N/A</definedName>
    <definedName name="Slicer_Chapter12">#N/A</definedName>
    <definedName name="Slicer_Chapter2">#N/A</definedName>
    <definedName name="Slicer_Chapter3">#N/A</definedName>
  </definedNames>
  <calcPr calcId="191029"/>
  <pivotCaches>
    <pivotCache cacheId="23" r:id="rId11"/>
    <pivotCache cacheId="31" r:id="rId12"/>
    <pivotCache cacheId="37"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32" i="4" l="1"/>
  <c r="H732" i="4"/>
  <c r="G732" i="4"/>
  <c r="I731" i="4"/>
  <c r="H731" i="4"/>
  <c r="G731" i="4"/>
  <c r="I730" i="4"/>
  <c r="H730" i="4"/>
  <c r="G730" i="4"/>
  <c r="I729" i="4"/>
  <c r="H729" i="4"/>
  <c r="G729" i="4"/>
  <c r="I728" i="4"/>
  <c r="H728" i="4"/>
  <c r="G728" i="4"/>
  <c r="I727" i="4"/>
  <c r="H727" i="4"/>
  <c r="G727" i="4"/>
  <c r="I726" i="4"/>
  <c r="H726" i="4"/>
  <c r="G726" i="4"/>
  <c r="I725" i="4"/>
  <c r="H725" i="4"/>
  <c r="G725" i="4"/>
  <c r="I724" i="4"/>
  <c r="H724" i="4"/>
  <c r="G724" i="4"/>
  <c r="I723" i="4"/>
  <c r="H723" i="4"/>
  <c r="G723" i="4"/>
  <c r="I722" i="4"/>
  <c r="H722" i="4"/>
  <c r="G722" i="4"/>
  <c r="I721" i="4"/>
  <c r="H721" i="4"/>
  <c r="G721" i="4"/>
  <c r="I720" i="4"/>
  <c r="H720" i="4"/>
  <c r="G720" i="4"/>
  <c r="I719" i="4"/>
  <c r="H719" i="4"/>
  <c r="G719" i="4"/>
  <c r="I718" i="4"/>
  <c r="H718" i="4"/>
  <c r="G718" i="4"/>
  <c r="I717" i="4"/>
  <c r="H717" i="4"/>
  <c r="G717" i="4"/>
  <c r="I716" i="4"/>
  <c r="H716" i="4"/>
  <c r="G716" i="4"/>
  <c r="I715" i="4"/>
  <c r="H715" i="4"/>
  <c r="G715" i="4"/>
  <c r="I714" i="4"/>
  <c r="H714" i="4"/>
  <c r="G714" i="4"/>
  <c r="I713" i="4"/>
  <c r="H713" i="4"/>
  <c r="G713" i="4"/>
  <c r="I712" i="4"/>
  <c r="H712" i="4"/>
  <c r="G712" i="4"/>
  <c r="I711" i="4"/>
  <c r="H711" i="4"/>
  <c r="G711" i="4"/>
  <c r="I710" i="4"/>
  <c r="H710" i="4"/>
  <c r="G710" i="4"/>
  <c r="I709" i="4"/>
  <c r="H709" i="4"/>
  <c r="G709" i="4"/>
  <c r="I708" i="4"/>
  <c r="H708" i="4"/>
  <c r="G708" i="4"/>
  <c r="I707" i="4"/>
  <c r="H707" i="4"/>
  <c r="G707" i="4"/>
  <c r="I706" i="4"/>
  <c r="H706" i="4"/>
  <c r="G706" i="4"/>
  <c r="I705" i="4"/>
  <c r="H705" i="4"/>
  <c r="G705" i="4"/>
  <c r="I704" i="4"/>
  <c r="H704" i="4"/>
  <c r="G704" i="4"/>
  <c r="I703" i="4"/>
  <c r="H703" i="4"/>
  <c r="G703" i="4"/>
  <c r="I702" i="4"/>
  <c r="H702" i="4"/>
  <c r="G702" i="4"/>
  <c r="I701" i="4"/>
  <c r="H701" i="4"/>
  <c r="G701" i="4"/>
  <c r="I700" i="4"/>
  <c r="H700" i="4"/>
  <c r="G700" i="4"/>
  <c r="I699" i="4"/>
  <c r="H699" i="4"/>
  <c r="G699" i="4"/>
  <c r="I698" i="4"/>
  <c r="H698" i="4"/>
  <c r="G698" i="4"/>
  <c r="I697" i="4"/>
  <c r="H697" i="4"/>
  <c r="G697" i="4"/>
  <c r="I696" i="4"/>
  <c r="H696" i="4"/>
  <c r="G696" i="4"/>
  <c r="I695" i="4"/>
  <c r="H695" i="4"/>
  <c r="G695" i="4"/>
  <c r="I694" i="4"/>
  <c r="H694" i="4"/>
  <c r="G694" i="4"/>
  <c r="I693" i="4"/>
  <c r="H693" i="4"/>
  <c r="G693" i="4"/>
  <c r="I692" i="4"/>
  <c r="H692" i="4"/>
  <c r="G692" i="4"/>
  <c r="I691" i="4"/>
  <c r="H691" i="4"/>
  <c r="G691" i="4"/>
  <c r="I690" i="4"/>
  <c r="H690" i="4"/>
  <c r="G690" i="4"/>
  <c r="I689" i="4"/>
  <c r="H689" i="4"/>
  <c r="G689" i="4"/>
  <c r="I688" i="4"/>
  <c r="H688" i="4"/>
  <c r="G688" i="4"/>
  <c r="I687" i="4"/>
  <c r="H687" i="4"/>
  <c r="G687" i="4"/>
  <c r="I686" i="4"/>
  <c r="H686" i="4"/>
  <c r="G686" i="4"/>
  <c r="I685" i="4"/>
  <c r="H685" i="4"/>
  <c r="G685" i="4"/>
  <c r="I684" i="4"/>
  <c r="H684" i="4"/>
  <c r="G684" i="4"/>
  <c r="I683" i="4"/>
  <c r="H683" i="4"/>
  <c r="G683" i="4"/>
  <c r="I682" i="4"/>
  <c r="H682" i="4"/>
  <c r="G682" i="4"/>
  <c r="I681" i="4"/>
  <c r="H681" i="4"/>
  <c r="G681" i="4"/>
  <c r="I680" i="4"/>
  <c r="H680" i="4"/>
  <c r="G680" i="4"/>
  <c r="I679" i="4"/>
  <c r="H679" i="4"/>
  <c r="G679" i="4"/>
  <c r="I678" i="4"/>
  <c r="H678" i="4"/>
  <c r="G678" i="4"/>
  <c r="I677" i="4"/>
  <c r="H677" i="4"/>
  <c r="G677" i="4"/>
  <c r="I676" i="4"/>
  <c r="H676" i="4"/>
  <c r="G676" i="4"/>
  <c r="I675" i="4"/>
  <c r="H675" i="4"/>
  <c r="G675" i="4"/>
  <c r="I674" i="4"/>
  <c r="H674" i="4"/>
  <c r="G674" i="4"/>
  <c r="I673" i="4"/>
  <c r="H673" i="4"/>
  <c r="G673" i="4"/>
  <c r="I672" i="4"/>
  <c r="H672" i="4"/>
  <c r="G672" i="4"/>
  <c r="I671" i="4"/>
  <c r="H671" i="4"/>
  <c r="G671" i="4"/>
  <c r="I670" i="4"/>
  <c r="H670" i="4"/>
  <c r="G670" i="4"/>
  <c r="I669" i="4"/>
  <c r="H669" i="4"/>
  <c r="G669" i="4"/>
  <c r="I668" i="4"/>
  <c r="H668" i="4"/>
  <c r="G668" i="4"/>
  <c r="I667" i="4"/>
  <c r="H667" i="4"/>
  <c r="G667" i="4"/>
  <c r="I666" i="4"/>
  <c r="H666" i="4"/>
  <c r="G666" i="4"/>
  <c r="I665" i="4"/>
  <c r="H665" i="4"/>
  <c r="G665" i="4"/>
  <c r="I664" i="4"/>
  <c r="H664" i="4"/>
  <c r="G664" i="4"/>
  <c r="I663" i="4"/>
  <c r="H663" i="4"/>
  <c r="G663" i="4"/>
  <c r="I662" i="4"/>
  <c r="H662" i="4"/>
  <c r="G662" i="4"/>
  <c r="I661" i="4"/>
  <c r="H661" i="4"/>
  <c r="G661" i="4"/>
  <c r="I660" i="4"/>
  <c r="H660" i="4"/>
  <c r="G660" i="4"/>
  <c r="I659" i="4"/>
  <c r="H659" i="4"/>
  <c r="G659" i="4"/>
  <c r="I658" i="4"/>
  <c r="H658" i="4"/>
  <c r="G658" i="4"/>
  <c r="I657" i="4"/>
  <c r="H657" i="4"/>
  <c r="G657" i="4"/>
  <c r="I656" i="4"/>
  <c r="H656" i="4"/>
  <c r="G656" i="4"/>
  <c r="I655" i="4"/>
  <c r="H655" i="4"/>
  <c r="G655" i="4"/>
  <c r="I654" i="4"/>
  <c r="H654" i="4"/>
  <c r="G654" i="4"/>
  <c r="I653" i="4"/>
  <c r="H653" i="4"/>
  <c r="G653" i="4"/>
  <c r="I652" i="4"/>
  <c r="H652" i="4"/>
  <c r="G652" i="4"/>
  <c r="I651" i="4"/>
  <c r="H651" i="4"/>
  <c r="G651" i="4"/>
  <c r="I650" i="4"/>
  <c r="H650" i="4"/>
  <c r="G650" i="4"/>
  <c r="I649" i="4"/>
  <c r="H649" i="4"/>
  <c r="G649" i="4"/>
  <c r="I648" i="4"/>
  <c r="H648" i="4"/>
  <c r="G648" i="4"/>
  <c r="I647" i="4"/>
  <c r="H647" i="4"/>
  <c r="G647" i="4"/>
  <c r="I646" i="4"/>
  <c r="H646" i="4"/>
  <c r="G646" i="4"/>
  <c r="I645" i="4"/>
  <c r="H645" i="4"/>
  <c r="G645" i="4"/>
  <c r="I644" i="4"/>
  <c r="H644" i="4"/>
  <c r="G644" i="4"/>
  <c r="I643" i="4"/>
  <c r="H643" i="4"/>
  <c r="G643" i="4"/>
  <c r="I642" i="4"/>
  <c r="H642" i="4"/>
  <c r="G642" i="4"/>
  <c r="I641" i="4"/>
  <c r="H641" i="4"/>
  <c r="G641" i="4"/>
  <c r="I640" i="4"/>
  <c r="H640" i="4"/>
  <c r="G640" i="4"/>
  <c r="I639" i="4"/>
  <c r="H639" i="4"/>
  <c r="G639" i="4"/>
  <c r="I638" i="4"/>
  <c r="H638" i="4"/>
  <c r="G638" i="4"/>
  <c r="I637" i="4"/>
  <c r="H637" i="4"/>
  <c r="G637" i="4"/>
  <c r="I636" i="4"/>
  <c r="H636" i="4"/>
  <c r="G636" i="4"/>
  <c r="I635" i="4"/>
  <c r="H635" i="4"/>
  <c r="G635" i="4"/>
  <c r="I634" i="4"/>
  <c r="H634" i="4"/>
  <c r="G634" i="4"/>
  <c r="I633" i="4"/>
  <c r="H633" i="4"/>
  <c r="G633" i="4"/>
  <c r="I632" i="4"/>
  <c r="H632" i="4"/>
  <c r="G632" i="4"/>
  <c r="I631" i="4"/>
  <c r="H631" i="4"/>
  <c r="G631" i="4"/>
  <c r="I630" i="4"/>
  <c r="H630" i="4"/>
  <c r="G630" i="4"/>
  <c r="I629" i="4"/>
  <c r="H629" i="4"/>
  <c r="G629" i="4"/>
  <c r="I628" i="4"/>
  <c r="H628" i="4"/>
  <c r="G628" i="4"/>
  <c r="I627" i="4"/>
  <c r="H627" i="4"/>
  <c r="G627" i="4"/>
  <c r="I626" i="4"/>
  <c r="H626" i="4"/>
  <c r="G626" i="4"/>
  <c r="I625" i="4"/>
  <c r="H625" i="4"/>
  <c r="G625" i="4"/>
  <c r="I624" i="4"/>
  <c r="H624" i="4"/>
  <c r="G624" i="4"/>
  <c r="I623" i="4"/>
  <c r="H623" i="4"/>
  <c r="G623" i="4"/>
  <c r="I622" i="4"/>
  <c r="H622" i="4"/>
  <c r="G622" i="4"/>
  <c r="I621" i="4"/>
  <c r="H621" i="4"/>
  <c r="G621" i="4"/>
  <c r="I620" i="4"/>
  <c r="H620" i="4"/>
  <c r="G620" i="4"/>
  <c r="I619" i="4"/>
  <c r="H619" i="4"/>
  <c r="G619" i="4"/>
  <c r="I618" i="4"/>
  <c r="H618" i="4"/>
  <c r="G618" i="4"/>
  <c r="I617" i="4"/>
  <c r="H617" i="4"/>
  <c r="G617" i="4"/>
  <c r="I616" i="4"/>
  <c r="H616" i="4"/>
  <c r="G616" i="4"/>
  <c r="I615" i="4"/>
  <c r="H615" i="4"/>
  <c r="G615" i="4"/>
  <c r="I614" i="4"/>
  <c r="H614" i="4"/>
  <c r="G614" i="4"/>
  <c r="I613" i="4"/>
  <c r="H613" i="4"/>
  <c r="G613" i="4"/>
  <c r="I612" i="4"/>
  <c r="H612" i="4"/>
  <c r="G612" i="4"/>
  <c r="I611" i="4"/>
  <c r="H611" i="4"/>
  <c r="G611" i="4"/>
  <c r="I610" i="4"/>
  <c r="H610" i="4"/>
  <c r="G610" i="4"/>
  <c r="I609" i="4"/>
  <c r="H609" i="4"/>
  <c r="G609" i="4"/>
  <c r="I608" i="4"/>
  <c r="H608" i="4"/>
  <c r="G608" i="4"/>
  <c r="I607" i="4"/>
  <c r="H607" i="4"/>
  <c r="G607" i="4"/>
  <c r="I606" i="4"/>
  <c r="H606" i="4"/>
  <c r="G606" i="4"/>
  <c r="I605" i="4"/>
  <c r="H605" i="4"/>
  <c r="G605" i="4"/>
  <c r="I604" i="4"/>
  <c r="H604" i="4"/>
  <c r="G604" i="4"/>
  <c r="I603" i="4"/>
  <c r="H603" i="4"/>
  <c r="G603" i="4"/>
  <c r="I602" i="4"/>
  <c r="H602" i="4"/>
  <c r="G602" i="4"/>
  <c r="I601" i="4"/>
  <c r="H601" i="4"/>
  <c r="G601" i="4"/>
  <c r="I600" i="4"/>
  <c r="H600" i="4"/>
  <c r="G600" i="4"/>
  <c r="I599" i="4"/>
  <c r="H599" i="4"/>
  <c r="G599" i="4"/>
  <c r="I598" i="4"/>
  <c r="H598" i="4"/>
  <c r="G598" i="4"/>
  <c r="I597" i="4"/>
  <c r="H597" i="4"/>
  <c r="G597" i="4"/>
  <c r="I596" i="4"/>
  <c r="H596" i="4"/>
  <c r="G596" i="4"/>
  <c r="I595" i="4"/>
  <c r="H595" i="4"/>
  <c r="G595" i="4"/>
  <c r="I594" i="4"/>
  <c r="H594" i="4"/>
  <c r="G594" i="4"/>
  <c r="I593" i="4"/>
  <c r="H593" i="4"/>
  <c r="G593" i="4"/>
  <c r="I592" i="4"/>
  <c r="H592" i="4"/>
  <c r="G592" i="4"/>
  <c r="I591" i="4"/>
  <c r="H591" i="4"/>
  <c r="G591" i="4"/>
  <c r="I590" i="4"/>
  <c r="H590" i="4"/>
  <c r="G590" i="4"/>
  <c r="I589" i="4"/>
  <c r="H589" i="4"/>
  <c r="G589" i="4"/>
  <c r="I588" i="4"/>
  <c r="H588" i="4"/>
  <c r="G588" i="4"/>
  <c r="I587" i="4"/>
  <c r="H587" i="4"/>
  <c r="G587" i="4"/>
  <c r="I586" i="4"/>
  <c r="H586" i="4"/>
  <c r="G586" i="4"/>
  <c r="I585" i="4"/>
  <c r="H585" i="4"/>
  <c r="G585" i="4"/>
  <c r="I584" i="4"/>
  <c r="H584" i="4"/>
  <c r="G584" i="4"/>
  <c r="I583" i="4"/>
  <c r="H583" i="4"/>
  <c r="G583" i="4"/>
  <c r="I582" i="4"/>
  <c r="H582" i="4"/>
  <c r="G582" i="4"/>
  <c r="I581" i="4"/>
  <c r="H581" i="4"/>
  <c r="G581" i="4"/>
  <c r="I580" i="4"/>
  <c r="H580" i="4"/>
  <c r="G580" i="4"/>
  <c r="I579" i="4"/>
  <c r="H579" i="4"/>
  <c r="G579" i="4"/>
  <c r="I578" i="4"/>
  <c r="H578" i="4"/>
  <c r="G578" i="4"/>
  <c r="I577" i="4"/>
  <c r="H577" i="4"/>
  <c r="G577" i="4"/>
  <c r="I576" i="4"/>
  <c r="H576" i="4"/>
  <c r="G576" i="4"/>
  <c r="I575" i="4"/>
  <c r="H575" i="4"/>
  <c r="G575" i="4"/>
  <c r="I574" i="4"/>
  <c r="H574" i="4"/>
  <c r="G574" i="4"/>
  <c r="I573" i="4"/>
  <c r="H573" i="4"/>
  <c r="G573" i="4"/>
  <c r="I572" i="4"/>
  <c r="H572" i="4"/>
  <c r="G572" i="4"/>
  <c r="I571" i="4"/>
  <c r="H571" i="4"/>
  <c r="G571" i="4"/>
  <c r="I570" i="4"/>
  <c r="H570" i="4"/>
  <c r="G570" i="4"/>
  <c r="I569" i="4"/>
  <c r="H569" i="4"/>
  <c r="G569" i="4"/>
  <c r="I568" i="4"/>
  <c r="H568" i="4"/>
  <c r="G568" i="4"/>
  <c r="I567" i="4"/>
  <c r="H567" i="4"/>
  <c r="G567" i="4"/>
  <c r="I566" i="4"/>
  <c r="H566" i="4"/>
  <c r="G566" i="4"/>
  <c r="I565" i="4"/>
  <c r="H565" i="4"/>
  <c r="G565" i="4"/>
  <c r="I564" i="4"/>
  <c r="H564" i="4"/>
  <c r="G564" i="4"/>
  <c r="I563" i="4"/>
  <c r="H563" i="4"/>
  <c r="G563" i="4"/>
  <c r="I562" i="4"/>
  <c r="H562" i="4"/>
  <c r="G562" i="4"/>
  <c r="I561" i="4"/>
  <c r="H561" i="4"/>
  <c r="G561" i="4"/>
  <c r="I560" i="4"/>
  <c r="H560" i="4"/>
  <c r="G560" i="4"/>
  <c r="I559" i="4"/>
  <c r="H559" i="4"/>
  <c r="G559" i="4"/>
  <c r="I558" i="4"/>
  <c r="H558" i="4"/>
  <c r="G558" i="4"/>
  <c r="I557" i="4"/>
  <c r="H557" i="4"/>
  <c r="G557" i="4"/>
  <c r="I556" i="4"/>
  <c r="H556" i="4"/>
  <c r="G556" i="4"/>
  <c r="I555" i="4"/>
  <c r="H555" i="4"/>
  <c r="G555" i="4"/>
  <c r="I554" i="4"/>
  <c r="H554" i="4"/>
  <c r="G554" i="4"/>
  <c r="I553" i="4"/>
  <c r="H553" i="4"/>
  <c r="G553" i="4"/>
  <c r="I552" i="4"/>
  <c r="H552" i="4"/>
  <c r="G552" i="4"/>
  <c r="I551" i="4"/>
  <c r="H551" i="4"/>
  <c r="G551" i="4"/>
  <c r="I550" i="4"/>
  <c r="H550" i="4"/>
  <c r="G550" i="4"/>
  <c r="I549" i="4"/>
  <c r="H549" i="4"/>
  <c r="G549" i="4"/>
  <c r="I548" i="4"/>
  <c r="H548" i="4"/>
  <c r="G548" i="4"/>
  <c r="I547" i="4"/>
  <c r="H547" i="4"/>
  <c r="G547" i="4"/>
  <c r="I546" i="4"/>
  <c r="H546" i="4"/>
  <c r="G546" i="4"/>
  <c r="I545" i="4"/>
  <c r="H545" i="4"/>
  <c r="G545" i="4"/>
  <c r="I544" i="4"/>
  <c r="H544" i="4"/>
  <c r="G544" i="4"/>
  <c r="I543" i="4"/>
  <c r="H543" i="4"/>
  <c r="G543" i="4"/>
  <c r="I542" i="4"/>
  <c r="H542" i="4"/>
  <c r="G542" i="4"/>
  <c r="I541" i="4"/>
  <c r="H541" i="4"/>
  <c r="G541" i="4"/>
  <c r="I540" i="4"/>
  <c r="H540" i="4"/>
  <c r="G540" i="4"/>
  <c r="I539" i="4"/>
  <c r="H539" i="4"/>
  <c r="G539" i="4"/>
  <c r="I538" i="4"/>
  <c r="H538" i="4"/>
  <c r="G538" i="4"/>
  <c r="I537" i="4"/>
  <c r="H537" i="4"/>
  <c r="G537" i="4"/>
  <c r="I536" i="4"/>
  <c r="H536" i="4"/>
  <c r="G536" i="4"/>
  <c r="I535" i="4"/>
  <c r="H535" i="4"/>
  <c r="G535" i="4"/>
  <c r="I534" i="4"/>
  <c r="H534" i="4"/>
  <c r="G534" i="4"/>
  <c r="I533" i="4"/>
  <c r="H533" i="4"/>
  <c r="G533" i="4"/>
  <c r="I532" i="4"/>
  <c r="H532" i="4"/>
  <c r="G532" i="4"/>
  <c r="I531" i="4"/>
  <c r="H531" i="4"/>
  <c r="G531" i="4"/>
  <c r="I530" i="4"/>
  <c r="H530" i="4"/>
  <c r="G530" i="4"/>
  <c r="I529" i="4"/>
  <c r="H529" i="4"/>
  <c r="G529" i="4"/>
  <c r="I528" i="4"/>
  <c r="H528" i="4"/>
  <c r="G528" i="4"/>
  <c r="I527" i="4"/>
  <c r="H527" i="4"/>
  <c r="G527" i="4"/>
  <c r="I526" i="4"/>
  <c r="H526" i="4"/>
  <c r="G526" i="4"/>
  <c r="I525" i="4"/>
  <c r="H525" i="4"/>
  <c r="G525" i="4"/>
  <c r="I524" i="4"/>
  <c r="H524" i="4"/>
  <c r="G524" i="4"/>
  <c r="I523" i="4"/>
  <c r="H523" i="4"/>
  <c r="G523" i="4"/>
  <c r="I522" i="4"/>
  <c r="H522" i="4"/>
  <c r="G522" i="4"/>
  <c r="I521" i="4"/>
  <c r="H521" i="4"/>
  <c r="G521" i="4"/>
  <c r="I520" i="4"/>
  <c r="H520" i="4"/>
  <c r="G520" i="4"/>
  <c r="I519" i="4"/>
  <c r="H519" i="4"/>
  <c r="G519" i="4"/>
  <c r="I518" i="4"/>
  <c r="H518" i="4"/>
  <c r="G518" i="4"/>
  <c r="I517" i="4"/>
  <c r="H517" i="4"/>
  <c r="G517" i="4"/>
  <c r="I516" i="4"/>
  <c r="H516" i="4"/>
  <c r="G516" i="4"/>
  <c r="I515" i="4"/>
  <c r="H515" i="4"/>
  <c r="G515" i="4"/>
  <c r="I514" i="4"/>
  <c r="H514" i="4"/>
  <c r="G514" i="4"/>
  <c r="I513" i="4"/>
  <c r="H513" i="4"/>
  <c r="G513" i="4"/>
  <c r="I512" i="4"/>
  <c r="H512" i="4"/>
  <c r="G512" i="4"/>
  <c r="I511" i="4"/>
  <c r="H511" i="4"/>
  <c r="G511" i="4"/>
  <c r="I510" i="4"/>
  <c r="H510" i="4"/>
  <c r="G510" i="4"/>
  <c r="I509" i="4"/>
  <c r="H509" i="4"/>
  <c r="G509" i="4"/>
  <c r="I508" i="4"/>
  <c r="H508" i="4"/>
  <c r="G508" i="4"/>
  <c r="I507" i="4"/>
  <c r="H507" i="4"/>
  <c r="G507" i="4"/>
  <c r="I506" i="4"/>
  <c r="H506" i="4"/>
  <c r="G506" i="4"/>
  <c r="I505" i="4"/>
  <c r="H505" i="4"/>
  <c r="G505" i="4"/>
  <c r="I504" i="4"/>
  <c r="H504" i="4"/>
  <c r="G504" i="4"/>
  <c r="I503" i="4"/>
  <c r="H503" i="4"/>
  <c r="G503" i="4"/>
  <c r="I502" i="4"/>
  <c r="H502" i="4"/>
  <c r="G502" i="4"/>
  <c r="I501" i="4"/>
  <c r="H501" i="4"/>
  <c r="G501" i="4"/>
  <c r="I500" i="4"/>
  <c r="H500" i="4"/>
  <c r="G500" i="4"/>
  <c r="I499" i="4"/>
  <c r="H499" i="4"/>
  <c r="G499" i="4"/>
  <c r="I498" i="4"/>
  <c r="H498" i="4"/>
  <c r="G498" i="4"/>
  <c r="I497" i="4"/>
  <c r="H497" i="4"/>
  <c r="G497" i="4"/>
  <c r="I496" i="4"/>
  <c r="H496" i="4"/>
  <c r="G496" i="4"/>
  <c r="I495" i="4"/>
  <c r="H495" i="4"/>
  <c r="G495" i="4"/>
  <c r="I494" i="4"/>
  <c r="H494" i="4"/>
  <c r="G494" i="4"/>
  <c r="I493" i="4"/>
  <c r="H493" i="4"/>
  <c r="G493" i="4"/>
  <c r="I492" i="4"/>
  <c r="H492" i="4"/>
  <c r="G492" i="4"/>
  <c r="I491" i="4"/>
  <c r="H491" i="4"/>
  <c r="G491" i="4"/>
  <c r="I490" i="4"/>
  <c r="H490" i="4"/>
  <c r="G490" i="4"/>
  <c r="I489" i="4"/>
  <c r="H489" i="4"/>
  <c r="G489" i="4"/>
  <c r="I488" i="4"/>
  <c r="H488" i="4"/>
  <c r="G488" i="4"/>
  <c r="I487" i="4"/>
  <c r="H487" i="4"/>
  <c r="G487" i="4"/>
  <c r="I486" i="4"/>
  <c r="H486" i="4"/>
  <c r="G486" i="4"/>
  <c r="I485" i="4"/>
  <c r="H485" i="4"/>
  <c r="G485" i="4"/>
  <c r="I484" i="4"/>
  <c r="H484" i="4"/>
  <c r="G484" i="4"/>
  <c r="I483" i="4"/>
  <c r="H483" i="4"/>
  <c r="G483" i="4"/>
  <c r="I482" i="4"/>
  <c r="H482" i="4"/>
  <c r="G482" i="4"/>
  <c r="I481" i="4"/>
  <c r="H481" i="4"/>
  <c r="G481" i="4"/>
  <c r="I480" i="4"/>
  <c r="H480" i="4"/>
  <c r="G480" i="4"/>
  <c r="I479" i="4"/>
  <c r="H479" i="4"/>
  <c r="G479" i="4"/>
  <c r="I478" i="4"/>
  <c r="H478" i="4"/>
  <c r="G478" i="4"/>
  <c r="I477" i="4"/>
  <c r="H477" i="4"/>
  <c r="G477" i="4"/>
  <c r="I476" i="4"/>
  <c r="H476" i="4"/>
  <c r="G476" i="4"/>
  <c r="I475" i="4"/>
  <c r="H475" i="4"/>
  <c r="G475" i="4"/>
  <c r="I474" i="4"/>
  <c r="H474" i="4"/>
  <c r="G474" i="4"/>
  <c r="I473" i="4"/>
  <c r="H473" i="4"/>
  <c r="G473" i="4"/>
  <c r="I472" i="4"/>
  <c r="H472" i="4"/>
  <c r="G472" i="4"/>
  <c r="I471" i="4"/>
  <c r="H471" i="4"/>
  <c r="G471" i="4"/>
  <c r="I470" i="4"/>
  <c r="H470" i="4"/>
  <c r="G470" i="4"/>
  <c r="I469" i="4"/>
  <c r="H469" i="4"/>
  <c r="G469" i="4"/>
  <c r="I468" i="4"/>
  <c r="H468" i="4"/>
  <c r="G468" i="4"/>
  <c r="I467" i="4"/>
  <c r="H467" i="4"/>
  <c r="G467" i="4"/>
  <c r="I466" i="4"/>
  <c r="H466" i="4"/>
  <c r="G466" i="4"/>
  <c r="I465" i="4"/>
  <c r="H465" i="4"/>
  <c r="G465" i="4"/>
  <c r="I464" i="4"/>
  <c r="H464" i="4"/>
  <c r="G464" i="4"/>
  <c r="I463" i="4"/>
  <c r="H463" i="4"/>
  <c r="G463" i="4"/>
  <c r="I462" i="4"/>
  <c r="H462" i="4"/>
  <c r="G462" i="4"/>
  <c r="I461" i="4"/>
  <c r="H461" i="4"/>
  <c r="G461" i="4"/>
  <c r="I460" i="4"/>
  <c r="H460" i="4"/>
  <c r="G460" i="4"/>
  <c r="I459" i="4"/>
  <c r="H459" i="4"/>
  <c r="G459" i="4"/>
  <c r="I458" i="4"/>
  <c r="H458" i="4"/>
  <c r="G458" i="4"/>
  <c r="I457" i="4"/>
  <c r="H457" i="4"/>
  <c r="G457" i="4"/>
  <c r="I456" i="4"/>
  <c r="H456" i="4"/>
  <c r="G456" i="4"/>
  <c r="I455" i="4"/>
  <c r="H455" i="4"/>
  <c r="G455" i="4"/>
  <c r="I454" i="4"/>
  <c r="H454" i="4"/>
  <c r="G454" i="4"/>
  <c r="I453" i="4"/>
  <c r="H453" i="4"/>
  <c r="G453" i="4"/>
  <c r="I452" i="4"/>
  <c r="H452" i="4"/>
  <c r="G452" i="4"/>
  <c r="I451" i="4"/>
  <c r="H451" i="4"/>
  <c r="G451" i="4"/>
  <c r="I450" i="4"/>
  <c r="H450" i="4"/>
  <c r="G450" i="4"/>
  <c r="I449" i="4"/>
  <c r="H449" i="4"/>
  <c r="G449" i="4"/>
  <c r="I448" i="4"/>
  <c r="H448" i="4"/>
  <c r="G448" i="4"/>
  <c r="I447" i="4"/>
  <c r="H447" i="4"/>
  <c r="G447" i="4"/>
  <c r="I446" i="4"/>
  <c r="H446" i="4"/>
  <c r="G446" i="4"/>
  <c r="I445" i="4"/>
  <c r="H445" i="4"/>
  <c r="G445" i="4"/>
  <c r="I444" i="4"/>
  <c r="H444" i="4"/>
  <c r="G444" i="4"/>
  <c r="I443" i="4"/>
  <c r="H443" i="4"/>
  <c r="G443" i="4"/>
  <c r="I442" i="4"/>
  <c r="H442" i="4"/>
  <c r="G442" i="4"/>
  <c r="I441" i="4"/>
  <c r="H441" i="4"/>
  <c r="G441" i="4"/>
  <c r="I440" i="4"/>
  <c r="H440" i="4"/>
  <c r="G440" i="4"/>
  <c r="I439" i="4"/>
  <c r="H439" i="4"/>
  <c r="G439" i="4"/>
  <c r="I438" i="4"/>
  <c r="H438" i="4"/>
  <c r="G438" i="4"/>
  <c r="I437" i="4"/>
  <c r="H437" i="4"/>
  <c r="G437" i="4"/>
  <c r="I436" i="4"/>
  <c r="H436" i="4"/>
  <c r="G436" i="4"/>
  <c r="I435" i="4"/>
  <c r="H435" i="4"/>
  <c r="G435" i="4"/>
  <c r="I434" i="4"/>
  <c r="H434" i="4"/>
  <c r="G434" i="4"/>
  <c r="I433" i="4"/>
  <c r="H433" i="4"/>
  <c r="G433" i="4"/>
  <c r="I432" i="4"/>
  <c r="H432" i="4"/>
  <c r="G432" i="4"/>
  <c r="I431" i="4"/>
  <c r="H431" i="4"/>
  <c r="G431" i="4"/>
  <c r="I430" i="4"/>
  <c r="H430" i="4"/>
  <c r="G430" i="4"/>
  <c r="I429" i="4"/>
  <c r="H429" i="4"/>
  <c r="G429" i="4"/>
  <c r="I428" i="4"/>
  <c r="H428" i="4"/>
  <c r="G428" i="4"/>
  <c r="I427" i="4"/>
  <c r="H427" i="4"/>
  <c r="G427" i="4"/>
  <c r="I426" i="4"/>
  <c r="H426" i="4"/>
  <c r="G426" i="4"/>
  <c r="I425" i="4"/>
  <c r="H425" i="4"/>
  <c r="G425" i="4"/>
  <c r="I424" i="4"/>
  <c r="H424" i="4"/>
  <c r="G424" i="4"/>
  <c r="I423" i="4"/>
  <c r="H423" i="4"/>
  <c r="G423" i="4"/>
  <c r="I422" i="4"/>
  <c r="H422" i="4"/>
  <c r="G422" i="4"/>
  <c r="I421" i="4"/>
  <c r="H421" i="4"/>
  <c r="G421" i="4"/>
  <c r="I420" i="4"/>
  <c r="H420" i="4"/>
  <c r="G420" i="4"/>
  <c r="I419" i="4"/>
  <c r="H419" i="4"/>
  <c r="G419" i="4"/>
  <c r="I418" i="4"/>
  <c r="H418" i="4"/>
  <c r="G418" i="4"/>
  <c r="I417" i="4"/>
  <c r="H417" i="4"/>
  <c r="G417" i="4"/>
  <c r="I416" i="4"/>
  <c r="H416" i="4"/>
  <c r="G416" i="4"/>
  <c r="I415" i="4"/>
  <c r="H415" i="4"/>
  <c r="G415" i="4"/>
  <c r="I414" i="4"/>
  <c r="H414" i="4"/>
  <c r="G414" i="4"/>
  <c r="I413" i="4"/>
  <c r="H413" i="4"/>
  <c r="G413" i="4"/>
  <c r="I412" i="4"/>
  <c r="H412" i="4"/>
  <c r="G412" i="4"/>
  <c r="I411" i="4"/>
  <c r="H411" i="4"/>
  <c r="G411" i="4"/>
  <c r="I410" i="4"/>
  <c r="H410" i="4"/>
  <c r="G410" i="4"/>
  <c r="I409" i="4"/>
  <c r="H409" i="4"/>
  <c r="G409" i="4"/>
  <c r="I408" i="4"/>
  <c r="H408" i="4"/>
  <c r="G408" i="4"/>
  <c r="I407" i="4"/>
  <c r="H407" i="4"/>
  <c r="G407" i="4"/>
  <c r="I406" i="4"/>
  <c r="H406" i="4"/>
  <c r="G406" i="4"/>
  <c r="I405" i="4"/>
  <c r="H405" i="4"/>
  <c r="G405" i="4"/>
  <c r="I404" i="4"/>
  <c r="H404" i="4"/>
  <c r="G404" i="4"/>
  <c r="I403" i="4"/>
  <c r="H403" i="4"/>
  <c r="G403" i="4"/>
  <c r="I402" i="4"/>
  <c r="H402" i="4"/>
  <c r="G402" i="4"/>
  <c r="I401" i="4"/>
  <c r="H401" i="4"/>
  <c r="G401" i="4"/>
  <c r="I400" i="4"/>
  <c r="H400" i="4"/>
  <c r="G400" i="4"/>
  <c r="I399" i="4"/>
  <c r="H399" i="4"/>
  <c r="G399" i="4"/>
  <c r="I398" i="4"/>
  <c r="H398" i="4"/>
  <c r="G398" i="4"/>
  <c r="I397" i="4"/>
  <c r="H397" i="4"/>
  <c r="G397" i="4"/>
  <c r="I396" i="4"/>
  <c r="H396" i="4"/>
  <c r="G396" i="4"/>
  <c r="I395" i="4"/>
  <c r="H395" i="4"/>
  <c r="G395" i="4"/>
  <c r="I394" i="4"/>
  <c r="H394" i="4"/>
  <c r="G394" i="4"/>
  <c r="I393" i="4"/>
  <c r="H393" i="4"/>
  <c r="G393" i="4"/>
  <c r="I392" i="4"/>
  <c r="H392" i="4"/>
  <c r="G392" i="4"/>
  <c r="I391" i="4"/>
  <c r="H391" i="4"/>
  <c r="G391" i="4"/>
  <c r="I390" i="4"/>
  <c r="H390" i="4"/>
  <c r="G390" i="4"/>
  <c r="I389" i="4"/>
  <c r="H389" i="4"/>
  <c r="G389" i="4"/>
  <c r="I388" i="4"/>
  <c r="H388" i="4"/>
  <c r="G388" i="4"/>
  <c r="I387" i="4"/>
  <c r="H387" i="4"/>
  <c r="G387" i="4"/>
  <c r="I386" i="4"/>
  <c r="H386" i="4"/>
  <c r="G386" i="4"/>
  <c r="I385" i="4"/>
  <c r="H385" i="4"/>
  <c r="G385" i="4"/>
  <c r="I384" i="4"/>
  <c r="H384" i="4"/>
  <c r="G384" i="4"/>
  <c r="I383" i="4"/>
  <c r="H383" i="4"/>
  <c r="G383" i="4"/>
  <c r="I382" i="4"/>
  <c r="H382" i="4"/>
  <c r="G382" i="4"/>
  <c r="I381" i="4"/>
  <c r="H381" i="4"/>
  <c r="G381" i="4"/>
  <c r="I380" i="4"/>
  <c r="H380" i="4"/>
  <c r="G380" i="4"/>
  <c r="I379" i="4"/>
  <c r="H379" i="4"/>
  <c r="G379" i="4"/>
  <c r="I378" i="4"/>
  <c r="H378" i="4"/>
  <c r="G378" i="4"/>
  <c r="I377" i="4"/>
  <c r="H377" i="4"/>
  <c r="G377" i="4"/>
  <c r="I376" i="4"/>
  <c r="H376" i="4"/>
  <c r="G376" i="4"/>
  <c r="I375" i="4"/>
  <c r="H375" i="4"/>
  <c r="G375" i="4"/>
  <c r="I374" i="4"/>
  <c r="H374" i="4"/>
  <c r="G374" i="4"/>
  <c r="I373" i="4"/>
  <c r="H373" i="4"/>
  <c r="G373" i="4"/>
  <c r="I372" i="4"/>
  <c r="H372" i="4"/>
  <c r="G372" i="4"/>
  <c r="I371" i="4"/>
  <c r="H371" i="4"/>
  <c r="G371" i="4"/>
  <c r="I370" i="4"/>
  <c r="H370" i="4"/>
  <c r="G370" i="4"/>
  <c r="I369" i="4"/>
  <c r="H369" i="4"/>
  <c r="G369" i="4"/>
  <c r="I368" i="4"/>
  <c r="H368" i="4"/>
  <c r="G368" i="4"/>
  <c r="I367" i="4"/>
  <c r="H367" i="4"/>
  <c r="G367" i="4"/>
  <c r="I366" i="4"/>
  <c r="H366" i="4"/>
  <c r="G366" i="4"/>
  <c r="I365" i="4"/>
  <c r="H365" i="4"/>
  <c r="G365" i="4"/>
  <c r="I364" i="4"/>
  <c r="H364" i="4"/>
  <c r="G364" i="4"/>
  <c r="I363" i="4"/>
  <c r="H363" i="4"/>
  <c r="G363" i="4"/>
  <c r="I362" i="4"/>
  <c r="H362" i="4"/>
  <c r="G362" i="4"/>
  <c r="I361" i="4"/>
  <c r="H361" i="4"/>
  <c r="G361" i="4"/>
  <c r="I360" i="4"/>
  <c r="H360" i="4"/>
  <c r="G360" i="4"/>
  <c r="I359" i="4"/>
  <c r="H359" i="4"/>
  <c r="G359" i="4"/>
  <c r="I358" i="4"/>
  <c r="H358" i="4"/>
  <c r="G358" i="4"/>
  <c r="I357" i="4"/>
  <c r="H357" i="4"/>
  <c r="G357" i="4"/>
  <c r="I356" i="4"/>
  <c r="H356" i="4"/>
  <c r="G356" i="4"/>
  <c r="I355" i="4"/>
  <c r="H355" i="4"/>
  <c r="G355" i="4"/>
  <c r="I354" i="4"/>
  <c r="H354" i="4"/>
  <c r="G354" i="4"/>
  <c r="I353" i="4"/>
  <c r="H353" i="4"/>
  <c r="G353" i="4"/>
  <c r="I352" i="4"/>
  <c r="H352" i="4"/>
  <c r="G352" i="4"/>
  <c r="I351" i="4"/>
  <c r="H351" i="4"/>
  <c r="G351" i="4"/>
  <c r="I350" i="4"/>
  <c r="H350" i="4"/>
  <c r="G350" i="4"/>
  <c r="I349" i="4"/>
  <c r="H349" i="4"/>
  <c r="G349" i="4"/>
  <c r="I348" i="4"/>
  <c r="H348" i="4"/>
  <c r="G348" i="4"/>
  <c r="I347" i="4"/>
  <c r="H347" i="4"/>
  <c r="G347" i="4"/>
  <c r="I346" i="4"/>
  <c r="H346" i="4"/>
  <c r="G346" i="4"/>
  <c r="I345" i="4"/>
  <c r="H345" i="4"/>
  <c r="G345" i="4"/>
  <c r="I344" i="4"/>
  <c r="H344" i="4"/>
  <c r="G344" i="4"/>
  <c r="I343" i="4"/>
  <c r="H343" i="4"/>
  <c r="G343" i="4"/>
  <c r="I342" i="4"/>
  <c r="H342" i="4"/>
  <c r="G342" i="4"/>
  <c r="I341" i="4"/>
  <c r="H341" i="4"/>
  <c r="G341" i="4"/>
  <c r="I340" i="4"/>
  <c r="H340" i="4"/>
  <c r="G340" i="4"/>
  <c r="I339" i="4"/>
  <c r="H339" i="4"/>
  <c r="G339" i="4"/>
  <c r="I338" i="4"/>
  <c r="H338" i="4"/>
  <c r="G338" i="4"/>
  <c r="I337" i="4"/>
  <c r="H337" i="4"/>
  <c r="G337" i="4"/>
  <c r="I336" i="4"/>
  <c r="H336" i="4"/>
  <c r="G336" i="4"/>
  <c r="I335" i="4"/>
  <c r="H335" i="4"/>
  <c r="G335" i="4"/>
  <c r="I334" i="4"/>
  <c r="H334" i="4"/>
  <c r="G334" i="4"/>
  <c r="I333" i="4"/>
  <c r="H333" i="4"/>
  <c r="G333" i="4"/>
  <c r="I332" i="4"/>
  <c r="H332" i="4"/>
  <c r="G332" i="4"/>
  <c r="I331" i="4"/>
  <c r="H331" i="4"/>
  <c r="G331" i="4"/>
  <c r="I330" i="4"/>
  <c r="H330" i="4"/>
  <c r="G330" i="4"/>
  <c r="I329" i="4"/>
  <c r="H329" i="4"/>
  <c r="G329" i="4"/>
  <c r="I328" i="4"/>
  <c r="H328" i="4"/>
  <c r="G328" i="4"/>
  <c r="I327" i="4"/>
  <c r="H327" i="4"/>
  <c r="G327" i="4"/>
  <c r="I326" i="4"/>
  <c r="H326" i="4"/>
  <c r="G326" i="4"/>
  <c r="I325" i="4"/>
  <c r="H325" i="4"/>
  <c r="G325" i="4"/>
  <c r="I324" i="4"/>
  <c r="H324" i="4"/>
  <c r="G324" i="4"/>
  <c r="I323" i="4"/>
  <c r="H323" i="4"/>
  <c r="G323" i="4"/>
  <c r="I322" i="4"/>
  <c r="H322" i="4"/>
  <c r="G322" i="4"/>
  <c r="I321" i="4"/>
  <c r="H321" i="4"/>
  <c r="G321" i="4"/>
  <c r="I320" i="4"/>
  <c r="H320" i="4"/>
  <c r="G320" i="4"/>
  <c r="I319" i="4"/>
  <c r="H319" i="4"/>
  <c r="G319" i="4"/>
  <c r="I318" i="4"/>
  <c r="H318" i="4"/>
  <c r="G318" i="4"/>
  <c r="I317" i="4"/>
  <c r="H317" i="4"/>
  <c r="G317" i="4"/>
  <c r="I316" i="4"/>
  <c r="H316" i="4"/>
  <c r="G316" i="4"/>
  <c r="I315" i="4"/>
  <c r="H315" i="4"/>
  <c r="G315" i="4"/>
  <c r="I314" i="4"/>
  <c r="H314" i="4"/>
  <c r="G314" i="4"/>
  <c r="I313" i="4"/>
  <c r="H313" i="4"/>
  <c r="G313" i="4"/>
  <c r="I312" i="4"/>
  <c r="H312" i="4"/>
  <c r="G312" i="4"/>
  <c r="I311" i="4"/>
  <c r="H311" i="4"/>
  <c r="G311" i="4"/>
  <c r="I310" i="4"/>
  <c r="H310" i="4"/>
  <c r="G310" i="4"/>
  <c r="I309" i="4"/>
  <c r="H309" i="4"/>
  <c r="G309" i="4"/>
  <c r="I308" i="4"/>
  <c r="H308" i="4"/>
  <c r="G308" i="4"/>
  <c r="I307" i="4"/>
  <c r="H307" i="4"/>
  <c r="G307" i="4"/>
  <c r="I306" i="4"/>
  <c r="H306" i="4"/>
  <c r="G306" i="4"/>
  <c r="I305" i="4"/>
  <c r="H305" i="4"/>
  <c r="G305" i="4"/>
  <c r="I304" i="4"/>
  <c r="H304" i="4"/>
  <c r="G304" i="4"/>
  <c r="I303" i="4"/>
  <c r="H303" i="4"/>
  <c r="G303" i="4"/>
  <c r="I302" i="4"/>
  <c r="H302" i="4"/>
  <c r="G302" i="4"/>
  <c r="I301" i="4"/>
  <c r="H301" i="4"/>
  <c r="G301" i="4"/>
  <c r="I300" i="4"/>
  <c r="H300" i="4"/>
  <c r="G300" i="4"/>
  <c r="I299" i="4"/>
  <c r="H299" i="4"/>
  <c r="G299" i="4"/>
  <c r="I298" i="4"/>
  <c r="H298" i="4"/>
  <c r="G298" i="4"/>
  <c r="I297" i="4"/>
  <c r="H297" i="4"/>
  <c r="G297" i="4"/>
  <c r="I296" i="4"/>
  <c r="H296" i="4"/>
  <c r="G296" i="4"/>
  <c r="I295" i="4"/>
  <c r="H295" i="4"/>
  <c r="G295" i="4"/>
  <c r="I294" i="4"/>
  <c r="H294" i="4"/>
  <c r="G294" i="4"/>
  <c r="I293" i="4"/>
  <c r="H293" i="4"/>
  <c r="G293" i="4"/>
  <c r="I292" i="4"/>
  <c r="H292" i="4"/>
  <c r="G292" i="4"/>
  <c r="I291" i="4"/>
  <c r="H291" i="4"/>
  <c r="G291" i="4"/>
  <c r="I290" i="4"/>
  <c r="H290" i="4"/>
  <c r="G290" i="4"/>
  <c r="I289" i="4"/>
  <c r="H289" i="4"/>
  <c r="G289" i="4"/>
  <c r="I288" i="4"/>
  <c r="H288" i="4"/>
  <c r="G288" i="4"/>
  <c r="I287" i="4"/>
  <c r="H287" i="4"/>
  <c r="G287" i="4"/>
  <c r="I286" i="4"/>
  <c r="H286" i="4"/>
  <c r="G286" i="4"/>
  <c r="I285" i="4"/>
  <c r="H285" i="4"/>
  <c r="G285" i="4"/>
  <c r="I284" i="4"/>
  <c r="H284" i="4"/>
  <c r="G284" i="4"/>
  <c r="I283" i="4"/>
  <c r="H283" i="4"/>
  <c r="G283" i="4"/>
  <c r="I282" i="4"/>
  <c r="H282" i="4"/>
  <c r="G282" i="4"/>
  <c r="I281" i="4"/>
  <c r="H281" i="4"/>
  <c r="G281" i="4"/>
  <c r="I280" i="4"/>
  <c r="H280" i="4"/>
  <c r="G280" i="4"/>
  <c r="I279" i="4"/>
  <c r="H279" i="4"/>
  <c r="G279" i="4"/>
  <c r="I278" i="4"/>
  <c r="H278" i="4"/>
  <c r="G278" i="4"/>
  <c r="I277" i="4"/>
  <c r="H277" i="4"/>
  <c r="G277" i="4"/>
  <c r="I276" i="4"/>
  <c r="H276" i="4"/>
  <c r="G276" i="4"/>
  <c r="I275" i="4"/>
  <c r="H275" i="4"/>
  <c r="G275" i="4"/>
  <c r="I274" i="4"/>
  <c r="H274" i="4"/>
  <c r="G274" i="4"/>
  <c r="I273" i="4"/>
  <c r="H273" i="4"/>
  <c r="G273" i="4"/>
  <c r="I272" i="4"/>
  <c r="H272" i="4"/>
  <c r="G272" i="4"/>
  <c r="I271" i="4"/>
  <c r="H271" i="4"/>
  <c r="G271" i="4"/>
  <c r="I270" i="4"/>
  <c r="H270" i="4"/>
  <c r="G270" i="4"/>
  <c r="I269" i="4"/>
  <c r="H269" i="4"/>
  <c r="G269" i="4"/>
  <c r="I268" i="4"/>
  <c r="H268" i="4"/>
  <c r="G268" i="4"/>
  <c r="I267" i="4"/>
  <c r="H267" i="4"/>
  <c r="G267" i="4"/>
  <c r="I266" i="4"/>
  <c r="H266" i="4"/>
  <c r="G266" i="4"/>
  <c r="I265" i="4"/>
  <c r="H265" i="4"/>
  <c r="G265" i="4"/>
  <c r="I264" i="4"/>
  <c r="H264" i="4"/>
  <c r="G264" i="4"/>
  <c r="I263" i="4"/>
  <c r="H263" i="4"/>
  <c r="G263" i="4"/>
  <c r="I262" i="4"/>
  <c r="H262" i="4"/>
  <c r="G262" i="4"/>
  <c r="I261" i="4"/>
  <c r="H261" i="4"/>
  <c r="G261" i="4"/>
  <c r="I260" i="4"/>
  <c r="H260" i="4"/>
  <c r="G260" i="4"/>
  <c r="I259" i="4"/>
  <c r="H259" i="4"/>
  <c r="G259" i="4"/>
  <c r="I258" i="4"/>
  <c r="H258" i="4"/>
  <c r="G258" i="4"/>
  <c r="I257" i="4"/>
  <c r="H257" i="4"/>
  <c r="G257" i="4"/>
  <c r="I256" i="4"/>
  <c r="H256" i="4"/>
  <c r="G256" i="4"/>
  <c r="I255" i="4"/>
  <c r="H255" i="4"/>
  <c r="G255" i="4"/>
  <c r="I254" i="4"/>
  <c r="H254" i="4"/>
  <c r="G254" i="4"/>
  <c r="I253" i="4"/>
  <c r="H253" i="4"/>
  <c r="G253" i="4"/>
  <c r="I252" i="4"/>
  <c r="H252" i="4"/>
  <c r="G252" i="4"/>
  <c r="I251" i="4"/>
  <c r="H251" i="4"/>
  <c r="G251" i="4"/>
  <c r="I250" i="4"/>
  <c r="H250" i="4"/>
  <c r="G250" i="4"/>
  <c r="I249" i="4"/>
  <c r="H249" i="4"/>
  <c r="G249" i="4"/>
  <c r="I248" i="4"/>
  <c r="H248" i="4"/>
  <c r="G248" i="4"/>
  <c r="I247" i="4"/>
  <c r="H247" i="4"/>
  <c r="G247" i="4"/>
  <c r="I246" i="4"/>
  <c r="H246" i="4"/>
  <c r="G246" i="4"/>
  <c r="I245" i="4"/>
  <c r="H245" i="4"/>
  <c r="G245" i="4"/>
  <c r="I244" i="4"/>
  <c r="H244" i="4"/>
  <c r="G244" i="4"/>
  <c r="I243" i="4"/>
  <c r="H243" i="4"/>
  <c r="G243" i="4"/>
  <c r="I242" i="4"/>
  <c r="H242" i="4"/>
  <c r="G242" i="4"/>
  <c r="I241" i="4"/>
  <c r="H241" i="4"/>
  <c r="G241" i="4"/>
  <c r="I240" i="4"/>
  <c r="H240" i="4"/>
  <c r="G240" i="4"/>
  <c r="I239" i="4"/>
  <c r="H239" i="4"/>
  <c r="G239" i="4"/>
  <c r="I238" i="4"/>
  <c r="H238" i="4"/>
  <c r="G238" i="4"/>
  <c r="I237" i="4"/>
  <c r="H237" i="4"/>
  <c r="G237" i="4"/>
  <c r="I236" i="4"/>
  <c r="H236" i="4"/>
  <c r="G236" i="4"/>
  <c r="I235" i="4"/>
  <c r="H235" i="4"/>
  <c r="G235" i="4"/>
  <c r="I234" i="4"/>
  <c r="H234" i="4"/>
  <c r="G234" i="4"/>
  <c r="I233" i="4"/>
  <c r="H233" i="4"/>
  <c r="G233" i="4"/>
  <c r="I232" i="4"/>
  <c r="H232" i="4"/>
  <c r="G232" i="4"/>
  <c r="I231" i="4"/>
  <c r="H231" i="4"/>
  <c r="G231" i="4"/>
  <c r="I230" i="4"/>
  <c r="H230" i="4"/>
  <c r="G230" i="4"/>
  <c r="I229" i="4"/>
  <c r="H229" i="4"/>
  <c r="G229" i="4"/>
  <c r="I228" i="4"/>
  <c r="H228" i="4"/>
  <c r="G228" i="4"/>
  <c r="I227" i="4"/>
  <c r="H227" i="4"/>
  <c r="G227" i="4"/>
  <c r="I226" i="4"/>
  <c r="H226" i="4"/>
  <c r="G226" i="4"/>
  <c r="I225" i="4"/>
  <c r="H225" i="4"/>
  <c r="G225" i="4"/>
  <c r="I224" i="4"/>
  <c r="H224" i="4"/>
  <c r="G224" i="4"/>
  <c r="I223" i="4"/>
  <c r="H223" i="4"/>
  <c r="G223" i="4"/>
  <c r="I222" i="4"/>
  <c r="H222" i="4"/>
  <c r="G222" i="4"/>
  <c r="I221" i="4"/>
  <c r="H221" i="4"/>
  <c r="G221" i="4"/>
  <c r="I220" i="4"/>
  <c r="H220" i="4"/>
  <c r="G220" i="4"/>
  <c r="I219" i="4"/>
  <c r="H219" i="4"/>
  <c r="G219" i="4"/>
  <c r="I218" i="4"/>
  <c r="H218" i="4"/>
  <c r="G218" i="4"/>
  <c r="I217" i="4"/>
  <c r="H217" i="4"/>
  <c r="G217" i="4"/>
  <c r="I216" i="4"/>
  <c r="H216" i="4"/>
  <c r="G216" i="4"/>
  <c r="I215" i="4"/>
  <c r="H215" i="4"/>
  <c r="G215" i="4"/>
  <c r="I214" i="4"/>
  <c r="H214" i="4"/>
  <c r="G214" i="4"/>
  <c r="I213" i="4"/>
  <c r="H213" i="4"/>
  <c r="G213" i="4"/>
  <c r="I212" i="4"/>
  <c r="H212" i="4"/>
  <c r="G212" i="4"/>
  <c r="I211" i="4"/>
  <c r="H211" i="4"/>
  <c r="G211" i="4"/>
  <c r="I210" i="4"/>
  <c r="H210" i="4"/>
  <c r="G210" i="4"/>
  <c r="I209" i="4"/>
  <c r="H209" i="4"/>
  <c r="G209" i="4"/>
  <c r="I208" i="4"/>
  <c r="H208" i="4"/>
  <c r="G208" i="4"/>
  <c r="I207" i="4"/>
  <c r="H207" i="4"/>
  <c r="G207" i="4"/>
  <c r="I206" i="4"/>
  <c r="H206" i="4"/>
  <c r="G206" i="4"/>
  <c r="I205" i="4"/>
  <c r="H205" i="4"/>
  <c r="G205" i="4"/>
  <c r="I204" i="4"/>
  <c r="H204" i="4"/>
  <c r="G204" i="4"/>
  <c r="I203" i="4"/>
  <c r="H203" i="4"/>
  <c r="G203" i="4"/>
  <c r="I202" i="4"/>
  <c r="H202" i="4"/>
  <c r="G202" i="4"/>
  <c r="I201" i="4"/>
  <c r="H201" i="4"/>
  <c r="G201" i="4"/>
  <c r="I200" i="4"/>
  <c r="H200" i="4"/>
  <c r="G200" i="4"/>
  <c r="I199" i="4"/>
  <c r="H199" i="4"/>
  <c r="G199" i="4"/>
  <c r="I198" i="4"/>
  <c r="H198" i="4"/>
  <c r="G198" i="4"/>
  <c r="I197" i="4"/>
  <c r="H197" i="4"/>
  <c r="G197" i="4"/>
  <c r="I196" i="4"/>
  <c r="H196" i="4"/>
  <c r="G196" i="4"/>
  <c r="I195" i="4"/>
  <c r="H195" i="4"/>
  <c r="G195" i="4"/>
  <c r="I194" i="4"/>
  <c r="H194" i="4"/>
  <c r="G194" i="4"/>
  <c r="I193" i="4"/>
  <c r="H193" i="4"/>
  <c r="G193" i="4"/>
  <c r="I192" i="4"/>
  <c r="H192" i="4"/>
  <c r="G192" i="4"/>
  <c r="I191" i="4"/>
  <c r="H191" i="4"/>
  <c r="G191" i="4"/>
  <c r="I190" i="4"/>
  <c r="H190" i="4"/>
  <c r="G190" i="4"/>
  <c r="I189" i="4"/>
  <c r="H189" i="4"/>
  <c r="G189" i="4"/>
  <c r="I188" i="4"/>
  <c r="H188" i="4"/>
  <c r="G188" i="4"/>
  <c r="I187" i="4"/>
  <c r="H187" i="4"/>
  <c r="G187" i="4"/>
  <c r="I186" i="4"/>
  <c r="H186" i="4"/>
  <c r="G186" i="4"/>
  <c r="I185" i="4"/>
  <c r="H185" i="4"/>
  <c r="G185" i="4"/>
  <c r="I184" i="4"/>
  <c r="H184" i="4"/>
  <c r="G184" i="4"/>
  <c r="I183" i="4"/>
  <c r="H183" i="4"/>
  <c r="G183" i="4"/>
  <c r="I182" i="4"/>
  <c r="H182" i="4"/>
  <c r="G182" i="4"/>
  <c r="I181" i="4"/>
  <c r="H181" i="4"/>
  <c r="G181" i="4"/>
  <c r="I180" i="4"/>
  <c r="H180" i="4"/>
  <c r="G180" i="4"/>
  <c r="I179" i="4"/>
  <c r="H179" i="4"/>
  <c r="G179" i="4"/>
  <c r="I178" i="4"/>
  <c r="H178" i="4"/>
  <c r="G178" i="4"/>
  <c r="I177" i="4"/>
  <c r="H177" i="4"/>
  <c r="G177" i="4"/>
  <c r="I176" i="4"/>
  <c r="H176" i="4"/>
  <c r="G176" i="4"/>
  <c r="I175" i="4"/>
  <c r="H175" i="4"/>
  <c r="G175" i="4"/>
  <c r="I174" i="4"/>
  <c r="H174" i="4"/>
  <c r="G174" i="4"/>
  <c r="I173" i="4"/>
  <c r="H173" i="4"/>
  <c r="G173" i="4"/>
  <c r="I172" i="4"/>
  <c r="H172" i="4"/>
  <c r="G172" i="4"/>
  <c r="I171" i="4"/>
  <c r="H171" i="4"/>
  <c r="G171" i="4"/>
  <c r="I170" i="4"/>
  <c r="H170" i="4"/>
  <c r="G170" i="4"/>
  <c r="I169" i="4"/>
  <c r="H169" i="4"/>
  <c r="G169" i="4"/>
  <c r="I168" i="4"/>
  <c r="H168" i="4"/>
  <c r="G168" i="4"/>
  <c r="I167" i="4"/>
  <c r="H167" i="4"/>
  <c r="G167" i="4"/>
  <c r="I166" i="4"/>
  <c r="H166" i="4"/>
  <c r="G166" i="4"/>
  <c r="I165" i="4"/>
  <c r="H165" i="4"/>
  <c r="G165" i="4"/>
  <c r="I164" i="4"/>
  <c r="H164" i="4"/>
  <c r="G164" i="4"/>
  <c r="I163" i="4"/>
  <c r="H163" i="4"/>
  <c r="G163" i="4"/>
  <c r="I162" i="4"/>
  <c r="H162" i="4"/>
  <c r="G162" i="4"/>
  <c r="I161" i="4"/>
  <c r="H161" i="4"/>
  <c r="G161" i="4"/>
  <c r="I160" i="4"/>
  <c r="H160" i="4"/>
  <c r="G160" i="4"/>
  <c r="I159" i="4"/>
  <c r="H159" i="4"/>
  <c r="G159" i="4"/>
  <c r="I158" i="4"/>
  <c r="H158" i="4"/>
  <c r="G158" i="4"/>
  <c r="I157" i="4"/>
  <c r="H157" i="4"/>
  <c r="G157" i="4"/>
  <c r="I156" i="4"/>
  <c r="H156" i="4"/>
  <c r="G156" i="4"/>
  <c r="I155" i="4"/>
  <c r="H155" i="4"/>
  <c r="G155" i="4"/>
  <c r="I154" i="4"/>
  <c r="H154" i="4"/>
  <c r="G154" i="4"/>
  <c r="I153" i="4"/>
  <c r="H153" i="4"/>
  <c r="G153" i="4"/>
  <c r="I152" i="4"/>
  <c r="H152" i="4"/>
  <c r="G152" i="4"/>
  <c r="I151" i="4"/>
  <c r="H151" i="4"/>
  <c r="G151" i="4"/>
  <c r="I150" i="4"/>
  <c r="H150" i="4"/>
  <c r="G150" i="4"/>
  <c r="I149" i="4"/>
  <c r="H149" i="4"/>
  <c r="G149" i="4"/>
  <c r="I148" i="4"/>
  <c r="H148" i="4"/>
  <c r="G148" i="4"/>
  <c r="I147" i="4"/>
  <c r="H147" i="4"/>
  <c r="G147" i="4"/>
  <c r="I146" i="4"/>
  <c r="H146" i="4"/>
  <c r="G146" i="4"/>
  <c r="I145" i="4"/>
  <c r="H145" i="4"/>
  <c r="G145" i="4"/>
  <c r="I144" i="4"/>
  <c r="H144" i="4"/>
  <c r="G144" i="4"/>
  <c r="I143" i="4"/>
  <c r="H143" i="4"/>
  <c r="G143" i="4"/>
  <c r="I142" i="4"/>
  <c r="H142" i="4"/>
  <c r="G142" i="4"/>
  <c r="I141" i="4"/>
  <c r="H141" i="4"/>
  <c r="G141" i="4"/>
  <c r="I140" i="4"/>
  <c r="H140" i="4"/>
  <c r="G140" i="4"/>
  <c r="I139" i="4"/>
  <c r="H139" i="4"/>
  <c r="G139" i="4"/>
  <c r="I138" i="4"/>
  <c r="H138" i="4"/>
  <c r="G138" i="4"/>
  <c r="I137" i="4"/>
  <c r="H137" i="4"/>
  <c r="G137" i="4"/>
  <c r="I136" i="4"/>
  <c r="H136" i="4"/>
  <c r="G136" i="4"/>
  <c r="I135" i="4"/>
  <c r="H135" i="4"/>
  <c r="G135" i="4"/>
  <c r="I134" i="4"/>
  <c r="H134" i="4"/>
  <c r="G134" i="4"/>
  <c r="I133" i="4"/>
  <c r="H133" i="4"/>
  <c r="G133" i="4"/>
  <c r="I132" i="4"/>
  <c r="H132" i="4"/>
  <c r="G132" i="4"/>
  <c r="I131" i="4"/>
  <c r="H131" i="4"/>
  <c r="G131" i="4"/>
  <c r="I130" i="4"/>
  <c r="H130" i="4"/>
  <c r="G130" i="4"/>
  <c r="I129" i="4"/>
  <c r="H129" i="4"/>
  <c r="G129" i="4"/>
  <c r="I128" i="4"/>
  <c r="H128" i="4"/>
  <c r="G128" i="4"/>
  <c r="I127" i="4"/>
  <c r="H127" i="4"/>
  <c r="G127" i="4"/>
  <c r="I126" i="4"/>
  <c r="H126" i="4"/>
  <c r="G126" i="4"/>
  <c r="I125" i="4"/>
  <c r="H125" i="4"/>
  <c r="G125" i="4"/>
  <c r="I124" i="4"/>
  <c r="H124" i="4"/>
  <c r="G124" i="4"/>
  <c r="I123" i="4"/>
  <c r="H123" i="4"/>
  <c r="G123" i="4"/>
  <c r="I122" i="4"/>
  <c r="H122" i="4"/>
  <c r="G122" i="4"/>
  <c r="I121" i="4"/>
  <c r="H121" i="4"/>
  <c r="G121" i="4"/>
  <c r="I120" i="4"/>
  <c r="H120" i="4"/>
  <c r="G120" i="4"/>
  <c r="I119" i="4"/>
  <c r="H119" i="4"/>
  <c r="G119" i="4"/>
  <c r="I118" i="4"/>
  <c r="H118" i="4"/>
  <c r="G118" i="4"/>
  <c r="I117" i="4"/>
  <c r="H117" i="4"/>
  <c r="G117" i="4"/>
  <c r="I116" i="4"/>
  <c r="H116" i="4"/>
  <c r="G116" i="4"/>
  <c r="I115" i="4"/>
  <c r="H115" i="4"/>
  <c r="G115" i="4"/>
  <c r="I114" i="4"/>
  <c r="H114" i="4"/>
  <c r="G114" i="4"/>
  <c r="I113" i="4"/>
  <c r="H113" i="4"/>
  <c r="G113" i="4"/>
  <c r="I112" i="4"/>
  <c r="H112" i="4"/>
  <c r="G112" i="4"/>
  <c r="I111" i="4"/>
  <c r="H111" i="4"/>
  <c r="G111" i="4"/>
  <c r="I110" i="4"/>
  <c r="H110" i="4"/>
  <c r="G110" i="4"/>
  <c r="I109" i="4"/>
  <c r="H109" i="4"/>
  <c r="G109" i="4"/>
  <c r="I108" i="4"/>
  <c r="H108" i="4"/>
  <c r="G108" i="4"/>
  <c r="I107" i="4"/>
  <c r="H107" i="4"/>
  <c r="G107" i="4"/>
  <c r="I106" i="4"/>
  <c r="H106" i="4"/>
  <c r="G106" i="4"/>
  <c r="I105" i="4"/>
  <c r="H105" i="4"/>
  <c r="G105" i="4"/>
  <c r="I104" i="4"/>
  <c r="H104" i="4"/>
  <c r="G104" i="4"/>
  <c r="I103" i="4"/>
  <c r="H103" i="4"/>
  <c r="G103" i="4"/>
  <c r="I102" i="4"/>
  <c r="H102" i="4"/>
  <c r="G102" i="4"/>
  <c r="I101" i="4"/>
  <c r="H101" i="4"/>
  <c r="G101" i="4"/>
  <c r="I100" i="4"/>
  <c r="H100" i="4"/>
  <c r="G100" i="4"/>
  <c r="I99" i="4"/>
  <c r="H99" i="4"/>
  <c r="G99" i="4"/>
  <c r="I98" i="4"/>
  <c r="H98" i="4"/>
  <c r="G98" i="4"/>
  <c r="I97" i="4"/>
  <c r="H97" i="4"/>
  <c r="G97" i="4"/>
  <c r="I96" i="4"/>
  <c r="H96" i="4"/>
  <c r="G96" i="4"/>
  <c r="I95" i="4"/>
  <c r="H95" i="4"/>
  <c r="G95" i="4"/>
  <c r="I94" i="4"/>
  <c r="H94" i="4"/>
  <c r="G94" i="4"/>
  <c r="I93" i="4"/>
  <c r="H93" i="4"/>
  <c r="G93" i="4"/>
  <c r="I92" i="4"/>
  <c r="H92" i="4"/>
  <c r="G92" i="4"/>
  <c r="I91" i="4"/>
  <c r="H91" i="4"/>
  <c r="G91" i="4"/>
  <c r="I90" i="4"/>
  <c r="H90" i="4"/>
  <c r="G90" i="4"/>
  <c r="I89" i="4"/>
  <c r="H89" i="4"/>
  <c r="G89" i="4"/>
  <c r="I88" i="4"/>
  <c r="H88" i="4"/>
  <c r="G88" i="4"/>
  <c r="I87" i="4"/>
  <c r="H87" i="4"/>
  <c r="G87" i="4"/>
  <c r="I86" i="4"/>
  <c r="H86" i="4"/>
  <c r="G86" i="4"/>
  <c r="I85" i="4"/>
  <c r="H85" i="4"/>
  <c r="G85" i="4"/>
  <c r="I84" i="4"/>
  <c r="H84" i="4"/>
  <c r="G84" i="4"/>
  <c r="I83" i="4"/>
  <c r="H83" i="4"/>
  <c r="G83" i="4"/>
  <c r="I82" i="4"/>
  <c r="H82" i="4"/>
  <c r="G82" i="4"/>
  <c r="I81" i="4"/>
  <c r="H81" i="4"/>
  <c r="G81" i="4"/>
  <c r="I80" i="4"/>
  <c r="H80" i="4"/>
  <c r="G80" i="4"/>
  <c r="I79" i="4"/>
  <c r="H79" i="4"/>
  <c r="G79" i="4"/>
  <c r="I78" i="4"/>
  <c r="H78" i="4"/>
  <c r="G78" i="4"/>
  <c r="I77" i="4"/>
  <c r="H77" i="4"/>
  <c r="G77" i="4"/>
  <c r="I76" i="4"/>
  <c r="H76" i="4"/>
  <c r="G76" i="4"/>
  <c r="I75" i="4"/>
  <c r="H75" i="4"/>
  <c r="G75" i="4"/>
  <c r="I74" i="4"/>
  <c r="H74" i="4"/>
  <c r="G74" i="4"/>
  <c r="I73" i="4"/>
  <c r="H73" i="4"/>
  <c r="G73" i="4"/>
  <c r="I72" i="4"/>
  <c r="H72" i="4"/>
  <c r="G72" i="4"/>
  <c r="I71" i="4"/>
  <c r="H71" i="4"/>
  <c r="G71" i="4"/>
  <c r="I70" i="4"/>
  <c r="H70" i="4"/>
  <c r="G70" i="4"/>
  <c r="I69" i="4"/>
  <c r="H69" i="4"/>
  <c r="G69" i="4"/>
  <c r="I68" i="4"/>
  <c r="H68" i="4"/>
  <c r="G68" i="4"/>
  <c r="I67" i="4"/>
  <c r="H67" i="4"/>
  <c r="G67" i="4"/>
  <c r="I66" i="4"/>
  <c r="H66" i="4"/>
  <c r="G66" i="4"/>
  <c r="I65" i="4"/>
  <c r="H65" i="4"/>
  <c r="G65" i="4"/>
  <c r="I64" i="4"/>
  <c r="H64" i="4"/>
  <c r="G64" i="4"/>
  <c r="I63" i="4"/>
  <c r="H63" i="4"/>
  <c r="G63" i="4"/>
  <c r="I62" i="4"/>
  <c r="H62" i="4"/>
  <c r="G62" i="4"/>
  <c r="I61" i="4"/>
  <c r="H61" i="4"/>
  <c r="G61" i="4"/>
  <c r="I60" i="4"/>
  <c r="H60" i="4"/>
  <c r="G60" i="4"/>
  <c r="I59" i="4"/>
  <c r="H59" i="4"/>
  <c r="G59" i="4"/>
  <c r="I58" i="4"/>
  <c r="H58" i="4"/>
  <c r="G58" i="4"/>
  <c r="I57" i="4"/>
  <c r="H57" i="4"/>
  <c r="G57" i="4"/>
  <c r="I56" i="4"/>
  <c r="H56" i="4"/>
  <c r="G56" i="4"/>
  <c r="I55" i="4"/>
  <c r="H55" i="4"/>
  <c r="G55" i="4"/>
  <c r="I54" i="4"/>
  <c r="H54" i="4"/>
  <c r="G54" i="4"/>
  <c r="I53" i="4"/>
  <c r="H53" i="4"/>
  <c r="G53" i="4"/>
  <c r="I52" i="4"/>
  <c r="H52" i="4"/>
  <c r="G52" i="4"/>
  <c r="I51" i="4"/>
  <c r="H51" i="4"/>
  <c r="G51" i="4"/>
  <c r="I50" i="4"/>
  <c r="H50" i="4"/>
  <c r="G50" i="4"/>
  <c r="I49" i="4"/>
  <c r="H49" i="4"/>
  <c r="G49" i="4"/>
  <c r="I48" i="4"/>
  <c r="H48" i="4"/>
  <c r="G48" i="4"/>
  <c r="I47" i="4"/>
  <c r="H47" i="4"/>
  <c r="G47" i="4"/>
  <c r="I46" i="4"/>
  <c r="H46" i="4"/>
  <c r="G46" i="4"/>
  <c r="I45" i="4"/>
  <c r="H45" i="4"/>
  <c r="G45" i="4"/>
  <c r="I44" i="4"/>
  <c r="H44" i="4"/>
  <c r="G44" i="4"/>
  <c r="I43" i="4"/>
  <c r="H43" i="4"/>
  <c r="G43" i="4"/>
  <c r="I42" i="4"/>
  <c r="H42" i="4"/>
  <c r="G42" i="4"/>
  <c r="I41" i="4"/>
  <c r="H41" i="4"/>
  <c r="G41" i="4"/>
  <c r="I40" i="4"/>
  <c r="H40" i="4"/>
  <c r="G40" i="4"/>
  <c r="I39" i="4"/>
  <c r="H39" i="4"/>
  <c r="G39" i="4"/>
  <c r="I38" i="4"/>
  <c r="H38" i="4"/>
  <c r="G38" i="4"/>
  <c r="I37" i="4"/>
  <c r="H37" i="4"/>
  <c r="G37" i="4"/>
  <c r="I36" i="4"/>
  <c r="H36" i="4"/>
  <c r="G36" i="4"/>
  <c r="I35" i="4"/>
  <c r="H35" i="4"/>
  <c r="G35" i="4"/>
  <c r="I34" i="4"/>
  <c r="H34" i="4"/>
  <c r="G34" i="4"/>
  <c r="I33" i="4"/>
  <c r="H33" i="4"/>
  <c r="G33" i="4"/>
  <c r="I32" i="4"/>
  <c r="H32" i="4"/>
  <c r="G32" i="4"/>
  <c r="I31" i="4"/>
  <c r="H31" i="4"/>
  <c r="G31" i="4"/>
  <c r="I30" i="4"/>
  <c r="H30" i="4"/>
  <c r="G30" i="4"/>
  <c r="I29" i="4"/>
  <c r="H29" i="4"/>
  <c r="G29" i="4"/>
  <c r="I28" i="4"/>
  <c r="H28" i="4"/>
  <c r="G28" i="4"/>
  <c r="I27" i="4"/>
  <c r="H27" i="4"/>
  <c r="G27" i="4"/>
  <c r="I26" i="4"/>
  <c r="H26" i="4"/>
  <c r="G26" i="4"/>
  <c r="I25" i="4"/>
  <c r="H25" i="4"/>
  <c r="G25" i="4"/>
  <c r="I24" i="4"/>
  <c r="H24" i="4"/>
  <c r="G24" i="4"/>
  <c r="I23" i="4"/>
  <c r="H23" i="4"/>
  <c r="G23" i="4"/>
  <c r="I22" i="4"/>
  <c r="H22" i="4"/>
  <c r="G22" i="4"/>
  <c r="I21" i="4"/>
  <c r="H21" i="4"/>
  <c r="G21" i="4"/>
  <c r="I20" i="4"/>
  <c r="H20" i="4"/>
  <c r="G20" i="4"/>
  <c r="I19" i="4"/>
  <c r="H19" i="4"/>
  <c r="G19" i="4"/>
  <c r="I18" i="4"/>
  <c r="H18" i="4"/>
  <c r="G18" i="4"/>
  <c r="I17" i="4"/>
  <c r="H17" i="4"/>
  <c r="G17" i="4"/>
  <c r="I16" i="4"/>
  <c r="H16" i="4"/>
  <c r="G16" i="4"/>
  <c r="I15" i="4"/>
  <c r="H15" i="4"/>
  <c r="G15" i="4"/>
  <c r="I14" i="4"/>
  <c r="H14" i="4"/>
  <c r="G14" i="4"/>
  <c r="I13" i="4"/>
  <c r="H13" i="4"/>
  <c r="G13" i="4"/>
  <c r="I12" i="4"/>
  <c r="H12" i="4"/>
  <c r="G12" i="4"/>
  <c r="F109" i="2"/>
  <c r="E109" i="2"/>
  <c r="D109" i="2"/>
  <c r="F108" i="2"/>
  <c r="E108" i="2"/>
  <c r="D108" i="2"/>
  <c r="F107" i="2"/>
  <c r="E107" i="2"/>
  <c r="D107" i="2"/>
  <c r="F106" i="2"/>
  <c r="E106" i="2"/>
  <c r="D106" i="2"/>
  <c r="F105" i="2"/>
  <c r="E105" i="2"/>
  <c r="D105" i="2"/>
  <c r="F104" i="2"/>
  <c r="E104" i="2"/>
  <c r="D104" i="2"/>
  <c r="F103" i="2"/>
  <c r="E103" i="2"/>
  <c r="D103" i="2"/>
  <c r="F102" i="2"/>
  <c r="E102" i="2"/>
  <c r="D102" i="2"/>
  <c r="F101" i="2"/>
  <c r="E101" i="2"/>
  <c r="D101" i="2"/>
  <c r="F100" i="2"/>
  <c r="E100" i="2"/>
  <c r="D100" i="2"/>
  <c r="F99" i="2"/>
  <c r="E99" i="2"/>
  <c r="D99" i="2"/>
  <c r="F98" i="2"/>
  <c r="E98" i="2"/>
  <c r="D98" i="2"/>
  <c r="F97" i="2"/>
  <c r="E97" i="2"/>
  <c r="D97" i="2"/>
  <c r="F96" i="2"/>
  <c r="E96" i="2"/>
  <c r="D96" i="2"/>
  <c r="F95" i="2"/>
  <c r="E95" i="2"/>
  <c r="D95" i="2"/>
  <c r="F94" i="2"/>
  <c r="E94" i="2"/>
  <c r="D94" i="2"/>
  <c r="F93" i="2"/>
  <c r="E93" i="2"/>
  <c r="D93" i="2"/>
  <c r="F92" i="2"/>
  <c r="E92" i="2"/>
  <c r="D92" i="2"/>
  <c r="F91" i="2"/>
  <c r="E91" i="2"/>
  <c r="D91" i="2"/>
  <c r="F90" i="2"/>
  <c r="E90" i="2"/>
  <c r="D90" i="2"/>
  <c r="F89" i="2"/>
  <c r="E89" i="2"/>
  <c r="D89" i="2"/>
  <c r="F88" i="2"/>
  <c r="E88" i="2"/>
  <c r="D88" i="2"/>
  <c r="F87" i="2"/>
  <c r="E87" i="2"/>
  <c r="D87" i="2"/>
  <c r="F86" i="2"/>
  <c r="E86" i="2"/>
  <c r="D86" i="2"/>
  <c r="F85" i="2"/>
  <c r="E85" i="2"/>
  <c r="D85" i="2"/>
  <c r="F84" i="2"/>
  <c r="E84" i="2"/>
  <c r="D84" i="2"/>
  <c r="F83" i="2"/>
  <c r="E83" i="2"/>
  <c r="D83" i="2"/>
  <c r="F82" i="2"/>
  <c r="E82" i="2"/>
  <c r="D82" i="2"/>
  <c r="F81" i="2"/>
  <c r="E81" i="2"/>
  <c r="D81" i="2"/>
  <c r="F80" i="2"/>
  <c r="E80" i="2"/>
  <c r="D80" i="2"/>
  <c r="F79" i="2"/>
  <c r="E79" i="2"/>
  <c r="D79" i="2"/>
  <c r="F78" i="2"/>
  <c r="E78" i="2"/>
  <c r="D78" i="2"/>
  <c r="F77" i="2"/>
  <c r="E77" i="2"/>
  <c r="D77" i="2"/>
  <c r="F76" i="2"/>
  <c r="E76" i="2"/>
  <c r="D76" i="2"/>
  <c r="F75" i="2"/>
  <c r="E75" i="2"/>
  <c r="D75" i="2"/>
  <c r="F74" i="2"/>
  <c r="E74" i="2"/>
  <c r="D74" i="2"/>
  <c r="F73" i="2"/>
  <c r="E73" i="2"/>
  <c r="D73" i="2"/>
  <c r="F72" i="2"/>
  <c r="E72" i="2"/>
  <c r="D72" i="2"/>
  <c r="F71" i="2"/>
  <c r="E71" i="2"/>
  <c r="D71" i="2"/>
  <c r="F70" i="2"/>
  <c r="E70" i="2"/>
  <c r="D70" i="2"/>
  <c r="F69" i="2"/>
  <c r="E69" i="2"/>
  <c r="D69" i="2"/>
  <c r="F68" i="2"/>
  <c r="E68" i="2"/>
  <c r="D68" i="2"/>
  <c r="F67" i="2"/>
  <c r="E67" i="2"/>
  <c r="D67" i="2"/>
  <c r="F66" i="2"/>
  <c r="E66" i="2"/>
  <c r="D66" i="2"/>
  <c r="F65" i="2"/>
  <c r="E65" i="2"/>
  <c r="D65" i="2"/>
  <c r="F64" i="2"/>
  <c r="E64" i="2"/>
  <c r="D64" i="2"/>
  <c r="F63" i="2"/>
  <c r="E63" i="2"/>
  <c r="D63" i="2"/>
  <c r="F62" i="2"/>
  <c r="E62" i="2"/>
  <c r="D62" i="2"/>
  <c r="F61" i="2"/>
  <c r="E61" i="2"/>
  <c r="D61" i="2"/>
  <c r="F60" i="2"/>
  <c r="E60" i="2"/>
  <c r="D60" i="2"/>
  <c r="F59" i="2"/>
  <c r="E59" i="2"/>
  <c r="D59" i="2"/>
  <c r="F58" i="2"/>
  <c r="E58" i="2"/>
  <c r="D58" i="2"/>
  <c r="F57" i="2"/>
  <c r="E57" i="2"/>
  <c r="D57" i="2"/>
  <c r="F56" i="2"/>
  <c r="E56" i="2"/>
  <c r="D56" i="2"/>
  <c r="F55" i="2"/>
  <c r="E55" i="2"/>
  <c r="D55" i="2"/>
  <c r="F54" i="2"/>
  <c r="E54" i="2"/>
  <c r="D54" i="2"/>
  <c r="F53" i="2"/>
  <c r="E53" i="2"/>
  <c r="D53" i="2"/>
  <c r="F52" i="2"/>
  <c r="E52" i="2"/>
  <c r="D52" i="2"/>
  <c r="F51" i="2"/>
  <c r="E51" i="2"/>
  <c r="D51" i="2"/>
  <c r="F50" i="2"/>
  <c r="E50" i="2"/>
  <c r="D50" i="2"/>
  <c r="F49" i="2"/>
  <c r="E49" i="2"/>
  <c r="D49" i="2"/>
  <c r="F48" i="2"/>
  <c r="E48" i="2"/>
  <c r="D48" i="2"/>
  <c r="F47" i="2"/>
  <c r="E47" i="2"/>
  <c r="D47" i="2"/>
  <c r="F46" i="2"/>
  <c r="E46" i="2"/>
  <c r="D46" i="2"/>
  <c r="F45" i="2"/>
  <c r="E45" i="2"/>
  <c r="D45" i="2"/>
  <c r="F44" i="2"/>
  <c r="E44" i="2"/>
  <c r="D44" i="2"/>
  <c r="F43" i="2"/>
  <c r="E43" i="2"/>
  <c r="D43" i="2"/>
  <c r="F42" i="2"/>
  <c r="E42" i="2"/>
  <c r="D42" i="2"/>
  <c r="F41" i="2"/>
  <c r="E41" i="2"/>
  <c r="D41" i="2"/>
  <c r="F40" i="2"/>
  <c r="E40" i="2"/>
  <c r="D40" i="2"/>
  <c r="F39" i="2"/>
  <c r="E39" i="2"/>
  <c r="D39" i="2"/>
  <c r="F38" i="2"/>
  <c r="E38" i="2"/>
  <c r="D38" i="2"/>
  <c r="F37" i="2"/>
  <c r="E37" i="2"/>
  <c r="D37" i="2"/>
  <c r="F36" i="2"/>
  <c r="E36" i="2"/>
  <c r="D36" i="2"/>
  <c r="F35" i="2"/>
  <c r="E35" i="2"/>
  <c r="D35" i="2"/>
  <c r="F34" i="2"/>
  <c r="E34" i="2"/>
  <c r="D34" i="2"/>
  <c r="F33" i="2"/>
  <c r="E33" i="2"/>
  <c r="D33" i="2"/>
  <c r="F32" i="2"/>
  <c r="E32" i="2"/>
  <c r="D32" i="2"/>
  <c r="F31" i="2"/>
  <c r="E31" i="2"/>
  <c r="D31" i="2"/>
  <c r="F30" i="2"/>
  <c r="E30" i="2"/>
  <c r="D30" i="2"/>
  <c r="F29" i="2"/>
  <c r="E29" i="2"/>
  <c r="D29" i="2"/>
  <c r="F28" i="2"/>
  <c r="E28" i="2"/>
  <c r="D28" i="2"/>
  <c r="F27" i="2"/>
  <c r="E27" i="2"/>
  <c r="D27" i="2"/>
  <c r="F26" i="2"/>
  <c r="E26" i="2"/>
  <c r="D26" i="2"/>
  <c r="F25" i="2"/>
  <c r="E25" i="2"/>
  <c r="D25" i="2"/>
  <c r="F24" i="2"/>
  <c r="E24" i="2"/>
  <c r="D24" i="2"/>
  <c r="F23" i="2"/>
  <c r="E23" i="2"/>
  <c r="D23" i="2"/>
  <c r="F22" i="2"/>
  <c r="E22" i="2"/>
  <c r="D22" i="2"/>
  <c r="F21" i="2"/>
  <c r="E21" i="2"/>
  <c r="D21" i="2"/>
  <c r="F20" i="2"/>
  <c r="E20" i="2"/>
  <c r="D20" i="2"/>
  <c r="F19" i="2"/>
  <c r="E19" i="2"/>
  <c r="D19" i="2"/>
  <c r="F18" i="2"/>
  <c r="E18" i="2"/>
  <c r="D18" i="2"/>
  <c r="F17" i="2"/>
  <c r="E17" i="2"/>
  <c r="D17" i="2"/>
  <c r="F16" i="2"/>
  <c r="E16" i="2"/>
  <c r="D16" i="2"/>
  <c r="F15" i="2"/>
  <c r="E15" i="2"/>
  <c r="D15" i="2"/>
  <c r="F14" i="2"/>
  <c r="E14" i="2"/>
  <c r="D14" i="2"/>
  <c r="F13" i="2"/>
  <c r="E13" i="2"/>
  <c r="D13" i="2"/>
  <c r="F12" i="2"/>
  <c r="E12" i="2"/>
  <c r="D12" i="2"/>
  <c r="G169" i="1"/>
  <c r="F169" i="1"/>
  <c r="E169" i="1"/>
  <c r="D169" i="1"/>
  <c r="G168" i="1"/>
  <c r="F168" i="1"/>
  <c r="E168" i="1"/>
  <c r="D168" i="1"/>
  <c r="G167" i="1"/>
  <c r="F167" i="1"/>
  <c r="E167" i="1"/>
  <c r="D167" i="1"/>
  <c r="G166" i="1"/>
  <c r="F166" i="1"/>
  <c r="E166" i="1"/>
  <c r="D166" i="1"/>
  <c r="G165" i="1"/>
  <c r="F165" i="1"/>
  <c r="E165" i="1"/>
  <c r="D165" i="1"/>
  <c r="G164" i="1"/>
  <c r="F164" i="1"/>
  <c r="E164" i="1"/>
  <c r="D164" i="1"/>
  <c r="G163" i="1"/>
  <c r="F163" i="1"/>
  <c r="E163" i="1"/>
  <c r="D163" i="1"/>
  <c r="G162" i="1"/>
  <c r="F162" i="1"/>
  <c r="E162" i="1"/>
  <c r="D162" i="1"/>
  <c r="G161" i="1"/>
  <c r="F161" i="1"/>
  <c r="E161" i="1"/>
  <c r="D161" i="1"/>
  <c r="G160" i="1"/>
  <c r="F160" i="1"/>
  <c r="E160" i="1"/>
  <c r="D160" i="1"/>
  <c r="G159" i="1"/>
  <c r="F159" i="1"/>
  <c r="E159" i="1"/>
  <c r="D159" i="1"/>
  <c r="G158" i="1"/>
  <c r="F158" i="1"/>
  <c r="E158" i="1"/>
  <c r="D158" i="1"/>
  <c r="G157" i="1"/>
  <c r="F157" i="1"/>
  <c r="E157" i="1"/>
  <c r="D157" i="1"/>
  <c r="G156" i="1"/>
  <c r="F156" i="1"/>
  <c r="E156" i="1"/>
  <c r="D156" i="1"/>
  <c r="G155" i="1"/>
  <c r="F155" i="1"/>
  <c r="E155" i="1"/>
  <c r="D155" i="1"/>
  <c r="G154" i="1"/>
  <c r="F154" i="1"/>
  <c r="E154" i="1"/>
  <c r="D154" i="1"/>
  <c r="G153" i="1"/>
  <c r="F153" i="1"/>
  <c r="E153" i="1"/>
  <c r="D153" i="1"/>
  <c r="G152" i="1"/>
  <c r="F152" i="1"/>
  <c r="E152" i="1"/>
  <c r="D152" i="1"/>
  <c r="G151" i="1"/>
  <c r="F151" i="1"/>
  <c r="E151" i="1"/>
  <c r="D151" i="1"/>
  <c r="G150" i="1"/>
  <c r="F150" i="1"/>
  <c r="E150" i="1"/>
  <c r="D150" i="1"/>
  <c r="G149" i="1"/>
  <c r="F149" i="1"/>
  <c r="E149" i="1"/>
  <c r="D149" i="1"/>
  <c r="G148" i="1"/>
  <c r="F148" i="1"/>
  <c r="E148" i="1"/>
  <c r="D148" i="1"/>
  <c r="G147" i="1"/>
  <c r="F147" i="1"/>
  <c r="E147" i="1"/>
  <c r="D147" i="1"/>
  <c r="G146" i="1"/>
  <c r="F146" i="1"/>
  <c r="E146" i="1"/>
  <c r="D146" i="1"/>
  <c r="G145" i="1"/>
  <c r="F145" i="1"/>
  <c r="E145" i="1"/>
  <c r="D145" i="1"/>
  <c r="G144" i="1"/>
  <c r="F144" i="1"/>
  <c r="E144" i="1"/>
  <c r="D144" i="1"/>
  <c r="G143" i="1"/>
  <c r="F143" i="1"/>
  <c r="E143" i="1"/>
  <c r="D143" i="1"/>
  <c r="G142" i="1"/>
  <c r="F142" i="1"/>
  <c r="E142" i="1"/>
  <c r="D142" i="1"/>
  <c r="G141" i="1"/>
  <c r="F141" i="1"/>
  <c r="E141" i="1"/>
  <c r="D141" i="1"/>
  <c r="G140" i="1"/>
  <c r="F140" i="1"/>
  <c r="E140" i="1"/>
  <c r="D140" i="1"/>
  <c r="G139" i="1"/>
  <c r="F139" i="1"/>
  <c r="E139" i="1"/>
  <c r="D139" i="1"/>
  <c r="G138" i="1"/>
  <c r="F138" i="1"/>
  <c r="E138" i="1"/>
  <c r="D138" i="1"/>
  <c r="G137" i="1"/>
  <c r="F137" i="1"/>
  <c r="E137" i="1"/>
  <c r="D137" i="1"/>
  <c r="G136" i="1"/>
  <c r="F136" i="1"/>
  <c r="E136" i="1"/>
  <c r="D136" i="1"/>
  <c r="G135" i="1"/>
  <c r="F135" i="1"/>
  <c r="E135" i="1"/>
  <c r="D135" i="1"/>
  <c r="G134" i="1"/>
  <c r="F134" i="1"/>
  <c r="E134" i="1"/>
  <c r="D134" i="1"/>
  <c r="G133" i="1"/>
  <c r="F133" i="1"/>
  <c r="E133" i="1"/>
  <c r="D133" i="1"/>
  <c r="G132" i="1"/>
  <c r="F132" i="1"/>
  <c r="E132" i="1"/>
  <c r="D132" i="1"/>
  <c r="G131" i="1"/>
  <c r="F131" i="1"/>
  <c r="E131" i="1"/>
  <c r="D131" i="1"/>
  <c r="G130" i="1"/>
  <c r="F130" i="1"/>
  <c r="E130" i="1"/>
  <c r="D130" i="1"/>
  <c r="G129" i="1"/>
  <c r="F129" i="1"/>
  <c r="E129" i="1"/>
  <c r="D129" i="1"/>
  <c r="G128" i="1"/>
  <c r="F128" i="1"/>
  <c r="E128" i="1"/>
  <c r="D128" i="1"/>
  <c r="G127" i="1"/>
  <c r="F127" i="1"/>
  <c r="E127" i="1"/>
  <c r="D127" i="1"/>
  <c r="G126" i="1"/>
  <c r="F126" i="1"/>
  <c r="E126" i="1"/>
  <c r="D126" i="1"/>
  <c r="G125" i="1"/>
  <c r="F125" i="1"/>
  <c r="E125" i="1"/>
  <c r="D125" i="1"/>
  <c r="G124" i="1"/>
  <c r="F124" i="1"/>
  <c r="E124" i="1"/>
  <c r="D124" i="1"/>
  <c r="G123" i="1"/>
  <c r="F123" i="1"/>
  <c r="E123" i="1"/>
  <c r="D123" i="1"/>
  <c r="G122" i="1"/>
  <c r="F122" i="1"/>
  <c r="E122" i="1"/>
  <c r="D122" i="1"/>
  <c r="G121" i="1"/>
  <c r="F121" i="1"/>
  <c r="E121" i="1"/>
  <c r="D121" i="1"/>
  <c r="G120" i="1"/>
  <c r="F120" i="1"/>
  <c r="E120" i="1"/>
  <c r="D120" i="1"/>
  <c r="G119" i="1"/>
  <c r="F119" i="1"/>
  <c r="E119" i="1"/>
  <c r="D119" i="1"/>
  <c r="G118" i="1"/>
  <c r="F118" i="1"/>
  <c r="E118" i="1"/>
  <c r="D118" i="1"/>
  <c r="G117" i="1"/>
  <c r="F117" i="1"/>
  <c r="E117" i="1"/>
  <c r="D117" i="1"/>
  <c r="G116" i="1"/>
  <c r="F116" i="1"/>
  <c r="E116" i="1"/>
  <c r="D116" i="1"/>
  <c r="G115" i="1"/>
  <c r="F115" i="1"/>
  <c r="E115" i="1"/>
  <c r="D115" i="1"/>
  <c r="G114" i="1"/>
  <c r="F114" i="1"/>
  <c r="E114" i="1"/>
  <c r="D114" i="1"/>
  <c r="G113" i="1"/>
  <c r="F113" i="1"/>
  <c r="E113" i="1"/>
  <c r="D113" i="1"/>
  <c r="G112" i="1"/>
  <c r="F112" i="1"/>
  <c r="E112" i="1"/>
  <c r="D112" i="1"/>
  <c r="G111" i="1"/>
  <c r="F111" i="1"/>
  <c r="E111" i="1"/>
  <c r="D111" i="1"/>
  <c r="G110" i="1"/>
  <c r="F110" i="1"/>
  <c r="E110" i="1"/>
  <c r="D110" i="1"/>
  <c r="G109" i="1"/>
  <c r="F109" i="1"/>
  <c r="E109" i="1"/>
  <c r="D109" i="1"/>
  <c r="G108" i="1"/>
  <c r="F108" i="1"/>
  <c r="E108" i="1"/>
  <c r="D108" i="1"/>
  <c r="G107" i="1"/>
  <c r="F107" i="1"/>
  <c r="E107" i="1"/>
  <c r="D107" i="1"/>
  <c r="G106" i="1"/>
  <c r="F106" i="1"/>
  <c r="E106" i="1"/>
  <c r="D106" i="1"/>
  <c r="G105" i="1"/>
  <c r="F105" i="1"/>
  <c r="E105" i="1"/>
  <c r="D105" i="1"/>
  <c r="G104" i="1"/>
  <c r="F104" i="1"/>
  <c r="E104" i="1"/>
  <c r="D104" i="1"/>
  <c r="G103" i="1"/>
  <c r="F103" i="1"/>
  <c r="E103" i="1"/>
  <c r="D103" i="1"/>
  <c r="G102" i="1"/>
  <c r="F102" i="1"/>
  <c r="E102" i="1"/>
  <c r="D102" i="1"/>
  <c r="G101" i="1"/>
  <c r="F101" i="1"/>
  <c r="E101" i="1"/>
  <c r="D101" i="1"/>
  <c r="G100" i="1"/>
  <c r="F100" i="1"/>
  <c r="E100" i="1"/>
  <c r="D100" i="1"/>
  <c r="G99" i="1"/>
  <c r="F99" i="1"/>
  <c r="E99" i="1"/>
  <c r="D99" i="1"/>
  <c r="G98" i="1"/>
  <c r="F98" i="1"/>
  <c r="E98" i="1"/>
  <c r="D98" i="1"/>
  <c r="G97" i="1"/>
  <c r="F97" i="1"/>
  <c r="E97" i="1"/>
  <c r="D97" i="1"/>
  <c r="G96" i="1"/>
  <c r="F96" i="1"/>
  <c r="E96" i="1"/>
  <c r="D96" i="1"/>
  <c r="G95" i="1"/>
  <c r="F95" i="1"/>
  <c r="E95" i="1"/>
  <c r="D95" i="1"/>
  <c r="G94" i="1"/>
  <c r="F94" i="1"/>
  <c r="E94" i="1"/>
  <c r="D94" i="1"/>
  <c r="G93" i="1"/>
  <c r="F93" i="1"/>
  <c r="E93" i="1"/>
  <c r="D93" i="1"/>
  <c r="G92" i="1"/>
  <c r="F92" i="1"/>
  <c r="E92" i="1"/>
  <c r="D92" i="1"/>
  <c r="G91" i="1"/>
  <c r="F91" i="1"/>
  <c r="E91" i="1"/>
  <c r="D91" i="1"/>
  <c r="G90" i="1"/>
  <c r="F90" i="1"/>
  <c r="E90" i="1"/>
  <c r="D90" i="1"/>
  <c r="G89" i="1"/>
  <c r="F89" i="1"/>
  <c r="E89" i="1"/>
  <c r="D89" i="1"/>
  <c r="G88" i="1"/>
  <c r="F88" i="1"/>
  <c r="E88" i="1"/>
  <c r="D88" i="1"/>
  <c r="G87" i="1"/>
  <c r="F87" i="1"/>
  <c r="E87" i="1"/>
  <c r="D87" i="1"/>
  <c r="G86" i="1"/>
  <c r="F86" i="1"/>
  <c r="E86" i="1"/>
  <c r="D86" i="1"/>
  <c r="G85" i="1"/>
  <c r="F85" i="1"/>
  <c r="E85" i="1"/>
  <c r="D85" i="1"/>
  <c r="G84" i="1"/>
  <c r="F84" i="1"/>
  <c r="E84" i="1"/>
  <c r="D84" i="1"/>
  <c r="G83" i="1"/>
  <c r="F83" i="1"/>
  <c r="E83" i="1"/>
  <c r="D83" i="1"/>
  <c r="G82" i="1"/>
  <c r="F82" i="1"/>
  <c r="E82" i="1"/>
  <c r="D82" i="1"/>
  <c r="G81" i="1"/>
  <c r="F81" i="1"/>
  <c r="E81" i="1"/>
  <c r="D81" i="1"/>
  <c r="G80" i="1"/>
  <c r="F80" i="1"/>
  <c r="E80" i="1"/>
  <c r="D80" i="1"/>
  <c r="G79" i="1"/>
  <c r="F79" i="1"/>
  <c r="E79" i="1"/>
  <c r="D79" i="1"/>
  <c r="G78" i="1"/>
  <c r="F78" i="1"/>
  <c r="E78" i="1"/>
  <c r="D78" i="1"/>
  <c r="G77" i="1"/>
  <c r="F77" i="1"/>
  <c r="E77" i="1"/>
  <c r="D77" i="1"/>
  <c r="G76" i="1"/>
  <c r="F76" i="1"/>
  <c r="E76" i="1"/>
  <c r="D76" i="1"/>
  <c r="G75" i="1"/>
  <c r="F75" i="1"/>
  <c r="E75" i="1"/>
  <c r="D75" i="1"/>
  <c r="G74" i="1"/>
  <c r="F74" i="1"/>
  <c r="E74" i="1"/>
  <c r="D74" i="1"/>
  <c r="G73" i="1"/>
  <c r="F73" i="1"/>
  <c r="E73" i="1"/>
  <c r="D73" i="1"/>
  <c r="G72" i="1"/>
  <c r="F72" i="1"/>
  <c r="E72" i="1"/>
  <c r="D72" i="1"/>
  <c r="G71" i="1"/>
  <c r="F71" i="1"/>
  <c r="E71" i="1"/>
  <c r="D71" i="1"/>
  <c r="G70" i="1"/>
  <c r="F70" i="1"/>
  <c r="E70" i="1"/>
  <c r="D70" i="1"/>
  <c r="G69" i="1"/>
  <c r="F69" i="1"/>
  <c r="E69" i="1"/>
  <c r="D69" i="1"/>
  <c r="G68" i="1"/>
  <c r="F68" i="1"/>
  <c r="E68" i="1"/>
  <c r="D68" i="1"/>
  <c r="G67" i="1"/>
  <c r="F67" i="1"/>
  <c r="E67" i="1"/>
  <c r="D67" i="1"/>
  <c r="G66" i="1"/>
  <c r="F66" i="1"/>
  <c r="E66" i="1"/>
  <c r="D66" i="1"/>
  <c r="G65" i="1"/>
  <c r="F65" i="1"/>
  <c r="E65" i="1"/>
  <c r="D65" i="1"/>
  <c r="G64" i="1"/>
  <c r="F64" i="1"/>
  <c r="E64" i="1"/>
  <c r="D64" i="1"/>
  <c r="G63" i="1"/>
  <c r="F63" i="1"/>
  <c r="E63" i="1"/>
  <c r="D63" i="1"/>
  <c r="G62" i="1"/>
  <c r="F62" i="1"/>
  <c r="E62" i="1"/>
  <c r="D62" i="1"/>
  <c r="G61" i="1"/>
  <c r="F61" i="1"/>
  <c r="E61" i="1"/>
  <c r="D61" i="1"/>
  <c r="G60" i="1"/>
  <c r="F60" i="1"/>
  <c r="E60" i="1"/>
  <c r="D60" i="1"/>
  <c r="G59" i="1"/>
  <c r="F59" i="1"/>
  <c r="E59" i="1"/>
  <c r="D59" i="1"/>
  <c r="G58" i="1"/>
  <c r="F58" i="1"/>
  <c r="E58" i="1"/>
  <c r="D58" i="1"/>
  <c r="G57" i="1"/>
  <c r="F57" i="1"/>
  <c r="E57" i="1"/>
  <c r="D57" i="1"/>
  <c r="G56" i="1"/>
  <c r="F56" i="1"/>
  <c r="E56" i="1"/>
  <c r="D56" i="1"/>
  <c r="G55" i="1"/>
  <c r="F55" i="1"/>
  <c r="E55" i="1"/>
  <c r="D55" i="1"/>
  <c r="G54" i="1"/>
  <c r="F54" i="1"/>
  <c r="E54" i="1"/>
  <c r="D54" i="1"/>
  <c r="G53" i="1"/>
  <c r="F53" i="1"/>
  <c r="E53" i="1"/>
  <c r="D53" i="1"/>
  <c r="G52" i="1"/>
  <c r="F52" i="1"/>
  <c r="E52" i="1"/>
  <c r="D52" i="1"/>
  <c r="G51" i="1"/>
  <c r="F51" i="1"/>
  <c r="E51" i="1"/>
  <c r="D51" i="1"/>
  <c r="G50" i="1"/>
  <c r="F50" i="1"/>
  <c r="E50" i="1"/>
  <c r="D50" i="1"/>
  <c r="G49" i="1"/>
  <c r="F49" i="1"/>
  <c r="E49" i="1"/>
  <c r="D49" i="1"/>
  <c r="G48" i="1"/>
  <c r="F48" i="1"/>
  <c r="E48" i="1"/>
  <c r="D48" i="1"/>
  <c r="G47" i="1"/>
  <c r="F47" i="1"/>
  <c r="E47" i="1"/>
  <c r="D47" i="1"/>
  <c r="G46" i="1"/>
  <c r="F46" i="1"/>
  <c r="E46" i="1"/>
  <c r="D46" i="1"/>
  <c r="G45" i="1"/>
  <c r="F45" i="1"/>
  <c r="E45" i="1"/>
  <c r="D45" i="1"/>
  <c r="G44" i="1"/>
  <c r="F44" i="1"/>
  <c r="E44" i="1"/>
  <c r="D44" i="1"/>
  <c r="G43" i="1"/>
  <c r="F43" i="1"/>
  <c r="E43" i="1"/>
  <c r="D43" i="1"/>
  <c r="G42" i="1"/>
  <c r="F42" i="1"/>
  <c r="E42" i="1"/>
  <c r="D42" i="1"/>
  <c r="G41" i="1"/>
  <c r="F41" i="1"/>
  <c r="E41" i="1"/>
  <c r="D41" i="1"/>
  <c r="G40" i="1"/>
  <c r="F40" i="1"/>
  <c r="E40" i="1"/>
  <c r="D40" i="1"/>
  <c r="G39" i="1"/>
  <c r="F39" i="1"/>
  <c r="E39" i="1"/>
  <c r="D39" i="1"/>
  <c r="G38" i="1"/>
  <c r="F38" i="1"/>
  <c r="E38" i="1"/>
  <c r="D38" i="1"/>
  <c r="G37" i="1"/>
  <c r="F37" i="1"/>
  <c r="E37" i="1"/>
  <c r="D37" i="1"/>
  <c r="G36" i="1"/>
  <c r="F36" i="1"/>
  <c r="E36" i="1"/>
  <c r="D36" i="1"/>
  <c r="G35" i="1"/>
  <c r="F35" i="1"/>
  <c r="E35" i="1"/>
  <c r="D35" i="1"/>
  <c r="G34" i="1"/>
  <c r="F34" i="1"/>
  <c r="E34" i="1"/>
  <c r="D34" i="1"/>
  <c r="G33" i="1"/>
  <c r="F33" i="1"/>
  <c r="E33" i="1"/>
  <c r="D33" i="1"/>
  <c r="G32" i="1"/>
  <c r="F32" i="1"/>
  <c r="E32" i="1"/>
  <c r="D32" i="1"/>
  <c r="G31" i="1"/>
  <c r="F31" i="1"/>
  <c r="E31" i="1"/>
  <c r="D31" i="1"/>
  <c r="G30" i="1"/>
  <c r="F30" i="1"/>
  <c r="E30" i="1"/>
  <c r="D30" i="1"/>
  <c r="G29" i="1"/>
  <c r="F29" i="1"/>
  <c r="E29" i="1"/>
  <c r="D29" i="1"/>
  <c r="G28" i="1"/>
  <c r="F28" i="1"/>
  <c r="E28" i="1"/>
  <c r="D28" i="1"/>
  <c r="G27" i="1"/>
  <c r="F27" i="1"/>
  <c r="E27" i="1"/>
  <c r="D27" i="1"/>
  <c r="G26" i="1"/>
  <c r="F26" i="1"/>
  <c r="E26" i="1"/>
  <c r="D26" i="1"/>
  <c r="G25" i="1"/>
  <c r="F25" i="1"/>
  <c r="E25" i="1"/>
  <c r="D25" i="1"/>
  <c r="G24" i="1"/>
  <c r="F24" i="1"/>
  <c r="E24" i="1"/>
  <c r="D24" i="1"/>
  <c r="G23" i="1"/>
  <c r="F23" i="1"/>
  <c r="E23" i="1"/>
  <c r="D23" i="1"/>
  <c r="G22" i="1"/>
  <c r="F22" i="1"/>
  <c r="E22" i="1"/>
  <c r="D22" i="1"/>
  <c r="G21" i="1"/>
  <c r="F21" i="1"/>
  <c r="E21" i="1"/>
  <c r="D21" i="1"/>
  <c r="G20" i="1"/>
  <c r="F20" i="1"/>
  <c r="E20" i="1"/>
  <c r="D20" i="1"/>
  <c r="G19" i="1"/>
  <c r="F19" i="1"/>
  <c r="E19" i="1"/>
  <c r="D19" i="1"/>
  <c r="G18" i="1"/>
  <c r="F18" i="1"/>
  <c r="E18" i="1"/>
  <c r="D18" i="1"/>
  <c r="G17" i="1"/>
  <c r="F17" i="1"/>
  <c r="E17" i="1"/>
  <c r="D17" i="1"/>
  <c r="G16" i="1"/>
  <c r="F16" i="1"/>
  <c r="E16" i="1"/>
  <c r="D16" i="1"/>
  <c r="G15" i="1"/>
  <c r="F15" i="1"/>
  <c r="E15" i="1"/>
  <c r="D15" i="1"/>
  <c r="G14" i="1"/>
  <c r="F14" i="1"/>
  <c r="E14" i="1"/>
  <c r="D14" i="1"/>
  <c r="L139" i="8"/>
  <c r="M139" i="8"/>
  <c r="L140" i="8"/>
  <c r="M140" i="8"/>
  <c r="L141" i="8"/>
  <c r="M141" i="8"/>
  <c r="L142" i="8"/>
  <c r="M142" i="8"/>
  <c r="L143" i="8"/>
  <c r="M143" i="8"/>
  <c r="L144" i="8"/>
  <c r="M144" i="8"/>
  <c r="L145" i="8"/>
  <c r="M145" i="8"/>
  <c r="S12" i="7" l="1"/>
  <c r="V18" i="7" s="1"/>
  <c r="AM15" i="8" s="1"/>
  <c r="M138" i="8"/>
  <c r="L138" i="8"/>
  <c r="J138" i="8"/>
  <c r="M137" i="8"/>
  <c r="L137" i="8"/>
  <c r="J137" i="8"/>
  <c r="M136" i="8"/>
  <c r="L136" i="8"/>
  <c r="J136" i="8"/>
  <c r="M135" i="8"/>
  <c r="L135" i="8"/>
  <c r="J135" i="8"/>
  <c r="M134" i="8"/>
  <c r="L134" i="8"/>
  <c r="J134" i="8"/>
  <c r="M133" i="8"/>
  <c r="L133" i="8"/>
  <c r="J133" i="8"/>
  <c r="M132" i="8"/>
  <c r="L132" i="8"/>
  <c r="J132" i="8"/>
  <c r="M131" i="8"/>
  <c r="L131" i="8"/>
  <c r="J131" i="8"/>
  <c r="M130" i="8"/>
  <c r="L130" i="8"/>
  <c r="J130" i="8"/>
  <c r="M129" i="8"/>
  <c r="L129" i="8"/>
  <c r="J129" i="8"/>
  <c r="M128" i="8"/>
  <c r="L128" i="8"/>
  <c r="J128" i="8"/>
  <c r="M127" i="8"/>
  <c r="L127" i="8"/>
  <c r="J127" i="8"/>
  <c r="M126" i="8"/>
  <c r="L126" i="8"/>
  <c r="J126" i="8"/>
  <c r="M125" i="8"/>
  <c r="L125" i="8"/>
  <c r="J125" i="8"/>
  <c r="M124" i="8"/>
  <c r="L124" i="8"/>
  <c r="J124" i="8"/>
  <c r="M123" i="8"/>
  <c r="L123" i="8"/>
  <c r="J123" i="8"/>
  <c r="M122" i="8"/>
  <c r="L122" i="8"/>
  <c r="J122" i="8"/>
  <c r="M121" i="8"/>
  <c r="L121" i="8"/>
  <c r="J121" i="8"/>
  <c r="M120" i="8"/>
  <c r="L120" i="8"/>
  <c r="J120" i="8"/>
  <c r="M119" i="8"/>
  <c r="L119" i="8"/>
  <c r="J119" i="8"/>
  <c r="M118" i="8"/>
  <c r="L118" i="8"/>
  <c r="J118" i="8"/>
  <c r="M117" i="8"/>
  <c r="L117" i="8"/>
  <c r="J117" i="8"/>
  <c r="M116" i="8"/>
  <c r="L116" i="8"/>
  <c r="J116" i="8"/>
  <c r="M115" i="8"/>
  <c r="L115" i="8"/>
  <c r="J115" i="8"/>
  <c r="M114" i="8"/>
  <c r="L114" i="8"/>
  <c r="J114" i="8"/>
  <c r="M113" i="8"/>
  <c r="L113" i="8"/>
  <c r="J113" i="8"/>
  <c r="M112" i="8"/>
  <c r="L112" i="8"/>
  <c r="J112" i="8"/>
  <c r="M111" i="8"/>
  <c r="L111" i="8"/>
  <c r="J111" i="8"/>
  <c r="M110" i="8"/>
  <c r="L110" i="8"/>
  <c r="J110" i="8"/>
  <c r="M109" i="8"/>
  <c r="L109" i="8"/>
  <c r="J109" i="8"/>
  <c r="M108" i="8"/>
  <c r="L108" i="8"/>
  <c r="J108" i="8"/>
  <c r="M107" i="8"/>
  <c r="L107" i="8"/>
  <c r="J107" i="8"/>
  <c r="M106" i="8"/>
  <c r="L106" i="8"/>
  <c r="J106" i="8"/>
  <c r="M105" i="8"/>
  <c r="L105" i="8"/>
  <c r="J105" i="8"/>
  <c r="M104" i="8"/>
  <c r="L104" i="8"/>
  <c r="J104" i="8"/>
  <c r="M103" i="8"/>
  <c r="L103" i="8"/>
  <c r="J103" i="8"/>
  <c r="M102" i="8"/>
  <c r="L102" i="8"/>
  <c r="J102" i="8"/>
  <c r="M101" i="8"/>
  <c r="L101" i="8"/>
  <c r="J101" i="8"/>
  <c r="M100" i="8"/>
  <c r="L100" i="8"/>
  <c r="J100" i="8"/>
  <c r="M99" i="8"/>
  <c r="L99" i="8"/>
  <c r="J99" i="8"/>
  <c r="M98" i="8"/>
  <c r="L98" i="8"/>
  <c r="J98" i="8"/>
  <c r="M97" i="8"/>
  <c r="L97" i="8"/>
  <c r="J97" i="8"/>
  <c r="M96" i="8"/>
  <c r="L96" i="8"/>
  <c r="J96" i="8"/>
  <c r="M95" i="8"/>
  <c r="L95" i="8"/>
  <c r="J95" i="8"/>
  <c r="M94" i="8"/>
  <c r="L94" i="8"/>
  <c r="J94" i="8"/>
  <c r="M93" i="8"/>
  <c r="L93" i="8"/>
  <c r="J93" i="8"/>
  <c r="M92" i="8"/>
  <c r="L92" i="8"/>
  <c r="J92" i="8"/>
  <c r="M91" i="8"/>
  <c r="L91" i="8"/>
  <c r="J91" i="8"/>
  <c r="M90" i="8"/>
  <c r="L90" i="8"/>
  <c r="J90" i="8"/>
  <c r="M89" i="8"/>
  <c r="L89" i="8"/>
  <c r="J89" i="8"/>
  <c r="M88" i="8"/>
  <c r="L88" i="8"/>
  <c r="J88" i="8"/>
  <c r="M87" i="8"/>
  <c r="L87" i="8"/>
  <c r="J87" i="8"/>
  <c r="M86" i="8"/>
  <c r="L86" i="8"/>
  <c r="J86" i="8"/>
  <c r="M85" i="8"/>
  <c r="L85" i="8"/>
  <c r="J85" i="8"/>
  <c r="M84" i="8"/>
  <c r="L84" i="8"/>
  <c r="J84" i="8"/>
  <c r="M83" i="8"/>
  <c r="L83" i="8"/>
  <c r="J83" i="8"/>
  <c r="M82" i="8"/>
  <c r="L82" i="8"/>
  <c r="J82" i="8"/>
  <c r="M81" i="8"/>
  <c r="L81" i="8"/>
  <c r="J81" i="8"/>
  <c r="M80" i="8"/>
  <c r="L80" i="8"/>
  <c r="J80" i="8"/>
  <c r="M79" i="8"/>
  <c r="L79" i="8"/>
  <c r="J79" i="8"/>
  <c r="M78" i="8"/>
  <c r="L78" i="8"/>
  <c r="J78" i="8"/>
  <c r="M77" i="8"/>
  <c r="L77" i="8"/>
  <c r="J77" i="8"/>
  <c r="M76" i="8"/>
  <c r="L76" i="8"/>
  <c r="J76" i="8"/>
  <c r="M75" i="8"/>
  <c r="L75" i="8"/>
  <c r="J75" i="8"/>
  <c r="M74" i="8"/>
  <c r="L74" i="8"/>
  <c r="J74" i="8"/>
  <c r="M73" i="8"/>
  <c r="L73" i="8"/>
  <c r="J73" i="8"/>
  <c r="M72" i="8"/>
  <c r="L72" i="8"/>
  <c r="J72" i="8"/>
  <c r="M71" i="8"/>
  <c r="L71" i="8"/>
  <c r="J71" i="8"/>
  <c r="M70" i="8"/>
  <c r="L70" i="8"/>
  <c r="J70" i="8"/>
  <c r="M69" i="8"/>
  <c r="L69" i="8"/>
  <c r="J69" i="8"/>
  <c r="M68" i="8"/>
  <c r="L68" i="8"/>
  <c r="J68" i="8"/>
  <c r="M67" i="8"/>
  <c r="L67" i="8"/>
  <c r="J67" i="8"/>
  <c r="M66" i="8"/>
  <c r="L66" i="8"/>
  <c r="J66" i="8"/>
  <c r="M65" i="8"/>
  <c r="L65" i="8"/>
  <c r="J65" i="8"/>
  <c r="M64" i="8"/>
  <c r="L64" i="8"/>
  <c r="J64" i="8"/>
  <c r="M63" i="8"/>
  <c r="L63" i="8"/>
  <c r="J63" i="8"/>
  <c r="M62" i="8"/>
  <c r="L62" i="8"/>
  <c r="J62" i="8"/>
  <c r="M61" i="8"/>
  <c r="L61" i="8"/>
  <c r="J61" i="8"/>
  <c r="M60" i="8"/>
  <c r="L60" i="8"/>
  <c r="J60" i="8"/>
  <c r="M59" i="8"/>
  <c r="L59" i="8"/>
  <c r="J59" i="8"/>
  <c r="M58" i="8"/>
  <c r="L58" i="8"/>
  <c r="J58" i="8"/>
  <c r="M57" i="8"/>
  <c r="L57" i="8"/>
  <c r="J57" i="8"/>
  <c r="M56" i="8"/>
  <c r="L56" i="8"/>
  <c r="J56" i="8"/>
  <c r="M55" i="8"/>
  <c r="L55" i="8"/>
  <c r="J55" i="8"/>
  <c r="M54" i="8"/>
  <c r="L54" i="8"/>
  <c r="J54" i="8"/>
  <c r="M53" i="8"/>
  <c r="L53" i="8"/>
  <c r="J53" i="8"/>
  <c r="M52" i="8"/>
  <c r="L52" i="8"/>
  <c r="J52" i="8"/>
  <c r="M51" i="8"/>
  <c r="L51" i="8"/>
  <c r="J51" i="8"/>
  <c r="M50" i="8"/>
  <c r="L50" i="8"/>
  <c r="J50" i="8"/>
  <c r="M49" i="8"/>
  <c r="L49" i="8"/>
  <c r="J49" i="8"/>
  <c r="M48" i="8"/>
  <c r="L48" i="8"/>
  <c r="J48" i="8"/>
  <c r="M47" i="8"/>
  <c r="L47" i="8"/>
  <c r="J47" i="8"/>
  <c r="M46" i="8"/>
  <c r="L46" i="8"/>
  <c r="J46" i="8"/>
  <c r="M45" i="8"/>
  <c r="L45" i="8"/>
  <c r="J45" i="8"/>
  <c r="M44" i="8"/>
  <c r="L44" i="8"/>
  <c r="J44" i="8"/>
  <c r="M43" i="8"/>
  <c r="L43" i="8"/>
  <c r="J43" i="8"/>
  <c r="M42" i="8"/>
  <c r="L42" i="8"/>
  <c r="J42" i="8"/>
  <c r="M41" i="8"/>
  <c r="L41" i="8"/>
  <c r="J41" i="8"/>
  <c r="M40" i="8"/>
  <c r="L40" i="8"/>
  <c r="J40" i="8"/>
  <c r="M39" i="8"/>
  <c r="L39" i="8"/>
  <c r="J39" i="8"/>
  <c r="M38" i="8"/>
  <c r="L38" i="8"/>
  <c r="J38" i="8"/>
  <c r="M37" i="8"/>
  <c r="L37" i="8"/>
  <c r="J37" i="8"/>
  <c r="M36" i="8"/>
  <c r="L36" i="8"/>
  <c r="J36" i="8"/>
  <c r="M35" i="8"/>
  <c r="L35" i="8"/>
  <c r="J35" i="8"/>
  <c r="M34" i="8"/>
  <c r="L34" i="8"/>
  <c r="J34" i="8"/>
  <c r="M33" i="8"/>
  <c r="L33" i="8"/>
  <c r="J33" i="8"/>
  <c r="M32" i="8"/>
  <c r="L32" i="8"/>
  <c r="J32" i="8"/>
  <c r="M31" i="8"/>
  <c r="L31" i="8"/>
  <c r="J31" i="8"/>
  <c r="M30" i="8"/>
  <c r="L30" i="8"/>
  <c r="J30" i="8"/>
  <c r="M29" i="8"/>
  <c r="L29" i="8"/>
  <c r="J29" i="8"/>
  <c r="M28" i="8"/>
  <c r="L28" i="8"/>
  <c r="J28" i="8"/>
  <c r="M27" i="8"/>
  <c r="L27" i="8"/>
  <c r="J27" i="8"/>
  <c r="M26" i="8"/>
  <c r="L26" i="8"/>
  <c r="J26" i="8"/>
  <c r="M25" i="8"/>
  <c r="L25" i="8"/>
  <c r="J25" i="8"/>
  <c r="M24" i="8"/>
  <c r="L24" i="8"/>
  <c r="J24" i="8"/>
  <c r="M23" i="8"/>
  <c r="L23" i="8"/>
  <c r="J23" i="8"/>
  <c r="M22" i="8"/>
  <c r="L22" i="8"/>
  <c r="J22" i="8"/>
  <c r="AL21" i="8"/>
  <c r="M21" i="8"/>
  <c r="L21" i="8"/>
  <c r="J21" i="8"/>
  <c r="M20" i="8"/>
  <c r="L20" i="8"/>
  <c r="J20" i="8"/>
  <c r="M19" i="8"/>
  <c r="L19" i="8"/>
  <c r="J19" i="8"/>
  <c r="M18" i="8"/>
  <c r="L18" i="8"/>
  <c r="J18" i="8"/>
  <c r="M17" i="8"/>
  <c r="L17" i="8"/>
  <c r="J17" i="8"/>
  <c r="M16" i="8"/>
  <c r="L16" i="8"/>
  <c r="J16" i="8"/>
  <c r="M15" i="8"/>
  <c r="L15" i="8"/>
  <c r="J15" i="8"/>
  <c r="M14" i="8"/>
  <c r="L14" i="8"/>
  <c r="J14" i="8"/>
  <c r="M13" i="8"/>
  <c r="L13" i="8"/>
  <c r="J13" i="8"/>
  <c r="M12" i="8"/>
  <c r="L12" i="8"/>
  <c r="J12" i="8"/>
  <c r="M11" i="8"/>
  <c r="L11" i="8"/>
  <c r="J11" i="8"/>
  <c r="M10" i="8"/>
  <c r="L10" i="8"/>
  <c r="J10" i="8"/>
  <c r="AN9" i="8"/>
  <c r="AM9" i="8"/>
  <c r="M9" i="8"/>
  <c r="L9" i="8"/>
  <c r="J9" i="8"/>
  <c r="AN8" i="8"/>
  <c r="AM8" i="8"/>
  <c r="AL8" i="8"/>
  <c r="M8" i="8"/>
  <c r="L8" i="8"/>
  <c r="J8" i="8"/>
  <c r="M7" i="8"/>
  <c r="L7" i="8"/>
  <c r="J7" i="8"/>
  <c r="O246" i="7"/>
  <c r="O245" i="7"/>
  <c r="O244" i="7"/>
  <c r="O243" i="7"/>
  <c r="O242" i="7"/>
  <c r="O241" i="7"/>
  <c r="O240" i="7"/>
  <c r="O239" i="7"/>
  <c r="O238" i="7"/>
  <c r="O237" i="7"/>
  <c r="O236" i="7"/>
  <c r="O235" i="7"/>
  <c r="O234" i="7"/>
  <c r="O233" i="7"/>
  <c r="O232" i="7"/>
  <c r="O231" i="7"/>
  <c r="O230" i="7"/>
  <c r="O229" i="7"/>
  <c r="O228" i="7"/>
  <c r="O227" i="7"/>
  <c r="O226" i="7"/>
  <c r="O225" i="7"/>
  <c r="O224" i="7"/>
  <c r="O223" i="7"/>
  <c r="O222" i="7"/>
  <c r="O221" i="7"/>
  <c r="O220" i="7"/>
  <c r="O219" i="7"/>
  <c r="O218" i="7"/>
  <c r="O217" i="7"/>
  <c r="O216" i="7"/>
  <c r="O215" i="7"/>
  <c r="O214" i="7"/>
  <c r="O213" i="7"/>
  <c r="O212" i="7"/>
  <c r="O211" i="7"/>
  <c r="O210" i="7"/>
  <c r="O209" i="7"/>
  <c r="O208" i="7"/>
  <c r="O207" i="7"/>
  <c r="O206" i="7"/>
  <c r="O205" i="7"/>
  <c r="O204" i="7"/>
  <c r="O203" i="7"/>
  <c r="O202" i="7"/>
  <c r="O201" i="7"/>
  <c r="O200" i="7"/>
  <c r="O199" i="7"/>
  <c r="O198" i="7"/>
  <c r="O197" i="7"/>
  <c r="O196" i="7"/>
  <c r="O195" i="7"/>
  <c r="O194" i="7"/>
  <c r="O193" i="7"/>
  <c r="O192" i="7"/>
  <c r="O191" i="7"/>
  <c r="O190" i="7"/>
  <c r="O189" i="7"/>
  <c r="O188" i="7"/>
  <c r="O187" i="7"/>
  <c r="O186" i="7"/>
  <c r="O185" i="7"/>
  <c r="O184" i="7"/>
  <c r="O183" i="7"/>
  <c r="O182" i="7"/>
  <c r="O181" i="7"/>
  <c r="O180" i="7"/>
  <c r="O179" i="7"/>
  <c r="O178" i="7"/>
  <c r="O177" i="7"/>
  <c r="O176" i="7"/>
  <c r="O175" i="7"/>
  <c r="O174" i="7"/>
  <c r="O173" i="7"/>
  <c r="O172" i="7"/>
  <c r="O171" i="7"/>
  <c r="O170" i="7"/>
  <c r="O169" i="7"/>
  <c r="O168" i="7"/>
  <c r="O167" i="7"/>
  <c r="O166" i="7"/>
  <c r="O165" i="7"/>
  <c r="O164" i="7"/>
  <c r="O163" i="7"/>
  <c r="O162" i="7"/>
  <c r="O161" i="7"/>
  <c r="O160" i="7"/>
  <c r="O159" i="7"/>
  <c r="O158" i="7"/>
  <c r="O157" i="7"/>
  <c r="O156" i="7"/>
  <c r="O155" i="7"/>
  <c r="O154" i="7"/>
  <c r="O153" i="7"/>
  <c r="O152" i="7"/>
  <c r="O151" i="7"/>
  <c r="O150" i="7"/>
  <c r="O149" i="7"/>
  <c r="O148" i="7"/>
  <c r="O147" i="7"/>
  <c r="O146" i="7"/>
  <c r="O145" i="7"/>
  <c r="O144" i="7"/>
  <c r="O143" i="7"/>
  <c r="O142" i="7"/>
  <c r="O141" i="7"/>
  <c r="O140" i="7"/>
  <c r="O139" i="7"/>
  <c r="O138" i="7"/>
  <c r="O137" i="7"/>
  <c r="O136" i="7"/>
  <c r="O135" i="7"/>
  <c r="O134" i="7"/>
  <c r="O133" i="7"/>
  <c r="O132" i="7"/>
  <c r="O131" i="7"/>
  <c r="O130" i="7"/>
  <c r="O129" i="7"/>
  <c r="O128" i="7"/>
  <c r="O127" i="7"/>
  <c r="O126" i="7"/>
  <c r="O125" i="7"/>
  <c r="O124" i="7"/>
  <c r="O123" i="7"/>
  <c r="O122" i="7"/>
  <c r="O121" i="7"/>
  <c r="O120" i="7"/>
  <c r="O119" i="7"/>
  <c r="O118" i="7"/>
  <c r="O117" i="7"/>
  <c r="O116" i="7"/>
  <c r="O115" i="7"/>
  <c r="O114" i="7"/>
  <c r="O113" i="7"/>
  <c r="O112" i="7"/>
  <c r="O111" i="7"/>
  <c r="O110" i="7"/>
  <c r="O109" i="7"/>
  <c r="O108" i="7"/>
  <c r="O107" i="7"/>
  <c r="O106" i="7"/>
  <c r="O105" i="7"/>
  <c r="O104" i="7"/>
  <c r="O103" i="7"/>
  <c r="O102" i="7"/>
  <c r="O101" i="7"/>
  <c r="O100" i="7"/>
  <c r="O99" i="7"/>
  <c r="O98" i="7"/>
  <c r="O97" i="7"/>
  <c r="O96" i="7"/>
  <c r="O95" i="7"/>
  <c r="O94" i="7"/>
  <c r="O93" i="7"/>
  <c r="O92" i="7"/>
  <c r="O91" i="7"/>
  <c r="O90" i="7"/>
  <c r="O89" i="7"/>
  <c r="O88" i="7"/>
  <c r="O87" i="7"/>
  <c r="O86" i="7"/>
  <c r="O85" i="7"/>
  <c r="O84" i="7"/>
  <c r="O83" i="7"/>
  <c r="O82" i="7"/>
  <c r="O81" i="7"/>
  <c r="O80" i="7"/>
  <c r="O79" i="7"/>
  <c r="O78" i="7"/>
  <c r="O77" i="7"/>
  <c r="O76"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V16" i="7"/>
  <c r="V14" i="7"/>
  <c r="V15" i="7"/>
  <c r="V25" i="7"/>
  <c r="V20" i="7"/>
  <c r="V17" i="7"/>
  <c r="V13" i="7" l="1"/>
  <c r="O141" i="8"/>
  <c r="N143" i="8"/>
  <c r="R143" i="8" s="1"/>
  <c r="N142" i="8"/>
  <c r="R142" i="8" s="1"/>
  <c r="O145" i="8"/>
  <c r="O140" i="8"/>
  <c r="N141" i="8"/>
  <c r="R141" i="8" s="1"/>
  <c r="O144" i="8"/>
  <c r="O142" i="8"/>
  <c r="N139" i="8"/>
  <c r="R139" i="8" s="1"/>
  <c r="O143" i="8"/>
  <c r="P143" i="8" s="1"/>
  <c r="Q143" i="8" s="1"/>
  <c r="N144" i="8"/>
  <c r="R144" i="8" s="1"/>
  <c r="N140" i="8"/>
  <c r="R140" i="8" s="1"/>
  <c r="N145" i="8"/>
  <c r="R145" i="8" s="1"/>
  <c r="O139" i="8"/>
  <c r="N12" i="8"/>
  <c r="R12" i="8" s="1"/>
  <c r="N30" i="8"/>
  <c r="R30" i="8" s="1"/>
  <c r="S13" i="7"/>
  <c r="W17" i="7" s="1"/>
  <c r="AN14" i="8" s="1"/>
  <c r="N33" i="8"/>
  <c r="R33" i="8" s="1"/>
  <c r="N35" i="8"/>
  <c r="R35" i="8" s="1"/>
  <c r="O25" i="8"/>
  <c r="O10" i="8"/>
  <c r="N22" i="8"/>
  <c r="R22" i="8" s="1"/>
  <c r="N32" i="8"/>
  <c r="R32" i="8" s="1"/>
  <c r="O36" i="8"/>
  <c r="N15" i="8"/>
  <c r="R15" i="8" s="1"/>
  <c r="AM12" i="8"/>
  <c r="AM14" i="8"/>
  <c r="V19" i="7"/>
  <c r="AM22" i="8"/>
  <c r="AM11" i="8"/>
  <c r="AM17" i="8"/>
  <c r="V21" i="7"/>
  <c r="AM13" i="8"/>
  <c r="O51" i="8"/>
  <c r="O79" i="8"/>
  <c r="O107" i="8"/>
  <c r="O119" i="8"/>
  <c r="N8" i="8"/>
  <c r="R8" i="8" s="1"/>
  <c r="O40" i="8"/>
  <c r="O56" i="8"/>
  <c r="O80" i="8"/>
  <c r="O100" i="8"/>
  <c r="O132" i="8"/>
  <c r="O37" i="8"/>
  <c r="O47" i="8"/>
  <c r="O71" i="8"/>
  <c r="O99" i="8"/>
  <c r="O115" i="8"/>
  <c r="N36" i="8"/>
  <c r="R36" i="8" s="1"/>
  <c r="O44" i="8"/>
  <c r="O72" i="8"/>
  <c r="O92" i="8"/>
  <c r="O108" i="8"/>
  <c r="O136" i="8"/>
  <c r="O11" i="8"/>
  <c r="N11" i="8"/>
  <c r="R11" i="8" s="1"/>
  <c r="O16" i="8"/>
  <c r="N18" i="8"/>
  <c r="R18" i="8" s="1"/>
  <c r="O21" i="8"/>
  <c r="N26" i="8"/>
  <c r="R26" i="8" s="1"/>
  <c r="O29" i="8"/>
  <c r="O59" i="8"/>
  <c r="O87" i="8"/>
  <c r="O111" i="8"/>
  <c r="O20" i="8"/>
  <c r="N10" i="8"/>
  <c r="R10" i="8" s="1"/>
  <c r="O15" i="8"/>
  <c r="O34" i="8"/>
  <c r="O52" i="8"/>
  <c r="O76" i="8"/>
  <c r="O96" i="8"/>
  <c r="O116" i="8"/>
  <c r="O124" i="8"/>
  <c r="N134" i="8"/>
  <c r="R134" i="8" s="1"/>
  <c r="N9" i="8"/>
  <c r="R9" i="8" s="1"/>
  <c r="O32" i="8"/>
  <c r="O41" i="8"/>
  <c r="O45" i="8"/>
  <c r="O49" i="8"/>
  <c r="O53" i="8"/>
  <c r="O57" i="8"/>
  <c r="O61" i="8"/>
  <c r="O65" i="8"/>
  <c r="O69" i="8"/>
  <c r="O73" i="8"/>
  <c r="O77" i="8"/>
  <c r="O81" i="8"/>
  <c r="O85" i="8"/>
  <c r="O89" i="8"/>
  <c r="O93" i="8"/>
  <c r="O97" i="8"/>
  <c r="O101" i="8"/>
  <c r="O105" i="8"/>
  <c r="O109" i="8"/>
  <c r="O113" i="8"/>
  <c r="O117" i="8"/>
  <c r="O121" i="8"/>
  <c r="O125" i="8"/>
  <c r="O129" i="8"/>
  <c r="O133" i="8"/>
  <c r="O137" i="8"/>
  <c r="O43" i="8"/>
  <c r="O67" i="8"/>
  <c r="O95" i="8"/>
  <c r="O135" i="8"/>
  <c r="N25" i="8"/>
  <c r="R25" i="8" s="1"/>
  <c r="O23" i="8"/>
  <c r="O48" i="8"/>
  <c r="O68" i="8"/>
  <c r="O88" i="8"/>
  <c r="O112" i="8"/>
  <c r="O128" i="8"/>
  <c r="N16" i="8"/>
  <c r="R16" i="8" s="1"/>
  <c r="N21" i="8"/>
  <c r="R21" i="8" s="1"/>
  <c r="N29" i="8"/>
  <c r="R29" i="8" s="1"/>
  <c r="O35" i="8"/>
  <c r="O55" i="8"/>
  <c r="O75" i="8"/>
  <c r="O103" i="8"/>
  <c r="O123" i="8"/>
  <c r="O31" i="8"/>
  <c r="O13" i="8"/>
  <c r="O60" i="8"/>
  <c r="O84" i="8"/>
  <c r="O104" i="8"/>
  <c r="O120" i="8"/>
  <c r="O9" i="8"/>
  <c r="O14" i="8"/>
  <c r="O19" i="8"/>
  <c r="O38" i="8"/>
  <c r="O39" i="8"/>
  <c r="O83" i="8"/>
  <c r="O127" i="8"/>
  <c r="O18" i="8"/>
  <c r="O7" i="8"/>
  <c r="N24" i="8"/>
  <c r="R24" i="8" s="1"/>
  <c r="O27" i="8"/>
  <c r="O30" i="8"/>
  <c r="O42" i="8"/>
  <c r="O46" i="8"/>
  <c r="O50" i="8"/>
  <c r="O54" i="8"/>
  <c r="O58" i="8"/>
  <c r="O62" i="8"/>
  <c r="O66" i="8"/>
  <c r="O70" i="8"/>
  <c r="O74" i="8"/>
  <c r="O78" i="8"/>
  <c r="O82" i="8"/>
  <c r="O86" i="8"/>
  <c r="O90" i="8"/>
  <c r="O94" i="8"/>
  <c r="O98" i="8"/>
  <c r="O102" i="8"/>
  <c r="O106" i="8"/>
  <c r="O110" i="8"/>
  <c r="O114" i="8"/>
  <c r="O118" i="8"/>
  <c r="O122" i="8"/>
  <c r="O126" i="8"/>
  <c r="O130" i="8"/>
  <c r="O134" i="8"/>
  <c r="O138" i="8"/>
  <c r="O63" i="8"/>
  <c r="O91" i="8"/>
  <c r="O131" i="8"/>
  <c r="O64" i="8"/>
  <c r="N113" i="8"/>
  <c r="R113" i="8" s="1"/>
  <c r="N104" i="8"/>
  <c r="R104" i="8" s="1"/>
  <c r="N98" i="8"/>
  <c r="R98" i="8" s="1"/>
  <c r="N92" i="8"/>
  <c r="R92" i="8" s="1"/>
  <c r="N83" i="8"/>
  <c r="R83" i="8" s="1"/>
  <c r="N77" i="8"/>
  <c r="R77" i="8" s="1"/>
  <c r="N71" i="8"/>
  <c r="R71" i="8" s="1"/>
  <c r="N65" i="8"/>
  <c r="R65" i="8" s="1"/>
  <c r="N59" i="8"/>
  <c r="R59" i="8" s="1"/>
  <c r="N53" i="8"/>
  <c r="R53" i="8" s="1"/>
  <c r="N44" i="8"/>
  <c r="R44" i="8" s="1"/>
  <c r="N41" i="8"/>
  <c r="R41" i="8" s="1"/>
  <c r="O26" i="8"/>
  <c r="N111" i="8"/>
  <c r="R111" i="8" s="1"/>
  <c r="N108" i="8"/>
  <c r="R108" i="8" s="1"/>
  <c r="N102" i="8"/>
  <c r="R102" i="8" s="1"/>
  <c r="N96" i="8"/>
  <c r="R96" i="8" s="1"/>
  <c r="N90" i="8"/>
  <c r="R90" i="8" s="1"/>
  <c r="N84" i="8"/>
  <c r="R84" i="8" s="1"/>
  <c r="N81" i="8"/>
  <c r="R81" i="8" s="1"/>
  <c r="N75" i="8"/>
  <c r="R75" i="8" s="1"/>
  <c r="N69" i="8"/>
  <c r="R69" i="8" s="1"/>
  <c r="N63" i="8"/>
  <c r="R63" i="8" s="1"/>
  <c r="N57" i="8"/>
  <c r="R57" i="8" s="1"/>
  <c r="N51" i="8"/>
  <c r="R51" i="8" s="1"/>
  <c r="N45" i="8"/>
  <c r="R45" i="8" s="1"/>
  <c r="N39" i="8"/>
  <c r="R39" i="8" s="1"/>
  <c r="N114" i="8"/>
  <c r="R114" i="8" s="1"/>
  <c r="N105" i="8"/>
  <c r="R105" i="8" s="1"/>
  <c r="N99" i="8"/>
  <c r="R99" i="8" s="1"/>
  <c r="N93" i="8"/>
  <c r="R93" i="8" s="1"/>
  <c r="N87" i="8"/>
  <c r="R87" i="8" s="1"/>
  <c r="N78" i="8"/>
  <c r="R78" i="8" s="1"/>
  <c r="N72" i="8"/>
  <c r="R72" i="8" s="1"/>
  <c r="N66" i="8"/>
  <c r="R66" i="8" s="1"/>
  <c r="N60" i="8"/>
  <c r="R60" i="8" s="1"/>
  <c r="N54" i="8"/>
  <c r="R54" i="8" s="1"/>
  <c r="N48" i="8"/>
  <c r="R48" i="8" s="1"/>
  <c r="N42" i="8"/>
  <c r="R42" i="8" s="1"/>
  <c r="N7" i="8"/>
  <c r="R7" i="8" s="1"/>
  <c r="N28" i="8"/>
  <c r="R28" i="8" s="1"/>
  <c r="N110" i="8"/>
  <c r="R110" i="8" s="1"/>
  <c r="N107" i="8"/>
  <c r="R107" i="8" s="1"/>
  <c r="N101" i="8"/>
  <c r="R101" i="8" s="1"/>
  <c r="N95" i="8"/>
  <c r="R95" i="8" s="1"/>
  <c r="N89" i="8"/>
  <c r="R89" i="8" s="1"/>
  <c r="N86" i="8"/>
  <c r="R86" i="8" s="1"/>
  <c r="N80" i="8"/>
  <c r="R80" i="8" s="1"/>
  <c r="N74" i="8"/>
  <c r="R74" i="8" s="1"/>
  <c r="N68" i="8"/>
  <c r="R68" i="8" s="1"/>
  <c r="N62" i="8"/>
  <c r="R62" i="8" s="1"/>
  <c r="N56" i="8"/>
  <c r="R56" i="8" s="1"/>
  <c r="N50" i="8"/>
  <c r="R50" i="8" s="1"/>
  <c r="N47" i="8"/>
  <c r="R47" i="8" s="1"/>
  <c r="N137" i="8"/>
  <c r="R137" i="8" s="1"/>
  <c r="O12" i="8"/>
  <c r="O17" i="8"/>
  <c r="N17" i="8"/>
  <c r="R17" i="8" s="1"/>
  <c r="O33" i="8"/>
  <c r="N38" i="8"/>
  <c r="R38" i="8" s="1"/>
  <c r="N116" i="8"/>
  <c r="R116" i="8" s="1"/>
  <c r="N122" i="8"/>
  <c r="R122" i="8" s="1"/>
  <c r="N125" i="8"/>
  <c r="R125" i="8" s="1"/>
  <c r="N131" i="8"/>
  <c r="R131" i="8" s="1"/>
  <c r="O28" i="8"/>
  <c r="N31" i="8"/>
  <c r="R31" i="8" s="1"/>
  <c r="N34" i="8"/>
  <c r="R34" i="8" s="1"/>
  <c r="N37" i="8"/>
  <c r="R37" i="8" s="1"/>
  <c r="N40" i="8"/>
  <c r="R40" i="8" s="1"/>
  <c r="N43" i="8"/>
  <c r="R43" i="8" s="1"/>
  <c r="N46" i="8"/>
  <c r="R46" i="8" s="1"/>
  <c r="N49" i="8"/>
  <c r="R49" i="8" s="1"/>
  <c r="N52" i="8"/>
  <c r="R52" i="8" s="1"/>
  <c r="N55" i="8"/>
  <c r="R55" i="8" s="1"/>
  <c r="N58" i="8"/>
  <c r="R58" i="8" s="1"/>
  <c r="N61" i="8"/>
  <c r="R61" i="8" s="1"/>
  <c r="N64" i="8"/>
  <c r="R64" i="8" s="1"/>
  <c r="N67" i="8"/>
  <c r="R67" i="8" s="1"/>
  <c r="N70" i="8"/>
  <c r="R70" i="8" s="1"/>
  <c r="N73" i="8"/>
  <c r="R73" i="8" s="1"/>
  <c r="N76" i="8"/>
  <c r="R76" i="8" s="1"/>
  <c r="N79" i="8"/>
  <c r="R79" i="8" s="1"/>
  <c r="N82" i="8"/>
  <c r="R82" i="8" s="1"/>
  <c r="N85" i="8"/>
  <c r="R85" i="8" s="1"/>
  <c r="N88" i="8"/>
  <c r="R88" i="8" s="1"/>
  <c r="N91" i="8"/>
  <c r="R91" i="8" s="1"/>
  <c r="N94" i="8"/>
  <c r="R94" i="8" s="1"/>
  <c r="N97" i="8"/>
  <c r="R97" i="8" s="1"/>
  <c r="N100" i="8"/>
  <c r="R100" i="8" s="1"/>
  <c r="N103" i="8"/>
  <c r="R103" i="8" s="1"/>
  <c r="N106" i="8"/>
  <c r="R106" i="8" s="1"/>
  <c r="N109" i="8"/>
  <c r="R109" i="8" s="1"/>
  <c r="N112" i="8"/>
  <c r="R112" i="8" s="1"/>
  <c r="N115" i="8"/>
  <c r="R115" i="8" s="1"/>
  <c r="N118" i="8"/>
  <c r="R118" i="8" s="1"/>
  <c r="N121" i="8"/>
  <c r="R121" i="8" s="1"/>
  <c r="N124" i="8"/>
  <c r="R124" i="8" s="1"/>
  <c r="N127" i="8"/>
  <c r="R127" i="8" s="1"/>
  <c r="N130" i="8"/>
  <c r="R130" i="8" s="1"/>
  <c r="N133" i="8"/>
  <c r="R133" i="8" s="1"/>
  <c r="N136" i="8"/>
  <c r="R136" i="8" s="1"/>
  <c r="O24" i="8"/>
  <c r="O8" i="8"/>
  <c r="N14" i="8"/>
  <c r="R14" i="8" s="1"/>
  <c r="N20" i="8"/>
  <c r="R20" i="8" s="1"/>
  <c r="N13" i="8"/>
  <c r="R13" i="8" s="1"/>
  <c r="N19" i="8"/>
  <c r="R19" i="8" s="1"/>
  <c r="N23" i="8"/>
  <c r="R23" i="8" s="1"/>
  <c r="N27" i="8"/>
  <c r="R27" i="8" s="1"/>
  <c r="N120" i="8"/>
  <c r="R120" i="8" s="1"/>
  <c r="N126" i="8"/>
  <c r="R126" i="8" s="1"/>
  <c r="N135" i="8"/>
  <c r="R135" i="8" s="1"/>
  <c r="N138" i="8"/>
  <c r="R138" i="8" s="1"/>
  <c r="N117" i="8"/>
  <c r="R117" i="8" s="1"/>
  <c r="N123" i="8"/>
  <c r="R123" i="8" s="1"/>
  <c r="N129" i="8"/>
  <c r="R129" i="8" s="1"/>
  <c r="N132" i="8"/>
  <c r="R132" i="8" s="1"/>
  <c r="O22" i="8"/>
  <c r="N119" i="8"/>
  <c r="R119" i="8" s="1"/>
  <c r="N128" i="8"/>
  <c r="R128" i="8" s="1"/>
  <c r="AM10" i="8" l="1"/>
  <c r="W16" i="7"/>
  <c r="AN13" i="8" s="1"/>
  <c r="W18" i="7"/>
  <c r="AN15" i="8" s="1"/>
  <c r="P142" i="8"/>
  <c r="Q142" i="8" s="1"/>
  <c r="W20" i="7"/>
  <c r="AN17" i="8" s="1"/>
  <c r="W15" i="7"/>
  <c r="AN12" i="8" s="1"/>
  <c r="P141" i="8"/>
  <c r="Q141" i="8" s="1"/>
  <c r="P144" i="8"/>
  <c r="Q144" i="8" s="1"/>
  <c r="P140" i="8"/>
  <c r="Q140" i="8" s="1"/>
  <c r="P145" i="8"/>
  <c r="Q145" i="8" s="1"/>
  <c r="P139" i="8"/>
  <c r="Q139" i="8" s="1"/>
  <c r="P90" i="8"/>
  <c r="Q90" i="8" s="1"/>
  <c r="P134" i="8"/>
  <c r="Q134" i="8" s="1"/>
  <c r="P30" i="8"/>
  <c r="Q30" i="8" s="1"/>
  <c r="P12" i="8"/>
  <c r="Q12" i="8" s="1"/>
  <c r="P35" i="8"/>
  <c r="Q35" i="8" s="1"/>
  <c r="P8" i="8"/>
  <c r="Q8" i="8" s="1"/>
  <c r="P16" i="8"/>
  <c r="Q16" i="8" s="1"/>
  <c r="P126" i="8"/>
  <c r="Q126" i="8" s="1"/>
  <c r="P26" i="8"/>
  <c r="Q26" i="8" s="1"/>
  <c r="W14" i="7"/>
  <c r="AN11" i="8" s="1"/>
  <c r="W13" i="7"/>
  <c r="AN10" i="8" s="1"/>
  <c r="P28" i="8"/>
  <c r="Q28" i="8" s="1"/>
  <c r="P33" i="8"/>
  <c r="Q33" i="8" s="1"/>
  <c r="P22" i="8"/>
  <c r="Q22" i="8" s="1"/>
  <c r="P95" i="8"/>
  <c r="Q95" i="8" s="1"/>
  <c r="P104" i="8"/>
  <c r="Q104" i="8" s="1"/>
  <c r="P49" i="8"/>
  <c r="Q49" i="8" s="1"/>
  <c r="P15" i="8"/>
  <c r="Q15" i="8" s="1"/>
  <c r="P36" i="8"/>
  <c r="Q36" i="8" s="1"/>
  <c r="P32" i="8"/>
  <c r="Q32" i="8" s="1"/>
  <c r="P78" i="8"/>
  <c r="Q78" i="8" s="1"/>
  <c r="P94" i="8"/>
  <c r="Q94" i="8" s="1"/>
  <c r="P122" i="8"/>
  <c r="Q122" i="8" s="1"/>
  <c r="P67" i="8"/>
  <c r="Q67" i="8" s="1"/>
  <c r="P18" i="8"/>
  <c r="Q18" i="8" s="1"/>
  <c r="P128" i="8"/>
  <c r="Q128" i="8" s="1"/>
  <c r="P85" i="8"/>
  <c r="Q85" i="8" s="1"/>
  <c r="P111" i="8"/>
  <c r="Q111" i="8" s="1"/>
  <c r="P34" i="8"/>
  <c r="Q34" i="8" s="1"/>
  <c r="P31" i="8"/>
  <c r="Q31" i="8" s="1"/>
  <c r="P101" i="8"/>
  <c r="Q101" i="8" s="1"/>
  <c r="P110" i="8"/>
  <c r="Q110" i="8" s="1"/>
  <c r="P62" i="8"/>
  <c r="Q62" i="8" s="1"/>
  <c r="P125" i="8"/>
  <c r="Q125" i="8" s="1"/>
  <c r="P77" i="8"/>
  <c r="Q77" i="8" s="1"/>
  <c r="P103" i="8"/>
  <c r="Q103" i="8" s="1"/>
  <c r="P68" i="8"/>
  <c r="Q68" i="8" s="1"/>
  <c r="P121" i="8"/>
  <c r="Q121" i="8" s="1"/>
  <c r="P73" i="8"/>
  <c r="Q73" i="8" s="1"/>
  <c r="P84" i="8"/>
  <c r="Q84" i="8" s="1"/>
  <c r="P131" i="8"/>
  <c r="Q131" i="8" s="1"/>
  <c r="P102" i="8"/>
  <c r="Q102" i="8" s="1"/>
  <c r="P38" i="8"/>
  <c r="Q38" i="8" s="1"/>
  <c r="P75" i="8"/>
  <c r="Q75" i="8" s="1"/>
  <c r="P48" i="8"/>
  <c r="Q48" i="8" s="1"/>
  <c r="P91" i="8"/>
  <c r="Q91" i="8" s="1"/>
  <c r="P98" i="8"/>
  <c r="Q98" i="8" s="1"/>
  <c r="P55" i="8"/>
  <c r="Q55" i="8" s="1"/>
  <c r="P108" i="8"/>
  <c r="Q108" i="8" s="1"/>
  <c r="P132" i="8"/>
  <c r="Q132" i="8" s="1"/>
  <c r="P83" i="8"/>
  <c r="Q83" i="8" s="1"/>
  <c r="P133" i="8"/>
  <c r="Q133" i="8" s="1"/>
  <c r="P64" i="8"/>
  <c r="Q64" i="8" s="1"/>
  <c r="P106" i="8"/>
  <c r="Q106" i="8" s="1"/>
  <c r="P58" i="8"/>
  <c r="Q58" i="8" s="1"/>
  <c r="P39" i="8"/>
  <c r="Q39" i="8" s="1"/>
  <c r="P123" i="8"/>
  <c r="Q123" i="8" s="1"/>
  <c r="P112" i="8"/>
  <c r="Q112" i="8" s="1"/>
  <c r="P129" i="8"/>
  <c r="Q129" i="8" s="1"/>
  <c r="P81" i="8"/>
  <c r="Q81" i="8" s="1"/>
  <c r="P87" i="8"/>
  <c r="Q87" i="8" s="1"/>
  <c r="P92" i="8"/>
  <c r="Q92" i="8" s="1"/>
  <c r="P100" i="8"/>
  <c r="Q100" i="8" s="1"/>
  <c r="P54" i="8"/>
  <c r="Q54" i="8" s="1"/>
  <c r="P88" i="8"/>
  <c r="Q88" i="8" s="1"/>
  <c r="P59" i="8"/>
  <c r="Q59" i="8" s="1"/>
  <c r="P72" i="8"/>
  <c r="Q72" i="8" s="1"/>
  <c r="P80" i="8"/>
  <c r="Q80" i="8" s="1"/>
  <c r="W21" i="7"/>
  <c r="AM18" i="8"/>
  <c r="P44" i="8"/>
  <c r="Q44" i="8" s="1"/>
  <c r="P56" i="8"/>
  <c r="Q56" i="8" s="1"/>
  <c r="P19" i="8"/>
  <c r="Q19" i="8" s="1"/>
  <c r="P17" i="8"/>
  <c r="Q17" i="8" s="1"/>
  <c r="P63" i="8"/>
  <c r="Q63" i="8" s="1"/>
  <c r="P46" i="8"/>
  <c r="Q46" i="8" s="1"/>
  <c r="P14" i="8"/>
  <c r="Q14" i="8" s="1"/>
  <c r="P117" i="8"/>
  <c r="Q117" i="8" s="1"/>
  <c r="P69" i="8"/>
  <c r="Q69" i="8" s="1"/>
  <c r="P116" i="8"/>
  <c r="Q116" i="8" s="1"/>
  <c r="P29" i="8"/>
  <c r="Q29" i="8" s="1"/>
  <c r="P40" i="8"/>
  <c r="Q40" i="8" s="1"/>
  <c r="P50" i="8"/>
  <c r="Q50" i="8" s="1"/>
  <c r="P124" i="8"/>
  <c r="Q124" i="8" s="1"/>
  <c r="P138" i="8"/>
  <c r="Q138" i="8" s="1"/>
  <c r="P42" i="8"/>
  <c r="Q42" i="8" s="1"/>
  <c r="P9" i="8"/>
  <c r="Q9" i="8" s="1"/>
  <c r="P23" i="8"/>
  <c r="Q23" i="8" s="1"/>
  <c r="P113" i="8"/>
  <c r="Q113" i="8" s="1"/>
  <c r="P65" i="8"/>
  <c r="Q65" i="8" s="1"/>
  <c r="P96" i="8"/>
  <c r="Q96" i="8" s="1"/>
  <c r="P115" i="8"/>
  <c r="Q115" i="8" s="1"/>
  <c r="V28" i="7"/>
  <c r="AM25" i="8" s="1"/>
  <c r="P109" i="8"/>
  <c r="Q109" i="8" s="1"/>
  <c r="P61" i="8"/>
  <c r="Q61" i="8" s="1"/>
  <c r="P76" i="8"/>
  <c r="Q76" i="8" s="1"/>
  <c r="P21" i="8"/>
  <c r="Q21" i="8" s="1"/>
  <c r="P99" i="8"/>
  <c r="Q99" i="8" s="1"/>
  <c r="P119" i="8"/>
  <c r="Q119" i="8" s="1"/>
  <c r="P86" i="8"/>
  <c r="Q86" i="8" s="1"/>
  <c r="P24" i="8"/>
  <c r="Q24" i="8" s="1"/>
  <c r="P130" i="8"/>
  <c r="Q130" i="8" s="1"/>
  <c r="P82" i="8"/>
  <c r="Q82" i="8" s="1"/>
  <c r="P27" i="8"/>
  <c r="Q27" i="8" s="1"/>
  <c r="P120" i="8"/>
  <c r="Q120" i="8" s="1"/>
  <c r="P135" i="8"/>
  <c r="Q135" i="8" s="1"/>
  <c r="P105" i="8"/>
  <c r="Q105" i="8" s="1"/>
  <c r="P57" i="8"/>
  <c r="Q57" i="8" s="1"/>
  <c r="P52" i="8"/>
  <c r="Q52" i="8" s="1"/>
  <c r="P71" i="8"/>
  <c r="Q71" i="8" s="1"/>
  <c r="P107" i="8"/>
  <c r="Q107" i="8" s="1"/>
  <c r="P47" i="8"/>
  <c r="Q47" i="8" s="1"/>
  <c r="P79" i="8"/>
  <c r="Q79" i="8" s="1"/>
  <c r="V22" i="7"/>
  <c r="AM16" i="8"/>
  <c r="W19" i="7"/>
  <c r="AN16" i="8" s="1"/>
  <c r="P53" i="8"/>
  <c r="Q53" i="8" s="1"/>
  <c r="P97" i="8"/>
  <c r="Q97" i="8" s="1"/>
  <c r="P10" i="8"/>
  <c r="Q10" i="8" s="1"/>
  <c r="P51" i="8"/>
  <c r="Q51" i="8" s="1"/>
  <c r="P60" i="8"/>
  <c r="Q60" i="8" s="1"/>
  <c r="P43" i="8"/>
  <c r="Q43" i="8" s="1"/>
  <c r="P93" i="8"/>
  <c r="Q93" i="8" s="1"/>
  <c r="P45" i="8"/>
  <c r="Q45" i="8" s="1"/>
  <c r="P11" i="8"/>
  <c r="Q11" i="8" s="1"/>
  <c r="P37" i="8"/>
  <c r="Q37" i="8" s="1"/>
  <c r="P25" i="8"/>
  <c r="Q25" i="8" s="1"/>
  <c r="P74" i="8"/>
  <c r="Q74" i="8" s="1"/>
  <c r="P7" i="8"/>
  <c r="Q7" i="8" s="1"/>
  <c r="P118" i="8"/>
  <c r="Q118" i="8" s="1"/>
  <c r="P70" i="8"/>
  <c r="Q70" i="8" s="1"/>
  <c r="P114" i="8"/>
  <c r="Q114" i="8" s="1"/>
  <c r="P66" i="8"/>
  <c r="Q66" i="8" s="1"/>
  <c r="P127" i="8"/>
  <c r="Q127" i="8" s="1"/>
  <c r="P13" i="8"/>
  <c r="Q13" i="8" s="1"/>
  <c r="P137" i="8"/>
  <c r="Q137" i="8" s="1"/>
  <c r="P89" i="8"/>
  <c r="Q89" i="8" s="1"/>
  <c r="P41" i="8"/>
  <c r="Q41" i="8" s="1"/>
  <c r="P20" i="8"/>
  <c r="Q20" i="8" s="1"/>
  <c r="P136" i="8"/>
  <c r="Q136" i="8" s="1"/>
  <c r="AN18" i="8" l="1"/>
  <c r="V26" i="7"/>
  <c r="AM19" i="8"/>
  <c r="W22" i="7"/>
  <c r="V31" i="7"/>
  <c r="AM28" i="8" s="1"/>
  <c r="V29" i="7" l="1"/>
  <c r="AM26" i="8" s="1"/>
  <c r="V30" i="7"/>
  <c r="AM27" i="8" s="1"/>
  <c r="AN19" i="8"/>
  <c r="AM23" i="8"/>
  <c r="V27" i="7"/>
  <c r="AM24" i="8" s="1"/>
</calcChain>
</file>

<file path=xl/sharedStrings.xml><?xml version="1.0" encoding="utf-8"?>
<sst xmlns="http://schemas.openxmlformats.org/spreadsheetml/2006/main" count="7431" uniqueCount="984">
  <si>
    <t/>
  </si>
  <si>
    <t>Name and surname</t>
  </si>
  <si>
    <t>Account</t>
  </si>
  <si>
    <t>Currency</t>
  </si>
  <si>
    <t>SAMUEL EDUARDO RODRIGUEZ WALTON</t>
  </si>
  <si>
    <t>50704832</t>
  </si>
  <si>
    <t>USD</t>
  </si>
  <si>
    <t>Balance</t>
  </si>
  <si>
    <t>Equity</t>
  </si>
  <si>
    <t>Margin</t>
  </si>
  <si>
    <t>Free margin</t>
  </si>
  <si>
    <t>Margin level</t>
  </si>
  <si>
    <t>01/01/2006 - 09/05/2025</t>
  </si>
  <si>
    <t>Position</t>
  </si>
  <si>
    <t>Symbol</t>
  </si>
  <si>
    <t>Type</t>
  </si>
  <si>
    <t>Volume</t>
  </si>
  <si>
    <t>Open time</t>
  </si>
  <si>
    <t>Open price</t>
  </si>
  <si>
    <t>Close time</t>
  </si>
  <si>
    <t>Close price</t>
  </si>
  <si>
    <t>Open origin</t>
  </si>
  <si>
    <t>Close origin</t>
  </si>
  <si>
    <t>Purchase value</t>
  </si>
  <si>
    <t>Sale value</t>
  </si>
  <si>
    <t>SL</t>
  </si>
  <si>
    <t>TP</t>
  </si>
  <si>
    <t>Commission</t>
  </si>
  <si>
    <t>Swap</t>
  </si>
  <si>
    <t>Rollover</t>
  </si>
  <si>
    <t>Gross P/L</t>
  </si>
  <si>
    <t>Comment</t>
  </si>
  <si>
    <t>BUY</t>
  </si>
  <si>
    <t>xStation Mobile iOS</t>
  </si>
  <si>
    <t>correction</t>
  </si>
  <si>
    <t>STC Transfer Out</t>
  </si>
  <si>
    <t>SHELL.NL</t>
  </si>
  <si>
    <t>US30</t>
  </si>
  <si>
    <t>pending(t/p|s/l)</t>
  </si>
  <si>
    <t>[S/L]</t>
  </si>
  <si>
    <t>xStation 5</t>
  </si>
  <si>
    <t>USDMXN</t>
  </si>
  <si>
    <t>SELL</t>
  </si>
  <si>
    <t>GOLD</t>
  </si>
  <si>
    <t>[T/P]</t>
  </si>
  <si>
    <t>VIX</t>
  </si>
  <si>
    <t>stop-out</t>
  </si>
  <si>
    <t>[S/O 29.63% 3.57 / 12.05 (USD)]</t>
  </si>
  <si>
    <t>USDJPY</t>
  </si>
  <si>
    <t>FLOA.UK</t>
  </si>
  <si>
    <t>SDIA.UK</t>
  </si>
  <si>
    <t>VHYD.UK</t>
  </si>
  <si>
    <t>MC.FR</t>
  </si>
  <si>
    <t>xStation Mobile Android</t>
  </si>
  <si>
    <t>US500</t>
  </si>
  <si>
    <t>VBTC.DE</t>
  </si>
  <si>
    <t>Total</t>
  </si>
  <si>
    <t>Market price</t>
  </si>
  <si>
    <t>BBVA.ES</t>
  </si>
  <si>
    <t>BATT.NL</t>
  </si>
  <si>
    <t>BOTZ.UK</t>
  </si>
  <si>
    <r>
      <rPr>
        <b/>
        <sz val="24"/>
        <color rgb="FF000000"/>
        <rFont val="Segoe UI"/>
        <family val="2"/>
      </rPr>
      <t xml:space="preserve">PENDING ORDERS </t>
    </r>
    <r>
      <rPr>
        <sz val="24"/>
        <color rgb="FF000000"/>
        <rFont val="Segoe UI"/>
        <family val="2"/>
      </rPr>
      <t xml:space="preserve">HISTORY </t>
    </r>
  </si>
  <si>
    <t>ID</t>
  </si>
  <si>
    <t>Nominal Value</t>
  </si>
  <si>
    <t>Price</t>
  </si>
  <si>
    <t>Order</t>
  </si>
  <si>
    <t>side</t>
  </si>
  <si>
    <t>Time</t>
  </si>
  <si>
    <t>Amount</t>
  </si>
  <si>
    <t>DIVIDENT</t>
  </si>
  <si>
    <t>Withholding Tax</t>
  </si>
  <si>
    <t>deposit</t>
  </si>
  <si>
    <t>SafetyPay deposit, SafetyPay provider transaction id=0125059444032332, SafetyPay merchant reference id=249604, id=17602808</t>
  </si>
  <si>
    <t>Stock purchase</t>
  </si>
  <si>
    <t>OPEN BUY 0.1958 @ 178.67</t>
  </si>
  <si>
    <t>OPEN BUY 0.7278 @ 20.60</t>
  </si>
  <si>
    <t>OPEN BUY 1 @ 44.49</t>
  </si>
  <si>
    <t>close trade</t>
  </si>
  <si>
    <t>Profit of position #1373744560</t>
  </si>
  <si>
    <t>Profit of position #1393281432</t>
  </si>
  <si>
    <t>Stock sale</t>
  </si>
  <si>
    <t>CLOSE BUY 1/1.6706 @ 6.1860</t>
  </si>
  <si>
    <t>CLOSE BUY 0.1248/0.1928 @ 172.09</t>
  </si>
  <si>
    <t>Profit of position #1450039117</t>
  </si>
  <si>
    <t>Profit of position #1393281260</t>
  </si>
  <si>
    <t>CLOSE BUY 1.4632/2.9908 @ 6.0200</t>
  </si>
  <si>
    <t>CLOSE BUY 0.068/0.1928 @ 172.09</t>
  </si>
  <si>
    <t>SafetyPay deposit, SafetyPay provider transaction id=0125073485538638, SafetyPay merchant reference id=254335, id=18121108</t>
  </si>
  <si>
    <t>Profit of position #1393287040</t>
  </si>
  <si>
    <t>CLOSE BUY 0.2503/2.9908 @ 6.0200</t>
  </si>
  <si>
    <t>OPEN BUY 0.0861 @ 127.72</t>
  </si>
  <si>
    <t>Profit of position #1403180431</t>
  </si>
  <si>
    <t>CLOSE BUY 0.2773/2.9908 @ 6.0200</t>
  </si>
  <si>
    <t>Profit of position #1403180445</t>
  </si>
  <si>
    <t>CLOSE BUY 0.0092/2.9908 @ 6.0200</t>
  </si>
  <si>
    <t>OPEN BUY 0.1244 @ 160.64</t>
  </si>
  <si>
    <t>Profit of position #1393735509</t>
  </si>
  <si>
    <t>CLOSE BUY 0.0366/0.2569 @ 71.160</t>
  </si>
  <si>
    <t>Profit of position #1717095547</t>
  </si>
  <si>
    <t>Profit of position #1395218355</t>
  </si>
  <si>
    <t>CLOSE BUY 0.074/0.2569 @ 71.160</t>
  </si>
  <si>
    <t>swap</t>
  </si>
  <si>
    <t>Swap of position #1717095547</t>
  </si>
  <si>
    <t>Profit of position #1403166009</t>
  </si>
  <si>
    <t>CLOSE BUY 0.0362/0.2569 @ 71.160</t>
  </si>
  <si>
    <t>Profit of position #1403177543</t>
  </si>
  <si>
    <t>CLOSE BUY 0.0368/0.2569 @ 71.160</t>
  </si>
  <si>
    <t>Profit of position #1403180429</t>
  </si>
  <si>
    <t>CLOSE BUY 0.0733/0.2569 @ 71.160</t>
  </si>
  <si>
    <t>CLOSE BUY 0.9908/2.9908 @ 6.0270</t>
  </si>
  <si>
    <t>CLOSE BUY 0.1102/0.6706 @ 6.1760</t>
  </si>
  <si>
    <t>Profit of position #1554741910</t>
  </si>
  <si>
    <t>Profit of position #1393301698</t>
  </si>
  <si>
    <t>CLOSE BUY 0.1401/0.6706 @ 6.1760</t>
  </si>
  <si>
    <t>Profit of position #1403180427</t>
  </si>
  <si>
    <t>CLOSE BUY 0.61 @ 20.29</t>
  </si>
  <si>
    <t>Sec Fee</t>
  </si>
  <si>
    <t>CLOSE BUY 0.4203/0.6706 @ 6.1760</t>
  </si>
  <si>
    <t>Profit of position #1414372592</t>
  </si>
  <si>
    <t>Subaccount Transfer</t>
  </si>
  <si>
    <t>Transfer from 50872299 to 50704832</t>
  </si>
  <si>
    <t>Transfer from 50704832 to 50872299</t>
  </si>
  <si>
    <t>CLOSE BUY 0.01 @ 547.14</t>
  </si>
  <si>
    <t>SafetyPay deposit, SafetyPay provider transaction id=0125085947634834, SafetyPay merchant reference id=257598, id=18402027</t>
  </si>
  <si>
    <t>OPEN BUY 4/4.1401 @ 5.9810</t>
  </si>
  <si>
    <t>Profit of position #1358151307</t>
  </si>
  <si>
    <t>OPEN BUY 4/4.2503 @ 5.8120</t>
  </si>
  <si>
    <t>OPEN BUY 0.2503/4.2503 @ 5.8110</t>
  </si>
  <si>
    <t>OPEN BUY 0.1401/4.1401 @ 5.9900</t>
  </si>
  <si>
    <t>OPEN BUY 0.0366 @ 67.370</t>
  </si>
  <si>
    <t>CLOSE BUY 0.0124 @ 149.33</t>
  </si>
  <si>
    <t>CLOSE BUY 0.5612 @ 5.8100</t>
  </si>
  <si>
    <t>OPEN BUY 1 @ 21.13</t>
  </si>
  <si>
    <t>CLOSE BUY 0.632 @ 5.9670</t>
  </si>
  <si>
    <t>OPEN BUY 0.074 @ 67.130</t>
  </si>
  <si>
    <t>CLOSE BUY 0.555/1.555 @ 5.8010</t>
  </si>
  <si>
    <t>CLOSE BUY 0.4344/1.4344 @ 5.9680</t>
  </si>
  <si>
    <t>Profit of position #1422773288</t>
  </si>
  <si>
    <t>CLOSE BUY 1/1.4344 @ 5.9780</t>
  </si>
  <si>
    <t>CLOSE BUY 1/1.555 @ 5.8140</t>
  </si>
  <si>
    <t>CLOSE BUY 0.4206 @ 5.8260</t>
  </si>
  <si>
    <t>CLOSE BUY 0.4033 @ 5.9800</t>
  </si>
  <si>
    <t>CLOSE BUY 0.2 @ 58.08</t>
  </si>
  <si>
    <t>OPEN BUY 1 @ 46.11</t>
  </si>
  <si>
    <t>OPEN BUY 0.0362 @ 68.050</t>
  </si>
  <si>
    <t>OPEN BUY 0.0368 @ 68.045</t>
  </si>
  <si>
    <t>OPEN BUY 0.0733 @ 68.010</t>
  </si>
  <si>
    <t>CLOSE BUY 0.4201 @ 5.9800</t>
  </si>
  <si>
    <t>OPEN BUY 0.3274 @ 30.54</t>
  </si>
  <si>
    <t>OPEN BUY 1/1.2773 @ 5.8360</t>
  </si>
  <si>
    <t>OPEN BUY 0.4203 @ 5.9890</t>
  </si>
  <si>
    <t>OPEN BUY 0.2773/1.2773 @ 5.8400</t>
  </si>
  <si>
    <t>VHYD.UK USD 0.4947/ SHR</t>
  </si>
  <si>
    <t>Profit of position #1450043624</t>
  </si>
  <si>
    <t>VHYD.UK USD 0.4296/ SHR</t>
  </si>
  <si>
    <t>CLOSE BUY 0.0138 @ 139.86</t>
  </si>
  <si>
    <t>OPEN BUY 1 @ 72.87</t>
  </si>
  <si>
    <t>OPEN BUY 0.0907 @ 165.35</t>
  </si>
  <si>
    <t>OPEN BUY 0.1434 @ 139.41</t>
  </si>
  <si>
    <t>OPEN BUY 0.7812 @ 19.20</t>
  </si>
  <si>
    <t>OPEN BUY 0.0873 @ 171.67</t>
  </si>
  <si>
    <t>OPEN BUY 0.643 @ 15.55</t>
  </si>
  <si>
    <t>SafetyPay deposit, SafetyPay provider transaction id=0125094541214514, SafetyPay merchant reference id=261181, id=18734513</t>
  </si>
  <si>
    <t>OPEN BUY 0.0616 @ 324.48</t>
  </si>
  <si>
    <t>OPEN BUY 1 @ 74.13</t>
  </si>
  <si>
    <t>OPEN BUY 0.2701 @ 148.09</t>
  </si>
  <si>
    <t>OPEN BUY 1/1.4245 @ 17.54</t>
  </si>
  <si>
    <t>OPEN BUY 0.4245/1.4245 @ 17.54</t>
  </si>
  <si>
    <t>OPEN BUY 1 @ 37.2580</t>
  </si>
  <si>
    <t>Profit of position #1631473921</t>
  </si>
  <si>
    <t>CLOSE BUY 0.2745/0.7 @ 44.80</t>
  </si>
  <si>
    <t>Profit of position #1642763333</t>
  </si>
  <si>
    <t>CLOSE BUY 0.2459/0.7 @ 44.80</t>
  </si>
  <si>
    <t>Profit of position #1666451221</t>
  </si>
  <si>
    <t>CLOSE BUY 0.1796/0.7 @ 44.80</t>
  </si>
  <si>
    <t>Profit of position #1749053104</t>
  </si>
  <si>
    <t>OPEN BUY 0.3673 @ 27.17</t>
  </si>
  <si>
    <t>OPEN BUY 0.7137 @ 14.00</t>
  </si>
  <si>
    <t>Profit of position #1756767326</t>
  </si>
  <si>
    <t>Profit of position #1756797155</t>
  </si>
  <si>
    <t>Profit of position #1767688540</t>
  </si>
  <si>
    <t>Profit of position #1768229183</t>
  </si>
  <si>
    <t>Profit of position #1769815245</t>
  </si>
  <si>
    <t>CLOSE BUY 0.0528 @ 47.89</t>
  </si>
  <si>
    <t>CLOSE BUY 0.1 @ 143.22</t>
  </si>
  <si>
    <t>OPEN BUY 0.6724 @ 14.87</t>
  </si>
  <si>
    <t>Profit of position #1777308201</t>
  </si>
  <si>
    <t>Profit of position #1781449563</t>
  </si>
  <si>
    <t>ECOMMPAY card deposit, ECOMMPAY provider transaction id=1717160381025_178431418,ECOMMPAY merchant reference id=1717160381025_178431418, id=11821773</t>
  </si>
  <si>
    <t>OPEN BUY 0.4139 @ 33.545</t>
  </si>
  <si>
    <t>OPEN BUY 0.1322 @ 155.59</t>
  </si>
  <si>
    <t>OPEN BUY 0.0975 @ 205.08</t>
  </si>
  <si>
    <t>OPEN BUY 1 @ 13.37</t>
  </si>
  <si>
    <t>OPEN BUY 0.0171 @ 1184.19</t>
  </si>
  <si>
    <t>OPEN BUY 0.1488 @ 67.20</t>
  </si>
  <si>
    <t>Profit of position #1342063955</t>
  </si>
  <si>
    <t>CLOSE BUY 0.4139 @ 32.605</t>
  </si>
  <si>
    <t>Profit of position #1350877137</t>
  </si>
  <si>
    <t>OPEN BUY 0.0234 @ 427.17</t>
  </si>
  <si>
    <t>ECOMMPAY card deposit, ECOMMPAY provider transaction id=1718411934936_-192576474,ECOMMPAY merchant reference id=1718411934936_-192576474, id=12074149</t>
  </si>
  <si>
    <t>OPEN BUY 0.123 @ 1.65</t>
  </si>
  <si>
    <t>OPEN BUY 1 @ 22.89</t>
  </si>
  <si>
    <t>OPEN BUY 0.0115 @ 1797.13</t>
  </si>
  <si>
    <t>CLOSE BUY 0.123 @ 165.24</t>
  </si>
  <si>
    <t>Correction: Profit of position #1357581812</t>
  </si>
  <si>
    <t>commission</t>
  </si>
  <si>
    <t>Correction: BUY 0.123 @ 1.65</t>
  </si>
  <si>
    <t>Profit of position #1357581812</t>
  </si>
  <si>
    <t>OPEN BUY 0.1205 @ 165.93</t>
  </si>
  <si>
    <t>Profit of position #1343394966</t>
  </si>
  <si>
    <t>CLOSE BUY 1 @ 12.62</t>
  </si>
  <si>
    <t>Profit of position #1343379129</t>
  </si>
  <si>
    <t>CLOSE BUY 0.0975 @ 211.24</t>
  </si>
  <si>
    <t>Profit of position #1349530190</t>
  </si>
  <si>
    <t>CLOSE BUY 0.12 @ 126.75</t>
  </si>
  <si>
    <t>CLOSE BUY 0.051 @ 126.76</t>
  </si>
  <si>
    <t>Profit of position #1357737013</t>
  </si>
  <si>
    <t>CLOSE BUY 0.0115 @ 1686.26</t>
  </si>
  <si>
    <t>OPEN BUY 0.2281 @ 88.67</t>
  </si>
  <si>
    <t>OPEN BUY 0.2742 @ 72.93</t>
  </si>
  <si>
    <t>OPEN BUY 0.2806 @ 71.61</t>
  </si>
  <si>
    <t>Profit of position #1362492338</t>
  </si>
  <si>
    <t>CLOSE BUY 0.2806 @ 70.96</t>
  </si>
  <si>
    <t>OPEN BUY 0.202 @ 100.78</t>
  </si>
  <si>
    <t>ECOMMPAY card deposit, ECOMMPAY provider transaction id=1719955803875_-974459108,ECOMMPAY merchant reference id=1719955803875_-974459108, id=12331320</t>
  </si>
  <si>
    <t>OPEN BUY 0.1248 @ 202.58</t>
  </si>
  <si>
    <t>OPEN BUY 0.0234 @ 459.24</t>
  </si>
  <si>
    <t>Profit of position #1342641165</t>
  </si>
  <si>
    <t>CLOSE BUY 0.1322 @ 183.60</t>
  </si>
  <si>
    <t>OPEN BUY 0.1078 @ 188.48</t>
  </si>
  <si>
    <t>OPEN BUY 0.1104 @ 183.00</t>
  </si>
  <si>
    <t>Profit of position #1347626622</t>
  </si>
  <si>
    <t>CLOSE BUY 0.1488 @ 69.65</t>
  </si>
  <si>
    <t>OPEN BUY 0.0772 @ 129.48</t>
  </si>
  <si>
    <t>Profit of position #1362562387</t>
  </si>
  <si>
    <t>CLOSE BUY 0.202 @ 100.83</t>
  </si>
  <si>
    <t>OPEN BUY 0.4841 @ 41.87</t>
  </si>
  <si>
    <t>OPEN BUY 0.0829 @ 244.47</t>
  </si>
  <si>
    <t>Profit of position #1362488938</t>
  </si>
  <si>
    <t>CLOSE BUY 0.2742 @ 72.29</t>
  </si>
  <si>
    <t>Profit of position #1375967973</t>
  </si>
  <si>
    <t>CLOSE BUY 0.109 @ 186.50</t>
  </si>
  <si>
    <t>Profit of position #1375856858</t>
  </si>
  <si>
    <t>CLOSE BUY 0.1052 @ 189.21</t>
  </si>
  <si>
    <t>OPEN BUY 0.1088 @ 186.70</t>
  </si>
  <si>
    <t>OPEN BUY 1 @ 20.580</t>
  </si>
  <si>
    <t>OPEN BUY 0.0658 @ 227.77</t>
  </si>
  <si>
    <t>Profit of position #1357595824</t>
  </si>
  <si>
    <t>CLOSE BUY 1 @ 18.62</t>
  </si>
  <si>
    <t>CLOSE BUY 0.0014/0.1091 @ 182.97</t>
  </si>
  <si>
    <t>Profit of position #1377834040</t>
  </si>
  <si>
    <t>CLOSE BUY 0.1077/0.1091 @ 182.97</t>
  </si>
  <si>
    <t>Profit of position #1377407433</t>
  </si>
  <si>
    <t>CLOSE BUY 0.0771 @ 130.75</t>
  </si>
  <si>
    <t>OPEN BUY 0.1521 @ 131.38</t>
  </si>
  <si>
    <t>CLOSE BUY 0.0011 @ 184.46</t>
  </si>
  <si>
    <t>CLOSE BUY 0.0001 @ 131.24</t>
  </si>
  <si>
    <t>CLOSE BUY 0.0026 @ 190.30</t>
  </si>
  <si>
    <t>Profit of position #1362491459</t>
  </si>
  <si>
    <t>CLOSE BUY 0.228 @ 87.81</t>
  </si>
  <si>
    <t>CLOSE BUY 0.0001 @ 87.82</t>
  </si>
  <si>
    <t>OPEN BUY 0.131 @ 190.71</t>
  </si>
  <si>
    <t>Profit of position #1377584836</t>
  </si>
  <si>
    <t>CLOSE BUY 0.0013 @ 42.35</t>
  </si>
  <si>
    <t>CLOSE BUY 0.4828 @ 42.35</t>
  </si>
  <si>
    <t>OPEN BUY 0.1057 @ 189.11</t>
  </si>
  <si>
    <t>Profit of position #1350885655</t>
  </si>
  <si>
    <t>CLOSE BUY 0.0234 @ 458.18</t>
  </si>
  <si>
    <t>OPEN BUY 1 @ 16.374</t>
  </si>
  <si>
    <t>ECOMMPAY card deposit, ECOMMPAY provider transaction id=1721677919994_-147889676,ECOMMPAY merchant reference id=1721677919994_-147889676, id=12678911</t>
  </si>
  <si>
    <t>SafetyPay deposit, SafetyPay provider transaction id=0124219768284884, SafetyPay merchant reference id=209396, id=13010440</t>
  </si>
  <si>
    <t>OPEN BUY 0.0481 @ 311.85</t>
  </si>
  <si>
    <t>OPEN BUY 0.0575 @ 260.80</t>
  </si>
  <si>
    <t>OPEN BUY 0.0329 @ 455.40</t>
  </si>
  <si>
    <t>OPEN BUY 0.1933 @ 77.53</t>
  </si>
  <si>
    <t>Profit of position #1414374074</t>
  </si>
  <si>
    <t>CLOSE BUY 0.0481 @ 308.00</t>
  </si>
  <si>
    <t>OPEN BUY 0.683 @ 51.24</t>
  </si>
  <si>
    <t>SafetyPay deposit, SafetyPay provider transaction id=0124227695622822, SafetyPay merchant reference id=210479, id=13157538</t>
  </si>
  <si>
    <t>OPEN BUY 0.0476 @ 419.46</t>
  </si>
  <si>
    <t>SafetyPay deposit, SafetyPay provider transaction id=0124248579845545, SafetyPay merchant reference id=213579, id=13480399</t>
  </si>
  <si>
    <t>OPEN BUY 0.068 @ 161.58</t>
  </si>
  <si>
    <t>OPEN BUY 0.1369 @ 147.48</t>
  </si>
  <si>
    <t>OPEN BUY 0.0665 @ 222.94</t>
  </si>
  <si>
    <t>Profit of position #1414372067</t>
  </si>
  <si>
    <t>CLOSE BUY 0.0575 @ 290.19</t>
  </si>
  <si>
    <t>OPEN BUY 0.3922 @ 50.99</t>
  </si>
  <si>
    <t>SafetyPay deposit, SafetyPay provider transaction id=0124268294186786, SafetyPay merchant reference id=216768, id=13802734</t>
  </si>
  <si>
    <t>Profit of position #1377764546</t>
  </si>
  <si>
    <t>CLOSE BUY 0.0778 @ 196.86</t>
  </si>
  <si>
    <t>CLOSE BUY 0.0051 @ 196.91</t>
  </si>
  <si>
    <t>OPEN BUY 0.0719 @ 277.82</t>
  </si>
  <si>
    <t>Profit of position #1380259753</t>
  </si>
  <si>
    <t>CLOSE BUY 0.131 @ 161.87</t>
  </si>
  <si>
    <t>OPEN BUY 0.0742 @ 269.23</t>
  </si>
  <si>
    <t>OPEN BUY 0.019 @ 700.80</t>
  </si>
  <si>
    <t>OPEN BUY 0.107 @ 140.18</t>
  </si>
  <si>
    <t>OPEN BUY 0.0359 @ 417.10</t>
  </si>
  <si>
    <t>SafetyPay deposit, SafetyPay provider transaction id=0124283900268168, SafetyPay merchant reference id=219355, id=14078346</t>
  </si>
  <si>
    <t>OPEN BUY 0.0213 @ 640.30</t>
  </si>
  <si>
    <t>OPEN BUY 0.1047 @ 133.61</t>
  </si>
  <si>
    <t>OPEN BUY 0.1914 @ 135.82</t>
  </si>
  <si>
    <t>SafetyPay deposit, SafetyPay provider transaction id=0124291718006106, SafetyPay merchant reference id=220773, id=14251235</t>
  </si>
  <si>
    <t>OPEN BUY 0.0559 @ 232.20</t>
  </si>
  <si>
    <t>OPEN BUY 0.0285 @ 718.50</t>
  </si>
  <si>
    <t>Profit of position #1509051251</t>
  </si>
  <si>
    <t>Profit of position #1508055372</t>
  </si>
  <si>
    <t>OPEN BUY 0.0761 @ 196.90</t>
  </si>
  <si>
    <t>Profit of position #1512925323</t>
  </si>
  <si>
    <t>Swap of position #1512925323</t>
  </si>
  <si>
    <t>Profit of position #1514707570</t>
  </si>
  <si>
    <t>Profit of position #1516787001</t>
  </si>
  <si>
    <t>SafetyPay deposit, SafetyPay provider transaction id=0124306832442642, SafetyPay merchant reference id=223172, id=14514093</t>
  </si>
  <si>
    <t>Profit of position #1516798655</t>
  </si>
  <si>
    <t>Profit of position #1516790032</t>
  </si>
  <si>
    <t>Profit of position #1516793905</t>
  </si>
  <si>
    <t>Profit of position #1516805560</t>
  </si>
  <si>
    <t>Profit of position #1516796610</t>
  </si>
  <si>
    <t>Profit of position #1516814771</t>
  </si>
  <si>
    <t>Profit of position #1516838270</t>
  </si>
  <si>
    <t>OPEN BUY 0.0602 @ 166.03</t>
  </si>
  <si>
    <t>OPEN BUY 0.0754 @ 132.62</t>
  </si>
  <si>
    <t>OPEN BUY 0.0268 @ 409.38</t>
  </si>
  <si>
    <t>Profit of position #1517450167</t>
  </si>
  <si>
    <t>Profit of position #1517930572</t>
  </si>
  <si>
    <t>Profit of position #1515520253</t>
  </si>
  <si>
    <t>Swap of position #1515520253</t>
  </si>
  <si>
    <t>OPEN BUY 1 @ 10.92</t>
  </si>
  <si>
    <t>Profit of position #1517879253</t>
  </si>
  <si>
    <t>Swap of position #1517879253</t>
  </si>
  <si>
    <t>Profit of position #1379227659</t>
  </si>
  <si>
    <t>CLOSE BUY 0.1521 @ 148.18</t>
  </si>
  <si>
    <t>Profit of position #1527051962</t>
  </si>
  <si>
    <t>Profit of position #1527744522</t>
  </si>
  <si>
    <t>Profit of position #1528126100</t>
  </si>
  <si>
    <t>Profit of position #1528325630</t>
  </si>
  <si>
    <t>Profit of position #1531227124</t>
  </si>
  <si>
    <t>Profit of position #1531224336</t>
  </si>
  <si>
    <t>Profit of position #1531230129</t>
  </si>
  <si>
    <t>Profit of position #1531192665</t>
  </si>
  <si>
    <t>Profit of position #1531349564</t>
  </si>
  <si>
    <t>Profit of position #1531351286</t>
  </si>
  <si>
    <t>Profit of position #1531358421</t>
  </si>
  <si>
    <t>OPEN BUY 0.0681 @ 190.67</t>
  </si>
  <si>
    <t>Profit of position #1532703059</t>
  </si>
  <si>
    <t>Profit of position #1532729622</t>
  </si>
  <si>
    <t>OPEN BUY 0.5 @ 21.905</t>
  </si>
  <si>
    <t>Profit of position #1533930062</t>
  </si>
  <si>
    <t>Profit of position #1536772518</t>
  </si>
  <si>
    <t>Profit of position #1540892910</t>
  </si>
  <si>
    <t>Swap of position #1540892910</t>
  </si>
  <si>
    <t>Profit of position #1541930457</t>
  </si>
  <si>
    <t>OPEN BUY 0.1195 @ 167.24</t>
  </si>
  <si>
    <t>SafetyPay deposit, SafetyPay provider transaction id=0124332163245345, SafetyPay merchant reference id=227880, id=15124289</t>
  </si>
  <si>
    <t>Profit of position #1553997553</t>
  </si>
  <si>
    <t>Profit of position #1554074835</t>
  </si>
  <si>
    <t>OPEN BUY 0.084 @ 178.48</t>
  </si>
  <si>
    <t>OPEN BUY 0.9595/1.9595 @ 15.30</t>
  </si>
  <si>
    <t>OPEN BUY 1/1.9595 @ 15.30</t>
  </si>
  <si>
    <t>Profit of position #1555669398</t>
  </si>
  <si>
    <t>SafetyPay deposit, SafetyPay provider transaction id=0124335960710210, SafetyPay merchant reference id=228458, id=15199907</t>
  </si>
  <si>
    <t>OPEN BUY 0.2585 @ 77.35</t>
  </si>
  <si>
    <t>OPEN BUY 0.1076 @ 139.40</t>
  </si>
  <si>
    <t>OPEN BUY 0.092 @ 162.85</t>
  </si>
  <si>
    <t>OPEN BUY 1 @ 48.6800</t>
  </si>
  <si>
    <t>MC.FR EUR 5.5000/ SHR</t>
  </si>
  <si>
    <t>MC.FR EUR WHT 25%</t>
  </si>
  <si>
    <t>OPEN BUY 0.0626 @ 159.74</t>
  </si>
  <si>
    <t>Profit of position #1563562241</t>
  </si>
  <si>
    <t>OPEN BUY 0.9385 @ 21.31</t>
  </si>
  <si>
    <t>SafetyPay deposit, SafetyPay provider transaction id=0124354463627227, SafetyPay merchant reference id=232152, id=15694711</t>
  </si>
  <si>
    <t>OPEN BUY 0.4847 @ 20.62</t>
  </si>
  <si>
    <t>OPEN BUY 0.0769 @ 195.11</t>
  </si>
  <si>
    <t>OPEN BUY 0.3755 @ 53.26</t>
  </si>
  <si>
    <t>OPEN BUY 0.0381 @ 524.43</t>
  </si>
  <si>
    <t>OPEN BUY 0.0766 @ 130.51</t>
  </si>
  <si>
    <t>OPEN BUY 0.5 @ 20.645</t>
  </si>
  <si>
    <t>Profit of position #1473693877</t>
  </si>
  <si>
    <t>CLOSE BUY 0.019/0.0403 @ 623.80</t>
  </si>
  <si>
    <t>Profit of position #1493848938</t>
  </si>
  <si>
    <t>CLOSE BUY 0.0213/0.0403 @ 623.80</t>
  </si>
  <si>
    <t>Profit of position #1583724019</t>
  </si>
  <si>
    <t>Profit of position #1583841034</t>
  </si>
  <si>
    <t>Profit of position #1585474078</t>
  </si>
  <si>
    <t>Profit of position #1586033461</t>
  </si>
  <si>
    <t>Profit of position #1587036381</t>
  </si>
  <si>
    <t>OPEN BUY 1 @ 16.425</t>
  </si>
  <si>
    <t>Profit of position #1500272843</t>
  </si>
  <si>
    <t>CLOSE BUY 0.0021 @ 758.27</t>
  </si>
  <si>
    <t>CLOSE BUY 0.0264 @ 757.79</t>
  </si>
  <si>
    <t>SafetyPay deposit, SafetyPay provider transaction id=0125006532655855, SafetyPay merchant reference id=234626, id=16036774</t>
  </si>
  <si>
    <t>OPEN BUY 0.1013 @ 148.02</t>
  </si>
  <si>
    <t>OPEN BUY 0.0289 @ 517.70</t>
  </si>
  <si>
    <t>OPEN BUY 0.4145 @ 24.11</t>
  </si>
  <si>
    <t>OPEN BUY 0.0477 @ 313.98</t>
  </si>
  <si>
    <t>OPEN BUY 0.2839 @ 52.83</t>
  </si>
  <si>
    <t>OPEN BUY 0.0763 @ 196.49</t>
  </si>
  <si>
    <t>OPEN BUY 0.2195 @ 45.55</t>
  </si>
  <si>
    <t>Profit of position #1518147105</t>
  </si>
  <si>
    <t>CLOSE BUY 1 @ 6.52</t>
  </si>
  <si>
    <t>OPEN BUY 0.0295 @ 507.68</t>
  </si>
  <si>
    <t>Profit of position #1551373923</t>
  </si>
  <si>
    <t>CLOSE BUY 0.1195 @ 198.83</t>
  </si>
  <si>
    <t>OPEN BUY 0.0817 @ 183.39</t>
  </si>
  <si>
    <t>OPEN BUY 0.2318 @ 43.27</t>
  </si>
  <si>
    <t>OPEN BUY 0.0937 @ 159.74</t>
  </si>
  <si>
    <t>OPEN BUY 0.2745 @ 40.05</t>
  </si>
  <si>
    <t>OPEN BUY 0.2592 @ 38.58</t>
  </si>
  <si>
    <t>Profit of position #1468472119</t>
  </si>
  <si>
    <t>CLOSE BUY 0.0719/0.1938 @ 336.69</t>
  </si>
  <si>
    <t>Profit of position #1470564087</t>
  </si>
  <si>
    <t>CLOSE BUY 0.0742/0.1938 @ 336.69</t>
  </si>
  <si>
    <t>Profit of position #1599434998</t>
  </si>
  <si>
    <t>CLOSE BUY 0.0477/0.1938 @ 336.69</t>
  </si>
  <si>
    <t>OPEN BUY 1 @ 44.24</t>
  </si>
  <si>
    <t>OPEN BUY 0.2479 @ 40.33</t>
  </si>
  <si>
    <t>OPEN BUY 0.2875 @ 34.78</t>
  </si>
  <si>
    <t>SafetyPay deposit, SafetyPay provider transaction id=0125035674302102, SafetyPay merchant reference id=242033, id=16874424</t>
  </si>
  <si>
    <t>OPEN BUY 0.1572 @ 127.16</t>
  </si>
  <si>
    <t>OPEN BUY 0.2459 @ 40.66</t>
  </si>
  <si>
    <t>OPEN BUY 0.0813 @ 129.08</t>
  </si>
  <si>
    <t>OPEN BUY 0.0758 @ 144.94</t>
  </si>
  <si>
    <t>OPEN BUY 1 @ 20.36</t>
  </si>
  <si>
    <t>Profit of position #1495548850</t>
  </si>
  <si>
    <t>CLOSE BUY 0.1047/0.2564 @ 143.18</t>
  </si>
  <si>
    <t>Profit of position #1517512112</t>
  </si>
  <si>
    <t>CLOSE BUY 0.0754/0.2564 @ 143.18</t>
  </si>
  <si>
    <t>Profit of position #1582735114</t>
  </si>
  <si>
    <t>CLOSE BUY 0.0763/0.2564 @ 143.18</t>
  </si>
  <si>
    <t>OPEN BUY 0.081 @ 129.56</t>
  </si>
  <si>
    <t>OPEN BUY 0.4576 @ 21.85</t>
  </si>
  <si>
    <t>OPEN BUY 0.0269 @ 408.33</t>
  </si>
  <si>
    <t>OPEN BUY 0.0538 @ 185.82</t>
  </si>
  <si>
    <t>OPEN BUY 0.277 @ 36.10</t>
  </si>
  <si>
    <t>SafetyPay deposit, SafetyPay provider transaction id=0125045351248748, SafetyPay merchant reference id=245034, id=17165543</t>
  </si>
  <si>
    <t>Profit of position #1657658561</t>
  </si>
  <si>
    <t>Profit of position #1660829104</t>
  </si>
  <si>
    <t>Profit of position #1378903852</t>
  </si>
  <si>
    <t>CLOSE BUY 0.0042/0.1265 @ 243.45</t>
  </si>
  <si>
    <t>Profit of position #1456814919</t>
  </si>
  <si>
    <t>CLOSE BUY 0.0665/0.1265 @ 243.45</t>
  </si>
  <si>
    <t>Profit of position #1499061783</t>
  </si>
  <si>
    <t>CLOSE BUY 0.0558/0.1265 @ 243.45</t>
  </si>
  <si>
    <t>CLOSE BUY 0.0616 @ 243.58</t>
  </si>
  <si>
    <t>OPEN BUY 1 @ 20.65</t>
  </si>
  <si>
    <t>OPEN BUY 0.2943 @ 67.97</t>
  </si>
  <si>
    <t>OPEN BUY 0.0932 @ 160.68</t>
  </si>
  <si>
    <t>OPEN BUY 0.2325 @ 43.00</t>
  </si>
  <si>
    <t>OPEN BUY 0.1641/1.1641 @ 17.18</t>
  </si>
  <si>
    <t>OPEN BUY 0.2651 @ 37.70</t>
  </si>
  <si>
    <t>OPEN BUY 0.5227 @ 38.23</t>
  </si>
  <si>
    <t>OPEN BUY 1/1.1641 @ 17.18</t>
  </si>
  <si>
    <t>OPEN BUY 0.6422 @ 15.57</t>
  </si>
  <si>
    <t>Profit of position #1560258921</t>
  </si>
  <si>
    <t>CLOSE BUY 1/2 @ 44.1500</t>
  </si>
  <si>
    <t>Profit of position #1748583646</t>
  </si>
  <si>
    <t>OPEN BUY 0.0867 @ 126.78</t>
  </si>
  <si>
    <t>OPEN BUY 0.6361 @ 15.72</t>
  </si>
  <si>
    <t>OPEN BUY 0.3367 @ 29.70</t>
  </si>
  <si>
    <t>OPEN BUY 0.2406/1.2406 @ 16.12</t>
  </si>
  <si>
    <t>OPEN BUY 1/1.2406 @ 16.12</t>
  </si>
  <si>
    <t>Profit of position #1373808226</t>
  </si>
  <si>
    <t>CLOSE BUY 0.0234/0.0606 @ 434.71</t>
  </si>
  <si>
    <t>Profit of position #1426782063</t>
  </si>
  <si>
    <t>CLOSE BUY 0.0372/0.0606 @ 434.71</t>
  </si>
  <si>
    <t>CLOSE BUY 0.0229/0.06 @ 568.93</t>
  </si>
  <si>
    <t>Profit of position #1582737192</t>
  </si>
  <si>
    <t>CLOSE BUY 0.0371/0.06 @ 568.93</t>
  </si>
  <si>
    <t>CLOSE BUY 0.01 @ 437.05</t>
  </si>
  <si>
    <t>Profit of position #1744929368</t>
  </si>
  <si>
    <t>CLOSE BUY 0.0424 @ 353.02</t>
  </si>
  <si>
    <t>OPEN BUY 0.0856 @ 128.46</t>
  </si>
  <si>
    <t>OPEN BUY 0.7256/1.7256 @ 12.750</t>
  </si>
  <si>
    <t>OPEN BUY 1/1.7256 @ 12.750</t>
  </si>
  <si>
    <r>
      <rPr>
        <b/>
        <sz val="24"/>
        <color rgb="FF000000"/>
        <rFont val="Segoe UI"/>
        <family val="2"/>
      </rPr>
      <t xml:space="preserve">CLOSED POSITION </t>
    </r>
    <r>
      <rPr>
        <sz val="24"/>
        <color rgb="FF000000"/>
        <rFont val="Segoe UI"/>
        <family val="2"/>
      </rPr>
      <t>HISTORY MT</t>
    </r>
  </si>
  <si>
    <t>Closed</t>
  </si>
  <si>
    <t>""</t>
  </si>
  <si>
    <t>US.30</t>
  </si>
  <si>
    <t>Transfer In</t>
  </si>
  <si>
    <t>GOLDs</t>
  </si>
  <si>
    <t>US.500</t>
  </si>
  <si>
    <r>
      <rPr>
        <b/>
        <sz val="24"/>
        <color rgb="FF000000"/>
        <rFont val="Segoe UI"/>
        <family val="2"/>
      </rPr>
      <t xml:space="preserve">BALANCE OPERATION </t>
    </r>
    <r>
      <rPr>
        <sz val="24"/>
        <color rgb="FF000000"/>
        <rFont val="Segoe UI"/>
        <family val="2"/>
      </rPr>
      <t>HISTORY MT</t>
    </r>
  </si>
  <si>
    <t>Deposit</t>
  </si>
  <si>
    <t>ECOMMPAY card deposit, ECOMMPAY provider transaction id=1717160381025_178431418,ECOMMPAY merchant re</t>
  </si>
  <si>
    <t>Withdraw</t>
  </si>
  <si>
    <t>ECOMMPAY card deposit, ECOMMPAY provider transaction id=1718411934936_-192576474,ECOMMPAY merchant r</t>
  </si>
  <si>
    <t>ECOMMPAY card deposit, ECOMMPAY provider transaction id=1719955803875_-974459108,ECOMMPAY merchant r</t>
  </si>
  <si>
    <t>ECOMMPAY card deposit, ECOMMPAY provider transaction id=1721677919994_-147889676,ECOMMPAY merchant r</t>
  </si>
  <si>
    <t xml:space="preserve">SafetyPay deposit, SafetyPay provider transaction id=0124219768284884, SafetyPay merchant reference </t>
  </si>
  <si>
    <t xml:space="preserve">SafetyPay deposit, SafetyPay provider transaction id=0124227695622822, SafetyPay merchant reference </t>
  </si>
  <si>
    <t xml:space="preserve">SafetyPay deposit, SafetyPay provider transaction id=0124248579845545, SafetyPay merchant reference </t>
  </si>
  <si>
    <t xml:space="preserve">SafetyPay deposit, SafetyPay provider transaction id=0124268294186786, SafetyPay merchant reference </t>
  </si>
  <si>
    <t xml:space="preserve">SafetyPay deposit, SafetyPay provider transaction id=0124283900268168, SafetyPay merchant reference </t>
  </si>
  <si>
    <t xml:space="preserve">SafetyPay deposit, SafetyPay provider transaction id=0124291718006106, SafetyPay merchant reference </t>
  </si>
  <si>
    <t xml:space="preserve">SafetyPay deposit, SafetyPay provider transaction id=0124306832442642, SafetyPay merchant reference </t>
  </si>
  <si>
    <t xml:space="preserve">SafetyPay deposit, SafetyPay provider transaction id=0124332163245345, SafetyPay merchant reference </t>
  </si>
  <si>
    <t xml:space="preserve">SafetyPay deposit, SafetyPay provider transaction id=0124335960710210, SafetyPay merchant reference </t>
  </si>
  <si>
    <t xml:space="preserve">SafetyPay deposit, SafetyPay provider transaction id=0124354463627227, SafetyPay merchant reference </t>
  </si>
  <si>
    <t xml:space="preserve">SafetyPay deposit, SafetyPay provider transaction id=0125006532655855, SafetyPay merchant reference </t>
  </si>
  <si>
    <t xml:space="preserve">SafetyPay deposit, SafetyPay provider transaction id=0125035674302102, SafetyPay merchant reference </t>
  </si>
  <si>
    <t xml:space="preserve">SafetyPay deposit, SafetyPay provider transaction id=0125045351248748, SafetyPay merchant reference </t>
  </si>
  <si>
    <t xml:space="preserve">SafetyPay deposit, SafetyPay provider transaction id=0125059444032332, SafetyPay merchant reference </t>
  </si>
  <si>
    <t xml:space="preserve">SafetyPay deposit, SafetyPay provider transaction id=0125073485538638, SafetyPay merchant reference </t>
  </si>
  <si>
    <t xml:space="preserve">SafetyPay deposit, SafetyPay provider transaction id=0125085947634834, SafetyPay merchant reference </t>
  </si>
  <si>
    <t xml:space="preserve">SafetyPay deposit, SafetyPay provider transaction id=0125094541214514, SafetyPay merchant reference </t>
  </si>
  <si>
    <t>Chapter</t>
  </si>
  <si>
    <t>ToM</t>
  </si>
  <si>
    <t>NVDA</t>
  </si>
  <si>
    <t>PEP</t>
  </si>
  <si>
    <t>SMFG</t>
  </si>
  <si>
    <t>QCOM</t>
  </si>
  <si>
    <t>AVGO</t>
  </si>
  <si>
    <t>GILD</t>
  </si>
  <si>
    <t>TSM</t>
  </si>
  <si>
    <t>WMT</t>
  </si>
  <si>
    <t>DUK</t>
  </si>
  <si>
    <t>NEE</t>
  </si>
  <si>
    <t>GOOGL</t>
  </si>
  <si>
    <t>LEVI</t>
  </si>
  <si>
    <t>AEP</t>
  </si>
  <si>
    <t>SQM</t>
  </si>
  <si>
    <t>MSFT</t>
  </si>
  <si>
    <t>PANW</t>
  </si>
  <si>
    <t>V</t>
  </si>
  <si>
    <t>AMAT</t>
  </si>
  <si>
    <t>ASML</t>
  </si>
  <si>
    <t>MAXN</t>
  </si>
  <si>
    <t>YUM</t>
  </si>
  <si>
    <t>AAPL</t>
  </si>
  <si>
    <t>ING</t>
  </si>
  <si>
    <t>MA</t>
  </si>
  <si>
    <t>KMB</t>
  </si>
  <si>
    <t>MO</t>
  </si>
  <si>
    <t>EXC</t>
  </si>
  <si>
    <t>VWO</t>
  </si>
  <si>
    <t>ACI</t>
  </si>
  <si>
    <t>DAR</t>
  </si>
  <si>
    <t>FSLR</t>
  </si>
  <si>
    <t>APA</t>
  </si>
  <si>
    <t>BCS</t>
  </si>
  <si>
    <t>AGIO</t>
  </si>
  <si>
    <t>INGR</t>
  </si>
  <si>
    <t>YPF</t>
  </si>
  <si>
    <t>BND</t>
  </si>
  <si>
    <t>NEE USD 0.5665/ SHR</t>
  </si>
  <si>
    <t>NEE USD WHT 30%</t>
  </si>
  <si>
    <t>GOOGL USD 0.2000/ SHR</t>
  </si>
  <si>
    <t>MSFT USD 0.8300/ SHR</t>
  </si>
  <si>
    <t>MSFT USD WHT 30%</t>
  </si>
  <si>
    <t>EXC USD 0.4000/ SHR</t>
  </si>
  <si>
    <t>EXC USD WHT 30%</t>
  </si>
  <si>
    <t>VWO USD 0.0468/ SHR</t>
  </si>
  <si>
    <t>VWO USD WHT 30%</t>
  </si>
  <si>
    <t>YUM USD 0.7100/ SHR</t>
  </si>
  <si>
    <t>Sec Fee adj ING 20250325</t>
  </si>
  <si>
    <t>Sec Fee adj MA 20250326</t>
  </si>
  <si>
    <t>Sec Fee adj PEP 20250327</t>
  </si>
  <si>
    <t>Sec Fee adj KMB 20250327</t>
  </si>
  <si>
    <t>Sec Fee adj MO 20250327</t>
  </si>
  <si>
    <t>PEP USD 1.3550/ SHR</t>
  </si>
  <si>
    <t>PEP USD WHT 30%</t>
  </si>
  <si>
    <t>KMB USD 1.2600/ SHR</t>
  </si>
  <si>
    <t>KMB USD WHT 30%</t>
  </si>
  <si>
    <t>ING USD 0.1651/ SHR</t>
  </si>
  <si>
    <t>ING USD WHT 15%</t>
  </si>
  <si>
    <t>BND USD 0.2404/ SHR</t>
  </si>
  <si>
    <t>BND USD WHT 30%</t>
  </si>
  <si>
    <t>Sec Fee adj QCOM 20250123</t>
  </si>
  <si>
    <t>Sec Fee adj EXC 20250407</t>
  </si>
  <si>
    <t>TSM USD 0.6838/ SHR</t>
  </si>
  <si>
    <t>TSM USD WHT 21%</t>
  </si>
  <si>
    <t>Sec Fee adj EXC 20250417</t>
  </si>
  <si>
    <t>Sec Fee adj KMB 20250417</t>
  </si>
  <si>
    <t>INGR USD 0.8000/ SHR</t>
  </si>
  <si>
    <t>INGR USD WHT 30%</t>
  </si>
  <si>
    <t>Sec Fee adj SMFG 20240617</t>
  </si>
  <si>
    <t>Sec Fee adj PEP 20240617</t>
  </si>
  <si>
    <t>Sec Fee adj QCOM 20240621</t>
  </si>
  <si>
    <t>Sec Fee adj AVGO 20240621</t>
  </si>
  <si>
    <t>Sec Fee adj GILD 20240621</t>
  </si>
  <si>
    <t>Sec Fee adj NVDA 20240621</t>
  </si>
  <si>
    <t>NVDA USD 0.0100/ SHR</t>
  </si>
  <si>
    <t>Sec Fee adj TSM 20240705</t>
  </si>
  <si>
    <t>Sec Fee adj GOOGL 20240708</t>
  </si>
  <si>
    <t>Sec Fee adj NEE 20240708</t>
  </si>
  <si>
    <t>Sec Fee adj WMT 20240708</t>
  </si>
  <si>
    <t>Sec Fee adj TSM 20240708</t>
  </si>
  <si>
    <t>Sec Fee adj DUK 20240708</t>
  </si>
  <si>
    <t>Sec Fee adj TSM 20240709</t>
  </si>
  <si>
    <t>Sec Fee adj LEVI 20240709</t>
  </si>
  <si>
    <t>Sec Fee adj NVDA 20240709</t>
  </si>
  <si>
    <t>TSM USD 0.5580/ SHR</t>
  </si>
  <si>
    <t>Sec Fee adj AEP 20240710</t>
  </si>
  <si>
    <t>Sec Fee adj GOOGL 20240710</t>
  </si>
  <si>
    <t>Sec Fee adj MSFT 20240711</t>
  </si>
  <si>
    <t>Sec Fee adj SQM 20240711</t>
  </si>
  <si>
    <t>Sec Fee adj PANW 20240807</t>
  </si>
  <si>
    <t>AAPL USD 0.2500/ SHR</t>
  </si>
  <si>
    <t>AAPL USD WHT 30%</t>
  </si>
  <si>
    <t>V USD 0.5200/ SHR</t>
  </si>
  <si>
    <t>V USD WHT 30%</t>
  </si>
  <si>
    <t>AMAT USD 0.4000/ SHR</t>
  </si>
  <si>
    <t>AMAT USD WHT 30%</t>
  </si>
  <si>
    <t>MSFT USD 0.7500/ SHR</t>
  </si>
  <si>
    <t>NEE USD 0.5150/ SHR</t>
  </si>
  <si>
    <t>GOOGL USD WHT 30%</t>
  </si>
  <si>
    <t>Sec Fee adj V 20240916</t>
  </si>
  <si>
    <t>Sec Fee adj AMAT 20240924</t>
  </si>
  <si>
    <t>QCOM USD 0.8500/ SHR</t>
  </si>
  <si>
    <t>QCOM USD WHT 30%</t>
  </si>
  <si>
    <t>Sec Fee adj GOOGL 20240925</t>
  </si>
  <si>
    <t>TSM USD 0.6248/ SHR</t>
  </si>
  <si>
    <t>MO USD 1.0200/ SHR</t>
  </si>
  <si>
    <t>MO USD WHT 30%</t>
  </si>
  <si>
    <t>ASML USD 1.6554/ SHR</t>
  </si>
  <si>
    <t>ASML USD WHT 15%</t>
  </si>
  <si>
    <t>MA USD 0.6600/ SHR</t>
  </si>
  <si>
    <t>MA USD WHT 30%</t>
  </si>
  <si>
    <t>Sec Fee adj NVDA 20241107</t>
  </si>
  <si>
    <t>V USD 0.5900/ SHR</t>
  </si>
  <si>
    <t>YUM USD 0.6700/ SHR</t>
  </si>
  <si>
    <t>YUM USD WHT 30%</t>
  </si>
  <si>
    <t>KMB USD 1.2200/ SHR</t>
  </si>
  <si>
    <t>Sec Fee adj ASML 20250106</t>
  </si>
  <si>
    <t>TSM USD 0.6156/ SHR</t>
  </si>
  <si>
    <t>Sec Fee adj MAXN 20250110</t>
  </si>
  <si>
    <t>Sec Fee adj GOOGL 20250121</t>
  </si>
  <si>
    <t>Sec Fee adj V 20250128</t>
  </si>
  <si>
    <t>MA USD 0.7600/ SHR</t>
  </si>
  <si>
    <t>Sec Fee adj YUM 20250207</t>
  </si>
  <si>
    <t>Sec Fee adj AAPL 20250218</t>
  </si>
  <si>
    <t>APA USD 0.2500/ SHR</t>
  </si>
  <si>
    <t>APA USD WHT 30%</t>
  </si>
  <si>
    <t>BND USD 0.2364/ SHR</t>
  </si>
  <si>
    <t>InReport</t>
  </si>
  <si>
    <t>DATE</t>
  </si>
  <si>
    <t>2025-03-27</t>
  </si>
  <si>
    <t>2025-03-28</t>
  </si>
  <si>
    <t>2025-03-31</t>
  </si>
  <si>
    <t>TRUE</t>
  </si>
  <si>
    <t>Total Portfolio</t>
  </si>
  <si>
    <t>Closed Positions</t>
  </si>
  <si>
    <t>Max of ToM</t>
  </si>
  <si>
    <t>Entry Value</t>
  </si>
  <si>
    <t>Exit Value</t>
  </si>
  <si>
    <t>Realized Gains</t>
  </si>
  <si>
    <t>Open Positions</t>
  </si>
  <si>
    <t>Holding Period (Mon)</t>
  </si>
  <si>
    <t>Entry Value USD</t>
  </si>
  <si>
    <t>Market Value USD</t>
  </si>
  <si>
    <t>Unrealized Gains</t>
  </si>
  <si>
    <t>Unrealized Gains %</t>
  </si>
  <si>
    <t>Row Labels</t>
  </si>
  <si>
    <t>Value</t>
  </si>
  <si>
    <t>Free Cash</t>
  </si>
  <si>
    <t>Portfolio Summary</t>
  </si>
  <si>
    <t>% Of Invested</t>
  </si>
  <si>
    <t>Stock Holding</t>
  </si>
  <si>
    <t>INV CAPITAL</t>
  </si>
  <si>
    <t>Invested Capital</t>
  </si>
  <si>
    <t>Active Investment Value</t>
  </si>
  <si>
    <t>Grand Total</t>
  </si>
  <si>
    <t>Dividends</t>
  </si>
  <si>
    <t>Available Cash</t>
  </si>
  <si>
    <t>Total Cash Returns</t>
  </si>
  <si>
    <t>Tax &amp; Fees</t>
  </si>
  <si>
    <t>Total P&amp;L</t>
  </si>
  <si>
    <t>FCF</t>
  </si>
  <si>
    <t>Portfolio Metrics</t>
  </si>
  <si>
    <t>Holding Period (Months)</t>
  </si>
  <si>
    <t>Overall Return %</t>
  </si>
  <si>
    <t>Avg Monthly Return %</t>
  </si>
  <si>
    <t>CAGR %</t>
  </si>
  <si>
    <t>Overal FCF %</t>
  </si>
  <si>
    <t>Avg FCF %</t>
  </si>
  <si>
    <t>(Multiple Items)</t>
  </si>
  <si>
    <t>FCF CAGR %</t>
  </si>
  <si>
    <t>ACCUMULATIVE</t>
  </si>
  <si>
    <t>Sum of Amount</t>
  </si>
  <si>
    <t>Column Labels</t>
  </si>
  <si>
    <t>Net Income</t>
  </si>
  <si>
    <t>Exposed Capital</t>
  </si>
  <si>
    <t>DATES</t>
  </si>
  <si>
    <t>DEPOSIT BALANCE</t>
  </si>
  <si>
    <t>EXPOSE BALANCE</t>
  </si>
  <si>
    <t>Net Income %</t>
  </si>
  <si>
    <t>Proyected Annualized Return %</t>
  </si>
  <si>
    <t>EXPOSITION %</t>
  </si>
  <si>
    <t>2024-07-08</t>
  </si>
  <si>
    <t>2024-07-09</t>
  </si>
  <si>
    <t>Resumen de Portafolio</t>
  </si>
  <si>
    <t>2024-06-06</t>
  </si>
  <si>
    <t>Capital invertido</t>
  </si>
  <si>
    <t>Valor de Mercado</t>
  </si>
  <si>
    <t>2024-12-02</t>
  </si>
  <si>
    <t>Ganancias no realizadas</t>
  </si>
  <si>
    <t>2024-06-17</t>
  </si>
  <si>
    <t>Ganancias realizadas</t>
  </si>
  <si>
    <t>2024-06-18</t>
  </si>
  <si>
    <t>Dividendos</t>
  </si>
  <si>
    <t>2024-12-19</t>
  </si>
  <si>
    <t>Efectivo disponible</t>
  </si>
  <si>
    <t>2025-01-06</t>
  </si>
  <si>
    <t>Retornos totales</t>
  </si>
  <si>
    <t>2025-01-21</t>
  </si>
  <si>
    <t>Impustos y Gastos</t>
  </si>
  <si>
    <t>Ganancias y Perdidas</t>
  </si>
  <si>
    <t>Flujo de Caja Libre</t>
  </si>
  <si>
    <t>2025-02-04</t>
  </si>
  <si>
    <t>2025-02-07</t>
  </si>
  <si>
    <t>Periodo de Inversion (Mes)</t>
  </si>
  <si>
    <t>2025-02-18</t>
  </si>
  <si>
    <t>Retorno total %</t>
  </si>
  <si>
    <t>2025-02-20</t>
  </si>
  <si>
    <t>Retorno mensual %</t>
  </si>
  <si>
    <t>Retotrno Anualizado %</t>
  </si>
  <si>
    <t>Flujo de efectico total %</t>
  </si>
  <si>
    <t>Flujo de caja mensual %</t>
  </si>
  <si>
    <t>Flujo de caja annual %</t>
  </si>
  <si>
    <t>2024-08-14</t>
  </si>
  <si>
    <t>2025-04-17</t>
  </si>
  <si>
    <t>2025-04-18</t>
  </si>
  <si>
    <t>2024-09-09</t>
  </si>
  <si>
    <t>2024-09-18</t>
  </si>
  <si>
    <t>2024-09-30</t>
  </si>
  <si>
    <t>2024-10-03</t>
  </si>
  <si>
    <t>2024-10-10</t>
  </si>
  <si>
    <t>2024-10-15</t>
  </si>
  <si>
    <t>2024-11-01</t>
  </si>
  <si>
    <t>2024-12-04</t>
  </si>
  <si>
    <t>2024-12-13</t>
  </si>
  <si>
    <t>2025-01-03</t>
  </si>
  <si>
    <t>2025-01-10</t>
  </si>
  <si>
    <t>2025-02-05</t>
  </si>
  <si>
    <t>2025-02-10</t>
  </si>
  <si>
    <t>2025-03-07</t>
  </si>
  <si>
    <t>2025-04-02</t>
  </si>
  <si>
    <t>2025-04-22</t>
  </si>
  <si>
    <t>2025-04-30</t>
  </si>
  <si>
    <t>Consumer Defensive</t>
  </si>
  <si>
    <t>Consumer Cyclical</t>
  </si>
  <si>
    <t>NVDA.US split 10 for 1</t>
  </si>
  <si>
    <t>OPEN BUY 0.2267 @ 44.10</t>
  </si>
  <si>
    <t>OPEN BUY 0.4757 @ 42.02</t>
  </si>
  <si>
    <t>NEE.US USD 0.5665/ SHR</t>
  </si>
  <si>
    <t>NEE.US USD WHT 30%</t>
  </si>
  <si>
    <t>GOOGL.US USD 0.2000/ SHR</t>
  </si>
  <si>
    <t>MSFT.US USD 0.8300/ SHR</t>
  </si>
  <si>
    <t>MSFT.US USD WHT 30%</t>
  </si>
  <si>
    <t>Profit of position #1599454287</t>
  </si>
  <si>
    <t>CLOSE BUY 0.0763/0.35 @ 196.89</t>
  </si>
  <si>
    <t>Profit of position #1621495599</t>
  </si>
  <si>
    <t>CLOSE BUY 0.0817/0.35 @ 196.89</t>
  </si>
  <si>
    <t>Profit of position #1631467534</t>
  </si>
  <si>
    <t>CLOSE BUY 0.0937/0.35 @ 196.89</t>
  </si>
  <si>
    <t>Profit of position #1666449688</t>
  </si>
  <si>
    <t>CLOSE BUY 0.0932/0.35 @ 196.89</t>
  </si>
  <si>
    <t>Profit of position #1701098878</t>
  </si>
  <si>
    <t>CLOSE BUY 0.0051/0.35 @ 196.89</t>
  </si>
  <si>
    <t>AAPL.US USD 0.2600/ SHR</t>
  </si>
  <si>
    <t>EXC.US USD 0.4000/ SHR</t>
  </si>
  <si>
    <t>EXC.US USD WHT 30%</t>
  </si>
  <si>
    <t>VWO.US USD 0.0468/ SHR</t>
  </si>
  <si>
    <t>VWO.US USD WHT 30%</t>
  </si>
  <si>
    <t>YUM.US USD 0.7100/ SHR</t>
  </si>
  <si>
    <t>Sec Fee adj ING.US 20250325</t>
  </si>
  <si>
    <t>Sec Fee adj MA.US 20250326</t>
  </si>
  <si>
    <t>Sec Fee adj PEP.US 20250327</t>
  </si>
  <si>
    <t>Sec Fee adj KMB.US 20250327</t>
  </si>
  <si>
    <t>Sec Fee adj MO.US 20250327</t>
  </si>
  <si>
    <t>PEP.US USD 1.3550/ SHR</t>
  </si>
  <si>
    <t>PEP.US USD WHT 30%</t>
  </si>
  <si>
    <t>KMB.US USD 1.2600/ SHR</t>
  </si>
  <si>
    <t>KMB.US USD WHT 30%</t>
  </si>
  <si>
    <t>ING.US USD 0.1651/ SHR</t>
  </si>
  <si>
    <t>ING.US USD WHT 15%</t>
  </si>
  <si>
    <t>BND.US USD 0.2404/ SHR</t>
  </si>
  <si>
    <t>BND.US USD WHT 30%</t>
  </si>
  <si>
    <t>Sec Fee adj QCOM.US 20250123</t>
  </si>
  <si>
    <t>Sec Fee adj EXC.US 20250407</t>
  </si>
  <si>
    <t>TSM.US USD 0.6838/ SHR</t>
  </si>
  <si>
    <t>TSM.US USD WHT 21%</t>
  </si>
  <si>
    <t>Sec Fee adj EXC.US 20250417</t>
  </si>
  <si>
    <t>Sec Fee adj KMB.US 20250417</t>
  </si>
  <si>
    <t>INGR.US USD 0.8000/ SHR</t>
  </si>
  <si>
    <t>INGR.US USD WHT 30%</t>
  </si>
  <si>
    <t>Sec Fee adj SMFG.US 20240617</t>
  </si>
  <si>
    <t>Sec Fee adj PEP.US 20240617</t>
  </si>
  <si>
    <t>Sec Fee adj QCOM.US 20240621</t>
  </si>
  <si>
    <t>Sec Fee adj AVGO.US 20240621</t>
  </si>
  <si>
    <t>Sec Fee adj GILD.US 20240621</t>
  </si>
  <si>
    <t>Sec Fee adj NVDA.US 20240621</t>
  </si>
  <si>
    <t>NVDA.US USD 0.0100/ SHR</t>
  </si>
  <si>
    <t>Sec Fee adj TSM.US 20240705</t>
  </si>
  <si>
    <t>Sec Fee adj GOOGL.US 20240708</t>
  </si>
  <si>
    <t>Sec Fee adj NEE.US 20240708</t>
  </si>
  <si>
    <t>Sec Fee adj WMT.US 20240708</t>
  </si>
  <si>
    <t>Sec Fee adj TSM.US 20240708</t>
  </si>
  <si>
    <t>Sec Fee adj DUK.US 20240708</t>
  </si>
  <si>
    <t>Sec Fee adj TSM.US 20240709</t>
  </si>
  <si>
    <t>Sec Fee adj LEVI.US 20240709</t>
  </si>
  <si>
    <t>Sec Fee adj NVDA.US 20240709</t>
  </si>
  <si>
    <t>TSM.US USD 0.5580/ SHR</t>
  </si>
  <si>
    <t>Sec Fee adj AEP.US 20240710</t>
  </si>
  <si>
    <t>Sec Fee adj GOOGL.US 20240710</t>
  </si>
  <si>
    <t>Sec Fee adj MSFT.US 20240711</t>
  </si>
  <si>
    <t>Sec Fee adj SQM.US 20240711</t>
  </si>
  <si>
    <t>Sec Fee adj PANW.US 20240807</t>
  </si>
  <si>
    <t>AAPL.US USD 0.2500/ SHR</t>
  </si>
  <si>
    <t>AAPL.US USD WHT 30%</t>
  </si>
  <si>
    <t>V.US USD 0.5200/ SHR</t>
  </si>
  <si>
    <t>V.US USD WHT 30%</t>
  </si>
  <si>
    <t>AMAT.US USD 0.4000/ SHR</t>
  </si>
  <si>
    <t>AMAT.US USD WHT 30%</t>
  </si>
  <si>
    <t>MSFT.US USD 0.7500/ SHR</t>
  </si>
  <si>
    <t>NEE.US USD 0.5150/ SHR</t>
  </si>
  <si>
    <t>GOOGL.US USD WHT 30%</t>
  </si>
  <si>
    <t>Sec Fee adj V.US 20240916</t>
  </si>
  <si>
    <t>Sec Fee adj AMAT.US 20240924</t>
  </si>
  <si>
    <t>QCOM.US USD 0.8500/ SHR</t>
  </si>
  <si>
    <t>QCOM.US USD WHT 30%</t>
  </si>
  <si>
    <t>Sec Fee adj GOOGL.US 20240925</t>
  </si>
  <si>
    <t>TSM.US USD 0.6248/ SHR</t>
  </si>
  <si>
    <t>MO.US USD 1.0200/ SHR</t>
  </si>
  <si>
    <t>MO.US USD WHT 30%</t>
  </si>
  <si>
    <t>ASML.US USD 1.6554/ SHR</t>
  </si>
  <si>
    <t>ASML.US USD WHT 15%</t>
  </si>
  <si>
    <t>MA.US USD 0.6600/ SHR</t>
  </si>
  <si>
    <t>MA.US USD WHT 30%</t>
  </si>
  <si>
    <t>Sec Fee adj NVDA.US 20241107</t>
  </si>
  <si>
    <t>V.US USD 0.5900/ SHR</t>
  </si>
  <si>
    <t>YUM.US USD 0.6700/ SHR</t>
  </si>
  <si>
    <t>YUM.US USD WHT 30%</t>
  </si>
  <si>
    <t>KMB.US USD 1.2200/ SHR</t>
  </si>
  <si>
    <t>Sec Fee adj ASML.US 20250106</t>
  </si>
  <si>
    <t>TSM.US USD 0.6156/ SHR</t>
  </si>
  <si>
    <t>Sec Fee adj MAXN.US 20250110</t>
  </si>
  <si>
    <t>Sec Fee adj GOOGL.US 20250121</t>
  </si>
  <si>
    <t>Sec Fee adj V.US 20250128</t>
  </si>
  <si>
    <t>MA.US USD 0.7600/ SHR</t>
  </si>
  <si>
    <t>Sec Fee adj YUM.US 20250207</t>
  </si>
  <si>
    <t>Sec Fee adj AAPL.US 20250218</t>
  </si>
  <si>
    <t>APA.US USD 0.2500/ SHR</t>
  </si>
  <si>
    <t>APA.US USD WHT 30%</t>
  </si>
  <si>
    <t>BND.US USD 0.2364/ SHR</t>
  </si>
  <si>
    <t>Sec Fee adj MSFT.US 20250507</t>
  </si>
  <si>
    <t>ACI.US USD 0.1500/ SHR</t>
  </si>
  <si>
    <t>ACI.US USD WHT 30%</t>
  </si>
  <si>
    <t>ING.US USD 0.7678/ SHR</t>
  </si>
  <si>
    <t>Sec Fee adj MSFT.US 20250508</t>
  </si>
  <si>
    <t>tax IFTT</t>
  </si>
  <si>
    <t>FTT Spain adj BBVA.ES 20250508</t>
  </si>
  <si>
    <t>Sec Fee adj V.US 20250508</t>
  </si>
  <si>
    <t>Sec Fee adj MA.US 20250508</t>
  </si>
  <si>
    <t>ETF</t>
  </si>
  <si>
    <t>2024-05-31</t>
  </si>
  <si>
    <t>2024-06-03</t>
  </si>
  <si>
    <t>2024-06-05</t>
  </si>
  <si>
    <t>2024-06-10</t>
  </si>
  <si>
    <t>2024-06-15</t>
  </si>
  <si>
    <t>2024-06-21</t>
  </si>
  <si>
    <t>2024-06-24</t>
  </si>
  <si>
    <t>2024-06-28</t>
  </si>
  <si>
    <t>2024-07-02</t>
  </si>
  <si>
    <t>2024-07-03</t>
  </si>
  <si>
    <t>2024-07-05</t>
  </si>
  <si>
    <t>2024-07-10</t>
  </si>
  <si>
    <t>2024-07-11</t>
  </si>
  <si>
    <t>2024-07-12</t>
  </si>
  <si>
    <t>2024-07-22</t>
  </si>
  <si>
    <t>2024-07-23</t>
  </si>
  <si>
    <t>2024-07-24</t>
  </si>
  <si>
    <t>2024-07-31</t>
  </si>
  <si>
    <t>2024-08-06</t>
  </si>
  <si>
    <t>2024-08-07</t>
  </si>
  <si>
    <t>2024-08-08</t>
  </si>
  <si>
    <t>2024-08-15</t>
  </si>
  <si>
    <t>2024-08-19</t>
  </si>
  <si>
    <t>2024-09-03</t>
  </si>
  <si>
    <t>2024-09-04</t>
  </si>
  <si>
    <t>2024-09-12</t>
  </si>
  <si>
    <t>2024-09-13</t>
  </si>
  <si>
    <t>2024-09-16</t>
  </si>
  <si>
    <t>2024-09-17</t>
  </si>
  <si>
    <t>2024-09-24</t>
  </si>
  <si>
    <t>2024-09-25</t>
  </si>
  <si>
    <t>2024-09-26</t>
  </si>
  <si>
    <t>2024-09-27</t>
  </si>
  <si>
    <t>2024-10-09</t>
  </si>
  <si>
    <t>2024-10-14</t>
  </si>
  <si>
    <t>2024-10-17</t>
  </si>
  <si>
    <t>2024-10-18</t>
  </si>
  <si>
    <t>2024-10-25</t>
  </si>
  <si>
    <t>2024-10-28</t>
  </si>
  <si>
    <t>2024-10-30</t>
  </si>
  <si>
    <t>2024-11-04</t>
  </si>
  <si>
    <t>2024-11-07</t>
  </si>
  <si>
    <t>2024-11-08</t>
  </si>
  <si>
    <t>2024-11-12</t>
  </si>
  <si>
    <t>2024-11-13</t>
  </si>
  <si>
    <t>2024-11-14</t>
  </si>
  <si>
    <t>2024-11-19</t>
  </si>
  <si>
    <t>2024-11-25</t>
  </si>
  <si>
    <t>2024-11-27</t>
  </si>
  <si>
    <t>2024-11-28</t>
  </si>
  <si>
    <t>2024-11-30</t>
  </si>
  <si>
    <t>2024-12-03</t>
  </si>
  <si>
    <t>2024-12-05</t>
  </si>
  <si>
    <t>2024-12-06</t>
  </si>
  <si>
    <t>2024-12-12</t>
  </si>
  <si>
    <t>2024-12-16</t>
  </si>
  <si>
    <t>2024-12-20</t>
  </si>
  <si>
    <t>2024-12-23</t>
  </si>
  <si>
    <t>2024-12-24</t>
  </si>
  <si>
    <t>2024-12-27</t>
  </si>
  <si>
    <t>2025-01-02</t>
  </si>
  <si>
    <t>2025-01-07</t>
  </si>
  <si>
    <t>2025-01-09</t>
  </si>
  <si>
    <t>2025-01-13</t>
  </si>
  <si>
    <t>2025-01-22</t>
  </si>
  <si>
    <t>2025-01-23</t>
  </si>
  <si>
    <t>2025-01-24</t>
  </si>
  <si>
    <t>2025-01-28</t>
  </si>
  <si>
    <t>2025-01-29</t>
  </si>
  <si>
    <t>2025-01-30</t>
  </si>
  <si>
    <t>2025-02-11</t>
  </si>
  <si>
    <t>2025-02-13</t>
  </si>
  <si>
    <t>2025-02-14</t>
  </si>
  <si>
    <t>2025-02-17</t>
  </si>
  <si>
    <t>2025-02-19</t>
  </si>
  <si>
    <t>2025-02-21</t>
  </si>
  <si>
    <t>2025-02-28</t>
  </si>
  <si>
    <t>2025-03-10</t>
  </si>
  <si>
    <t>2025-03-11</t>
  </si>
  <si>
    <t>2025-03-13</t>
  </si>
  <si>
    <t>2025-03-14</t>
  </si>
  <si>
    <t>2025-03-17</t>
  </si>
  <si>
    <t>2025-03-18</t>
  </si>
  <si>
    <t>2025-03-21</t>
  </si>
  <si>
    <t>2025-03-25</t>
  </si>
  <si>
    <t>2025-03-26</t>
  </si>
  <si>
    <t>2025-04-03</t>
  </si>
  <si>
    <t>2025-04-04</t>
  </si>
  <si>
    <t>2025-04-07</t>
  </si>
  <si>
    <t>2025-04-08</t>
  </si>
  <si>
    <t>2025-04-09</t>
  </si>
  <si>
    <t>2025-04-10</t>
  </si>
  <si>
    <t>2025-04-14</t>
  </si>
  <si>
    <t>2025-04-15</t>
  </si>
  <si>
    <t>2025-04-21</t>
  </si>
  <si>
    <t>2025-05-05</t>
  </si>
  <si>
    <t>2025-05-06</t>
  </si>
  <si>
    <t>2025-05-07</t>
  </si>
  <si>
    <t>2025-05-08</t>
  </si>
  <si>
    <t>2025-05-09</t>
  </si>
  <si>
    <t>2025-05-12</t>
  </si>
  <si>
    <t>2025-05-14</t>
  </si>
  <si>
    <t>2025-05-15</t>
  </si>
  <si>
    <t>Technology</t>
  </si>
  <si>
    <t>Financial Services</t>
  </si>
  <si>
    <t>Healthcare</t>
  </si>
  <si>
    <t>CIB</t>
  </si>
  <si>
    <t>Energy &amp; Utilities</t>
  </si>
  <si>
    <t>Start Date</t>
  </si>
  <si>
    <t xml:space="preserve">Volume </t>
  </si>
  <si>
    <t xml:space="preserve"> Entry Price USD</t>
  </si>
  <si>
    <r>
      <rPr>
        <b/>
        <sz val="24"/>
        <color rgb="FF000000"/>
        <rFont val="Segoe UI"/>
      </rPr>
      <t xml:space="preserve">CLOSED POSITION </t>
    </r>
    <r>
      <rPr>
        <sz val="24"/>
        <color rgb="FF000000"/>
        <rFont val="Segoe UI"/>
      </rPr>
      <t xml:space="preserve">HISTORY </t>
    </r>
  </si>
  <si>
    <t>01/01/2006 - 16/05/2025</t>
  </si>
  <si>
    <t>Balance :</t>
  </si>
  <si>
    <r>
      <rPr>
        <b/>
        <sz val="24"/>
        <color rgb="FF000000"/>
        <rFont val="Segoe UI"/>
      </rPr>
      <t xml:space="preserve">OPEN POSITION </t>
    </r>
    <r>
      <rPr>
        <sz val="24"/>
        <color rgb="FF000000"/>
        <rFont val="Segoe UI"/>
      </rPr>
      <t xml:space="preserve">HISTORY </t>
    </r>
  </si>
  <si>
    <r>
      <rPr>
        <b/>
        <sz val="24"/>
        <color rgb="FF000000"/>
        <rFont val="Segoe UI"/>
      </rPr>
      <t xml:space="preserve">CASH OPERATION </t>
    </r>
    <r>
      <rPr>
        <sz val="24"/>
        <color rgb="FF000000"/>
        <rFont val="Segoe UI"/>
      </rPr>
      <t xml:space="preserve">HISTORY </t>
    </r>
  </si>
  <si>
    <t>CLOSE BUY 0.1 @ 188.02</t>
  </si>
  <si>
    <t>OPEN BUY 0.1548 @ 129.17</t>
  </si>
  <si>
    <t>OPEN BUY 1 @ 21.66</t>
  </si>
  <si>
    <t>OPEN BUY 0.2344 @ 42.66</t>
  </si>
  <si>
    <t>CLOSE BUY 0.0004/0.04 @ 452.34</t>
  </si>
  <si>
    <t>Profit of position #1481614059</t>
  </si>
  <si>
    <t>CLOSE BUY 0.0359/0.04 @ 452.34</t>
  </si>
  <si>
    <t>Profit of position #1517514880</t>
  </si>
  <si>
    <t>CLOSE BUY 0.0037/0.04 @ 452.34</t>
  </si>
  <si>
    <t>OPEN BUY 0.2641 @ 56.78</t>
  </si>
  <si>
    <t>Sec Fee adj FSLR.US 20250514</t>
  </si>
  <si>
    <t>OPEN BUY 0.3559 @ 28.09</t>
  </si>
  <si>
    <t>OPEN BUY 0.2894 @ 34.55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</si>
</sst>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10809]dd/mm/yyyy\ hh:mm:ss"/>
    <numFmt numFmtId="165" formatCode="[$-10809]0.00;\(0.00\)"/>
    <numFmt numFmtId="166" formatCode="[$-10809]0.0000;\(0.0000\)"/>
    <numFmt numFmtId="167" formatCode="&quot;$&quot;#,##0.00"/>
    <numFmt numFmtId="168" formatCode="mm/yyyy"/>
    <numFmt numFmtId="169" formatCode="[$-F800]dddd\,\ mmmm\ dd\,\ yyyy"/>
  </numFmts>
  <fonts count="44" x14ac:knownFonts="1">
    <font>
      <sz val="11"/>
      <color rgb="FF000000"/>
      <name val="Calibri"/>
      <family val="2"/>
      <scheme val="minor"/>
    </font>
    <font>
      <sz val="11"/>
      <name val="Calibri"/>
      <family val="2"/>
    </font>
    <font>
      <sz val="10"/>
      <color rgb="FF000000"/>
      <name val="Segoe UI"/>
      <family val="2"/>
    </font>
    <font>
      <sz val="10"/>
      <color rgb="FFD3D3D3"/>
      <name val="Arial"/>
      <family val="2"/>
    </font>
    <font>
      <b/>
      <sz val="10"/>
      <color rgb="FFD3D3D3"/>
      <name val="Arial"/>
      <family val="2"/>
    </font>
    <font>
      <sz val="10"/>
      <color rgb="FFD3D3D3"/>
      <name val="Tahoma"/>
      <family val="2"/>
    </font>
    <font>
      <sz val="8"/>
      <color rgb="FF000000"/>
      <name val="Arial"/>
      <family val="2"/>
    </font>
    <font>
      <sz val="10"/>
      <color rgb="FF000000"/>
      <name val="Arial"/>
      <family val="2"/>
    </font>
    <font>
      <b/>
      <sz val="10"/>
      <color rgb="FFD3D3D3"/>
      <name val="Tahoma"/>
      <family val="2"/>
    </font>
    <font>
      <b/>
      <sz val="24"/>
      <color rgb="FF000000"/>
      <name val="Segoe UI"/>
      <family val="2"/>
    </font>
    <font>
      <b/>
      <sz val="9"/>
      <color rgb="FFD3D3D3"/>
      <name val="Tahoma"/>
      <family val="2"/>
    </font>
    <font>
      <sz val="14"/>
      <color rgb="FF000000"/>
      <name val="Arial"/>
      <family val="2"/>
    </font>
    <font>
      <sz val="11"/>
      <color rgb="FF000000"/>
      <name val="Arial"/>
      <family val="2"/>
    </font>
    <font>
      <sz val="8"/>
      <color rgb="FF000000"/>
      <name val="Tahoma"/>
      <family val="2"/>
    </font>
    <font>
      <b/>
      <sz val="8"/>
      <color rgb="FF000000"/>
      <name val="Tahoma"/>
      <family val="2"/>
    </font>
    <font>
      <b/>
      <sz val="8"/>
      <color rgb="FF5CCC81"/>
      <name val="Tahoma"/>
      <family val="2"/>
    </font>
    <font>
      <b/>
      <sz val="8"/>
      <color rgb="FFFF3B2E"/>
      <name val="Tahoma"/>
      <family val="2"/>
    </font>
    <font>
      <b/>
      <sz val="10"/>
      <color rgb="FF000000"/>
      <name val="Tahoma"/>
      <family val="2"/>
    </font>
    <font>
      <b/>
      <sz val="14"/>
      <color rgb="FF000000"/>
      <name val="Segoe UI"/>
      <family val="2"/>
    </font>
    <font>
      <sz val="24"/>
      <color rgb="FF000000"/>
      <name val="Segoe UI"/>
      <family val="2"/>
    </font>
    <font>
      <sz val="11"/>
      <color rgb="FF000000"/>
      <name val="Calibri"/>
      <family val="2"/>
      <scheme val="minor"/>
    </font>
    <font>
      <sz val="8"/>
      <name val="Calibri"/>
      <family val="2"/>
      <scheme val="minor"/>
    </font>
    <font>
      <sz val="11"/>
      <name val="Calibri"/>
      <family val="2"/>
    </font>
    <font>
      <b/>
      <sz val="11"/>
      <name val="Calibri"/>
      <family val="2"/>
    </font>
    <font>
      <b/>
      <sz val="11"/>
      <color theme="0"/>
      <name val="Calibri"/>
      <family val="2"/>
    </font>
    <font>
      <sz val="11"/>
      <color theme="0"/>
      <name val="Calibri"/>
      <family val="2"/>
    </font>
    <font>
      <sz val="11"/>
      <name val="Calibri"/>
    </font>
    <font>
      <sz val="10"/>
      <color rgb="FF000000"/>
      <name val="Segoe UI"/>
    </font>
    <font>
      <sz val="10"/>
      <color rgb="FFD3D3D3"/>
      <name val="Arial"/>
    </font>
    <font>
      <b/>
      <sz val="10"/>
      <color rgb="FFD3D3D3"/>
      <name val="Arial"/>
    </font>
    <font>
      <sz val="10"/>
      <color rgb="FFD3D3D3"/>
      <name val="Tahoma"/>
    </font>
    <font>
      <sz val="8"/>
      <color rgb="FF000000"/>
      <name val="Arial"/>
    </font>
    <font>
      <sz val="10"/>
      <color rgb="FF000000"/>
      <name val="Arial"/>
    </font>
    <font>
      <b/>
      <sz val="10"/>
      <color rgb="FFD3D3D3"/>
      <name val="Tahoma"/>
    </font>
    <font>
      <b/>
      <sz val="24"/>
      <color rgb="FF000000"/>
      <name val="Segoe UI"/>
    </font>
    <font>
      <sz val="24"/>
      <color rgb="FF000000"/>
      <name val="Segoe UI"/>
    </font>
    <font>
      <b/>
      <sz val="9"/>
      <color rgb="FFD3D3D3"/>
      <name val="Tahoma"/>
    </font>
    <font>
      <sz val="14"/>
      <color rgb="FF000000"/>
      <name val="Arial"/>
    </font>
    <font>
      <sz val="11"/>
      <color rgb="FF000000"/>
      <name val="Arial"/>
    </font>
    <font>
      <sz val="8"/>
      <color rgb="FF000000"/>
      <name val="Tahoma"/>
    </font>
    <font>
      <b/>
      <sz val="8"/>
      <color rgb="FF000000"/>
      <name val="Tahoma"/>
    </font>
    <font>
      <b/>
      <sz val="8"/>
      <color rgb="FF5CCC81"/>
      <name val="Tahoma"/>
    </font>
    <font>
      <b/>
      <sz val="8"/>
      <color rgb="FFFF3B2E"/>
      <name val="Tahoma"/>
    </font>
    <font>
      <b/>
      <sz val="10"/>
      <color rgb="FF000000"/>
      <name val="Tahoma"/>
    </font>
  </fonts>
  <fills count="6">
    <fill>
      <patternFill patternType="none"/>
    </fill>
    <fill>
      <patternFill patternType="gray125"/>
    </fill>
    <fill>
      <patternFill patternType="solid">
        <fgColor rgb="FFFFFFFF"/>
        <bgColor rgb="FFFFFFFF"/>
      </patternFill>
    </fill>
    <fill>
      <patternFill patternType="solid">
        <fgColor rgb="FFF3F4F4"/>
        <bgColor rgb="FFF3F4F4"/>
      </patternFill>
    </fill>
    <fill>
      <patternFill patternType="solid">
        <fgColor theme="8" tint="-0.499984740745262"/>
        <bgColor theme="8" tint="-0.499984740745262"/>
      </patternFill>
    </fill>
    <fill>
      <patternFill patternType="solid">
        <fgColor theme="8" tint="0.79998168889431442"/>
        <bgColor theme="8" tint="0.79998168889431442"/>
      </patternFill>
    </fill>
  </fills>
  <borders count="4">
    <border>
      <left/>
      <right/>
      <top/>
      <bottom/>
      <diagonal/>
    </border>
    <border>
      <left/>
      <right/>
      <top style="thin">
        <color rgb="FFD3D3D3"/>
      </top>
      <bottom style="thin">
        <color rgb="FFD3D3D3"/>
      </bottom>
      <diagonal/>
    </border>
    <border>
      <left/>
      <right/>
      <top/>
      <bottom style="thin">
        <color theme="8"/>
      </bottom>
      <diagonal/>
    </border>
    <border>
      <left/>
      <right/>
      <top style="thin">
        <color theme="8" tint="0.39997558519241921"/>
      </top>
      <bottom style="thin">
        <color theme="8" tint="0.39997558519241921"/>
      </bottom>
      <diagonal/>
    </border>
  </borders>
  <cellStyleXfs count="2">
    <xf numFmtId="0" fontId="0" fillId="0" borderId="0"/>
    <xf numFmtId="9" fontId="20" fillId="0" borderId="0" applyFont="0" applyFill="0" applyBorder="0" applyAlignment="0" applyProtection="0"/>
  </cellStyleXfs>
  <cellXfs count="167">
    <xf numFmtId="0" fontId="1" fillId="0" borderId="0" xfId="0" applyFont="1"/>
    <xf numFmtId="0" fontId="2" fillId="0" borderId="0" xfId="0" applyFont="1" applyAlignment="1">
      <alignment horizontal="left" vertical="top" wrapText="1" readingOrder="1"/>
    </xf>
    <xf numFmtId="0" fontId="3" fillId="0" borderId="0" xfId="0" applyFont="1" applyAlignment="1">
      <alignment horizontal="left" vertical="top" wrapText="1" readingOrder="1"/>
    </xf>
    <xf numFmtId="0" fontId="4" fillId="2" borderId="0" xfId="0" applyFont="1" applyFill="1" applyAlignment="1">
      <alignment horizontal="center" vertical="top" wrapText="1" readingOrder="1"/>
    </xf>
    <xf numFmtId="0" fontId="5" fillId="2" borderId="0" xfId="0" applyFont="1" applyFill="1" applyAlignment="1">
      <alignment horizontal="center" vertical="top" wrapText="1" readingOrder="1"/>
    </xf>
    <xf numFmtId="164" fontId="6" fillId="2" borderId="0" xfId="0" applyNumberFormat="1" applyFont="1" applyFill="1" applyAlignment="1">
      <alignment horizontal="right" vertical="top" wrapText="1" readingOrder="1"/>
    </xf>
    <xf numFmtId="0" fontId="7" fillId="2" borderId="0" xfId="0" applyFont="1" applyFill="1" applyAlignment="1">
      <alignment horizontal="center" vertical="top" wrapText="1" readingOrder="1"/>
    </xf>
    <xf numFmtId="0" fontId="8" fillId="0" borderId="0" xfId="0" applyFont="1" applyAlignment="1">
      <alignment horizontal="left" vertical="top" wrapText="1" readingOrder="1"/>
    </xf>
    <xf numFmtId="0" fontId="8" fillId="2" borderId="0" xfId="0" applyFont="1" applyFill="1" applyAlignment="1">
      <alignment horizontal="center" vertical="top" wrapText="1" readingOrder="1"/>
    </xf>
    <xf numFmtId="0" fontId="7" fillId="0" borderId="0" xfId="0" applyFont="1" applyAlignment="1">
      <alignment horizontal="left" vertical="top" wrapText="1" readingOrder="1"/>
    </xf>
    <xf numFmtId="165" fontId="7" fillId="2" borderId="0" xfId="0" applyNumberFormat="1" applyFont="1" applyFill="1" applyAlignment="1">
      <alignment horizontal="center" vertical="top" wrapText="1" readingOrder="1"/>
    </xf>
    <xf numFmtId="0" fontId="9" fillId="0" borderId="0" xfId="0" applyFont="1" applyAlignment="1">
      <alignment horizontal="left" vertical="top" wrapText="1" readingOrder="1"/>
    </xf>
    <xf numFmtId="0" fontId="7" fillId="0" borderId="0" xfId="0" applyFont="1" applyAlignment="1">
      <alignment vertical="top" wrapText="1" readingOrder="1"/>
    </xf>
    <xf numFmtId="0" fontId="10" fillId="2" borderId="0" xfId="0" applyFont="1" applyFill="1" applyAlignment="1">
      <alignment horizontal="center" vertical="top" wrapText="1" readingOrder="1"/>
    </xf>
    <xf numFmtId="0" fontId="10" fillId="2" borderId="0" xfId="0" applyFont="1" applyFill="1" applyAlignment="1">
      <alignment horizontal="left" vertical="top" wrapText="1" readingOrder="1"/>
    </xf>
    <xf numFmtId="0" fontId="10" fillId="2" borderId="0" xfId="0" applyFont="1" applyFill="1" applyAlignment="1">
      <alignment horizontal="right" vertical="top" wrapText="1" readingOrder="1"/>
    </xf>
    <xf numFmtId="0" fontId="13" fillId="3" borderId="1" xfId="0" applyFont="1" applyFill="1" applyBorder="1" applyAlignment="1">
      <alignment horizontal="left" vertical="top" wrapText="1" readingOrder="1"/>
    </xf>
    <xf numFmtId="0" fontId="14" fillId="3" borderId="1" xfId="0" applyFont="1" applyFill="1" applyBorder="1" applyAlignment="1">
      <alignment horizontal="left" vertical="top" wrapText="1" readingOrder="1"/>
    </xf>
    <xf numFmtId="166" fontId="13" fillId="3" borderId="1" xfId="0" applyNumberFormat="1" applyFont="1" applyFill="1" applyBorder="1" applyAlignment="1">
      <alignment horizontal="left" vertical="top" wrapText="1" readingOrder="1"/>
    </xf>
    <xf numFmtId="164" fontId="13" fillId="3" borderId="1" xfId="0" applyNumberFormat="1" applyFont="1" applyFill="1" applyBorder="1" applyAlignment="1">
      <alignment horizontal="left" vertical="top" wrapText="1" readingOrder="1"/>
    </xf>
    <xf numFmtId="0" fontId="13" fillId="3" borderId="1" xfId="0" applyFont="1" applyFill="1" applyBorder="1" applyAlignment="1">
      <alignment horizontal="right" vertical="top" wrapText="1" readingOrder="1"/>
    </xf>
    <xf numFmtId="0" fontId="15" fillId="3" borderId="1" xfId="0" applyFont="1" applyFill="1" applyBorder="1" applyAlignment="1">
      <alignment horizontal="right" vertical="top" wrapText="1" readingOrder="1"/>
    </xf>
    <xf numFmtId="0" fontId="13" fillId="2" borderId="1" xfId="0" applyFont="1" applyFill="1" applyBorder="1" applyAlignment="1">
      <alignment horizontal="left" vertical="top" wrapText="1" readingOrder="1"/>
    </xf>
    <xf numFmtId="166" fontId="13" fillId="2" borderId="1" xfId="0" applyNumberFormat="1" applyFont="1" applyFill="1" applyBorder="1" applyAlignment="1">
      <alignment horizontal="left" vertical="top" wrapText="1" readingOrder="1"/>
    </xf>
    <xf numFmtId="164" fontId="13" fillId="2" borderId="1" xfId="0" applyNumberFormat="1" applyFont="1" applyFill="1" applyBorder="1" applyAlignment="1">
      <alignment horizontal="left" vertical="top" wrapText="1" readingOrder="1"/>
    </xf>
    <xf numFmtId="0" fontId="13" fillId="2" borderId="1" xfId="0" applyFont="1" applyFill="1" applyBorder="1" applyAlignment="1">
      <alignment horizontal="right" vertical="top" wrapText="1" readingOrder="1"/>
    </xf>
    <xf numFmtId="0" fontId="16" fillId="2" borderId="1" xfId="0" applyFont="1" applyFill="1" applyBorder="1" applyAlignment="1">
      <alignment horizontal="right" vertical="top" wrapText="1" readingOrder="1"/>
    </xf>
    <xf numFmtId="0" fontId="16" fillId="3" borderId="1" xfId="0" applyFont="1" applyFill="1" applyBorder="1" applyAlignment="1">
      <alignment horizontal="right" vertical="top" wrapText="1" readingOrder="1"/>
    </xf>
    <xf numFmtId="0" fontId="15" fillId="2" borderId="1" xfId="0" applyFont="1" applyFill="1" applyBorder="1" applyAlignment="1">
      <alignment horizontal="right" vertical="top" wrapText="1" readingOrder="1"/>
    </xf>
    <xf numFmtId="0" fontId="17" fillId="0" borderId="0" xfId="0" applyFont="1" applyAlignment="1">
      <alignment horizontal="left" vertical="top" wrapText="1" readingOrder="1"/>
    </xf>
    <xf numFmtId="0" fontId="17" fillId="0" borderId="0" xfId="0" applyFont="1" applyAlignment="1">
      <alignment horizontal="right" vertical="top" wrapText="1" readingOrder="1"/>
    </xf>
    <xf numFmtId="0" fontId="18" fillId="0" borderId="0" xfId="0" applyFont="1" applyAlignment="1">
      <alignment horizontal="left" vertical="top" wrapText="1" readingOrder="1"/>
    </xf>
    <xf numFmtId="164" fontId="6" fillId="0" borderId="0" xfId="0" applyNumberFormat="1" applyFont="1" applyAlignment="1">
      <alignment horizontal="right" vertical="top" wrapText="1" readingOrder="1"/>
    </xf>
    <xf numFmtId="0" fontId="14" fillId="3" borderId="1" xfId="0" applyFont="1" applyFill="1" applyBorder="1" applyAlignment="1">
      <alignment horizontal="right" vertical="top" wrapText="1" readingOrder="1"/>
    </xf>
    <xf numFmtId="0" fontId="14" fillId="2" borderId="1" xfId="0" applyFont="1" applyFill="1" applyBorder="1" applyAlignment="1">
      <alignment horizontal="right" vertical="top" wrapText="1" readingOrder="1"/>
    </xf>
    <xf numFmtId="0" fontId="17" fillId="2" borderId="0" xfId="0" applyFont="1" applyFill="1" applyAlignment="1">
      <alignment horizontal="left" vertical="top" wrapText="1" readingOrder="1"/>
    </xf>
    <xf numFmtId="0" fontId="17" fillId="2" borderId="0" xfId="0" applyFont="1" applyFill="1" applyAlignment="1">
      <alignment horizontal="right" vertical="top" wrapText="1" readingOrder="1"/>
    </xf>
    <xf numFmtId="0" fontId="22" fillId="0" borderId="0" xfId="0" applyFont="1"/>
    <xf numFmtId="0" fontId="22" fillId="0" borderId="0" xfId="0" applyFont="1" applyAlignment="1">
      <alignment horizontal="center" vertical="center" wrapText="1"/>
    </xf>
    <xf numFmtId="0" fontId="24" fillId="4" borderId="2" xfId="0" applyFont="1" applyFill="1" applyBorder="1" applyAlignment="1">
      <alignment horizontal="center" vertical="center" wrapText="1"/>
    </xf>
    <xf numFmtId="44" fontId="23" fillId="5" borderId="3" xfId="0" applyNumberFormat="1" applyFont="1" applyFill="1" applyBorder="1" applyAlignment="1">
      <alignment horizontal="center" vertical="center"/>
    </xf>
    <xf numFmtId="44" fontId="22" fillId="0" borderId="0" xfId="0" applyNumberFormat="1" applyFont="1"/>
    <xf numFmtId="167" fontId="22" fillId="0" borderId="0" xfId="0" applyNumberFormat="1" applyFont="1"/>
    <xf numFmtId="0" fontId="23" fillId="5" borderId="3" xfId="0" applyFont="1" applyFill="1" applyBorder="1" applyAlignment="1">
      <alignment horizontal="left"/>
    </xf>
    <xf numFmtId="44" fontId="23" fillId="5" borderId="3" xfId="0" applyNumberFormat="1" applyFont="1" applyFill="1" applyBorder="1"/>
    <xf numFmtId="10" fontId="23" fillId="5" borderId="3" xfId="0" applyNumberFormat="1" applyFont="1" applyFill="1" applyBorder="1" applyAlignment="1">
      <alignment horizontal="center" vertical="center"/>
    </xf>
    <xf numFmtId="0" fontId="22" fillId="5" borderId="3" xfId="0" applyFont="1" applyFill="1" applyBorder="1" applyAlignment="1">
      <alignment horizontal="left" indent="1"/>
    </xf>
    <xf numFmtId="44" fontId="22" fillId="5" borderId="3" xfId="0" applyNumberFormat="1" applyFont="1" applyFill="1" applyBorder="1"/>
    <xf numFmtId="10" fontId="22" fillId="5" borderId="3" xfId="0" applyNumberFormat="1" applyFont="1" applyFill="1" applyBorder="1" applyAlignment="1">
      <alignment horizontal="center" vertical="center"/>
    </xf>
    <xf numFmtId="2" fontId="23" fillId="5" borderId="3" xfId="0" applyNumberFormat="1" applyFont="1" applyFill="1" applyBorder="1" applyAlignment="1">
      <alignment horizontal="center" vertical="center"/>
    </xf>
    <xf numFmtId="0" fontId="22" fillId="5" borderId="3" xfId="0" applyFont="1" applyFill="1" applyBorder="1" applyAlignment="1">
      <alignment horizontal="left"/>
    </xf>
    <xf numFmtId="168" fontId="22" fillId="0" borderId="0" xfId="0" applyNumberFormat="1" applyFont="1" applyAlignment="1">
      <alignment horizontal="center" vertical="center" wrapText="1"/>
    </xf>
    <xf numFmtId="9" fontId="22" fillId="0" borderId="0" xfId="1" applyFont="1" applyAlignment="1">
      <alignment horizontal="center" vertical="center"/>
    </xf>
    <xf numFmtId="168" fontId="22" fillId="0" borderId="0" xfId="0" applyNumberFormat="1" applyFont="1"/>
    <xf numFmtId="14" fontId="22" fillId="0" borderId="0" xfId="0" applyNumberFormat="1" applyFont="1" applyAlignment="1">
      <alignment horizontal="center" vertical="center"/>
    </xf>
    <xf numFmtId="168" fontId="22" fillId="0" borderId="0" xfId="0" applyNumberFormat="1" applyFont="1" applyAlignment="1">
      <alignment horizontal="center" vertical="center"/>
    </xf>
    <xf numFmtId="0" fontId="1" fillId="0" borderId="0" xfId="0" pivotButton="1" applyFont="1"/>
    <xf numFmtId="0" fontId="1" fillId="0" borderId="0" xfId="0" applyFont="1" applyAlignment="1">
      <alignment horizontal="left"/>
    </xf>
    <xf numFmtId="167" fontId="1" fillId="0" borderId="0" xfId="0" applyNumberFormat="1" applyFont="1"/>
    <xf numFmtId="4" fontId="1" fillId="0" borderId="0" xfId="0" applyNumberFormat="1" applyFont="1"/>
    <xf numFmtId="44" fontId="1" fillId="0" borderId="0" xfId="0" applyNumberFormat="1" applyFont="1"/>
    <xf numFmtId="4" fontId="25" fillId="0" borderId="0" xfId="0" applyNumberFormat="1" applyFont="1"/>
    <xf numFmtId="44" fontId="25" fillId="0" borderId="0" xfId="0" applyNumberFormat="1" applyFont="1"/>
    <xf numFmtId="0" fontId="25" fillId="0" borderId="0" xfId="0" applyFont="1" applyAlignment="1">
      <alignment horizontal="left"/>
    </xf>
    <xf numFmtId="0" fontId="25" fillId="0" borderId="0" xfId="0" pivotButton="1" applyFont="1" applyAlignment="1">
      <alignment horizontal="center" vertical="center" wrapText="1"/>
    </xf>
    <xf numFmtId="0" fontId="25" fillId="0" borderId="0" xfId="0" applyFont="1" applyAlignment="1">
      <alignment horizontal="center" vertical="center" wrapText="1"/>
    </xf>
    <xf numFmtId="0" fontId="25" fillId="0" borderId="0" xfId="0" pivotButton="1" applyFont="1"/>
    <xf numFmtId="2" fontId="1" fillId="0" borderId="0" xfId="0" applyNumberFormat="1" applyFont="1"/>
    <xf numFmtId="10" fontId="1" fillId="0" borderId="0" xfId="0" applyNumberFormat="1" applyFont="1"/>
    <xf numFmtId="0" fontId="1" fillId="0" borderId="0" xfId="0" pivotButton="1" applyFont="1" applyAlignment="1">
      <alignment horizontal="center" vertical="center" wrapText="1"/>
    </xf>
    <xf numFmtId="0" fontId="1" fillId="0" borderId="0" xfId="0" applyFont="1" applyAlignment="1">
      <alignment horizontal="center" vertical="center" wrapText="1"/>
    </xf>
    <xf numFmtId="44" fontId="1" fillId="0" borderId="0" xfId="0" applyNumberFormat="1" applyFont="1" applyAlignment="1">
      <alignment horizontal="center" vertical="center" wrapText="1"/>
    </xf>
    <xf numFmtId="2" fontId="25" fillId="0" borderId="0" xfId="0" applyNumberFormat="1" applyFont="1"/>
    <xf numFmtId="44" fontId="25" fillId="0" borderId="0" xfId="0" applyNumberFormat="1" applyFont="1" applyAlignment="1">
      <alignment horizontal="center" vertical="center" wrapText="1"/>
    </xf>
    <xf numFmtId="10" fontId="25" fillId="0" borderId="0" xfId="0" applyNumberFormat="1" applyFont="1"/>
    <xf numFmtId="22" fontId="1" fillId="0" borderId="0" xfId="0" applyNumberFormat="1" applyFont="1" applyAlignment="1">
      <alignment horizontal="left"/>
    </xf>
    <xf numFmtId="0" fontId="1" fillId="0" borderId="0" xfId="0" applyFont="1" applyAlignment="1">
      <alignment horizontal="left" indent="1"/>
    </xf>
    <xf numFmtId="2" fontId="14" fillId="3" borderId="1" xfId="0" applyNumberFormat="1" applyFont="1" applyFill="1" applyBorder="1" applyAlignment="1">
      <alignment horizontal="left" vertical="top" wrapText="1" readingOrder="1"/>
    </xf>
    <xf numFmtId="0" fontId="25" fillId="0" borderId="0" xfId="0" applyFont="1"/>
    <xf numFmtId="169" fontId="1" fillId="0" borderId="0" xfId="0" applyNumberFormat="1" applyFont="1" applyAlignment="1">
      <alignment horizontal="left"/>
    </xf>
    <xf numFmtId="0" fontId="22" fillId="0" borderId="0" xfId="0" applyFont="1" applyAlignment="1">
      <alignment horizontal="left"/>
    </xf>
    <xf numFmtId="169" fontId="25" fillId="0" borderId="0" xfId="0" applyNumberFormat="1" applyFont="1" applyAlignment="1">
      <alignment horizontal="left"/>
    </xf>
    <xf numFmtId="0" fontId="23" fillId="0" borderId="0" xfId="0" applyFont="1" applyAlignment="1">
      <alignment horizontal="center"/>
    </xf>
    <xf numFmtId="0" fontId="13" fillId="2" borderId="1" xfId="0" applyFont="1" applyFill="1" applyBorder="1" applyAlignment="1">
      <alignment horizontal="left" vertical="top" wrapText="1" readingOrder="1"/>
    </xf>
    <xf numFmtId="0" fontId="1" fillId="0" borderId="1" xfId="0" applyFont="1" applyBorder="1" applyAlignment="1">
      <alignment vertical="top" wrapText="1"/>
    </xf>
    <xf numFmtId="0" fontId="13" fillId="3" borderId="1" xfId="0" applyFont="1" applyFill="1" applyBorder="1" applyAlignment="1">
      <alignment horizontal="left" vertical="top" wrapText="1" readingOrder="1"/>
    </xf>
    <xf numFmtId="0" fontId="17" fillId="0" borderId="0" xfId="0" applyFont="1" applyAlignment="1">
      <alignment horizontal="left" vertical="top" wrapText="1" readingOrder="1"/>
    </xf>
    <xf numFmtId="0" fontId="1" fillId="0" borderId="0" xfId="0" applyFont="1"/>
    <xf numFmtId="0" fontId="3" fillId="0" borderId="0" xfId="0" applyFont="1" applyAlignment="1">
      <alignment horizontal="left" vertical="top" wrapText="1" readingOrder="1"/>
    </xf>
    <xf numFmtId="0" fontId="4" fillId="2" borderId="0" xfId="0" applyFont="1" applyFill="1" applyAlignment="1">
      <alignment horizontal="center" vertical="top" wrapText="1" readingOrder="1"/>
    </xf>
    <xf numFmtId="164" fontId="6" fillId="2" borderId="0" xfId="0" applyNumberFormat="1" applyFont="1" applyFill="1" applyAlignment="1">
      <alignment horizontal="right" vertical="top" wrapText="1" readingOrder="1"/>
    </xf>
    <xf numFmtId="0" fontId="2" fillId="0" borderId="0" xfId="0" applyFont="1" applyAlignment="1">
      <alignment horizontal="left" vertical="top" wrapText="1" readingOrder="1"/>
    </xf>
    <xf numFmtId="0" fontId="7" fillId="2" borderId="0" xfId="0" applyFont="1" applyFill="1" applyAlignment="1">
      <alignment horizontal="center" vertical="top" wrapText="1" readingOrder="1"/>
    </xf>
    <xf numFmtId="0" fontId="7" fillId="2" borderId="0" xfId="0" applyFont="1" applyFill="1" applyAlignment="1">
      <alignment horizontal="right" vertical="top" wrapText="1" readingOrder="1"/>
    </xf>
    <xf numFmtId="0" fontId="8" fillId="0" borderId="0" xfId="0" applyFont="1" applyAlignment="1">
      <alignment horizontal="left" vertical="top" wrapText="1" readingOrder="1"/>
    </xf>
    <xf numFmtId="0" fontId="8" fillId="2" borderId="0" xfId="0" applyFont="1" applyFill="1" applyAlignment="1">
      <alignment horizontal="center" vertical="top" wrapText="1" readingOrder="1"/>
    </xf>
    <xf numFmtId="0" fontId="9" fillId="0" borderId="0" xfId="0" applyFont="1" applyAlignment="1">
      <alignment horizontal="left" vertical="top" wrapText="1" readingOrder="1"/>
    </xf>
    <xf numFmtId="0" fontId="11" fillId="0" borderId="0" xfId="0" applyFont="1" applyAlignment="1">
      <alignment horizontal="left" vertical="top" wrapText="1" readingOrder="1"/>
    </xf>
    <xf numFmtId="0" fontId="10" fillId="2" borderId="0" xfId="0" applyFont="1" applyFill="1" applyAlignment="1">
      <alignment horizontal="center" vertical="top" wrapText="1" readingOrder="1"/>
    </xf>
    <xf numFmtId="0" fontId="7" fillId="0" borderId="0" xfId="0" applyFont="1" applyAlignment="1">
      <alignment horizontal="left" vertical="top" wrapText="1" readingOrder="1"/>
    </xf>
    <xf numFmtId="165" fontId="7" fillId="2" borderId="0" xfId="0" applyNumberFormat="1" applyFont="1" applyFill="1" applyAlignment="1">
      <alignment horizontal="center" vertical="top" wrapText="1" readingOrder="1"/>
    </xf>
    <xf numFmtId="0" fontId="12" fillId="0" borderId="0" xfId="0" applyFont="1" applyAlignment="1">
      <alignment horizontal="left" vertical="top" wrapText="1" readingOrder="1"/>
    </xf>
    <xf numFmtId="0" fontId="10" fillId="2" borderId="0" xfId="0" applyFont="1" applyFill="1" applyAlignment="1">
      <alignment horizontal="left" vertical="top" wrapText="1" readingOrder="1"/>
    </xf>
    <xf numFmtId="164" fontId="11" fillId="0" borderId="0" xfId="0" applyNumberFormat="1" applyFont="1" applyAlignment="1">
      <alignment horizontal="left" vertical="top" wrapText="1" readingOrder="1"/>
    </xf>
    <xf numFmtId="0" fontId="14" fillId="3" borderId="1" xfId="0" applyFont="1" applyFill="1" applyBorder="1" applyAlignment="1">
      <alignment horizontal="left" vertical="top" wrapText="1" readingOrder="1"/>
    </xf>
    <xf numFmtId="0" fontId="14" fillId="2" borderId="1" xfId="0" applyFont="1" applyFill="1" applyBorder="1" applyAlignment="1">
      <alignment horizontal="left" vertical="top" wrapText="1" readingOrder="1"/>
    </xf>
    <xf numFmtId="0" fontId="26" fillId="0" borderId="0" xfId="0" applyFont="1"/>
    <xf numFmtId="0" fontId="26" fillId="0" borderId="0" xfId="0" applyFont="1"/>
    <xf numFmtId="0" fontId="27" fillId="0" borderId="0" xfId="0" applyFont="1" applyAlignment="1">
      <alignment horizontal="left" vertical="top" wrapText="1" readingOrder="1"/>
    </xf>
    <xf numFmtId="0" fontId="28" fillId="0" borderId="0" xfId="0" applyFont="1" applyAlignment="1">
      <alignment horizontal="left" vertical="top" wrapText="1" readingOrder="1"/>
    </xf>
    <xf numFmtId="0" fontId="29" fillId="2" borderId="0" xfId="0" applyFont="1" applyFill="1" applyAlignment="1">
      <alignment horizontal="center" vertical="top" wrapText="1" readingOrder="1"/>
    </xf>
    <xf numFmtId="0" fontId="30" fillId="2" borderId="0" xfId="0" applyFont="1" applyFill="1" applyAlignment="1">
      <alignment horizontal="center" vertical="top" wrapText="1" readingOrder="1"/>
    </xf>
    <xf numFmtId="164" fontId="31" fillId="2" borderId="0" xfId="0" applyNumberFormat="1" applyFont="1" applyFill="1" applyAlignment="1">
      <alignment horizontal="right" vertical="top" wrapText="1" readingOrder="1"/>
    </xf>
    <xf numFmtId="0" fontId="27" fillId="0" borderId="0" xfId="0" applyFont="1" applyAlignment="1">
      <alignment horizontal="left" vertical="top" wrapText="1" readingOrder="1"/>
    </xf>
    <xf numFmtId="0" fontId="32" fillId="2" borderId="0" xfId="0" applyFont="1" applyFill="1" applyAlignment="1">
      <alignment horizontal="center" vertical="top" wrapText="1" readingOrder="1"/>
    </xf>
    <xf numFmtId="0" fontId="32" fillId="2" borderId="0" xfId="0" applyFont="1" applyFill="1" applyAlignment="1">
      <alignment horizontal="right" vertical="top" wrapText="1" readingOrder="1"/>
    </xf>
    <xf numFmtId="0" fontId="33" fillId="0" borderId="0" xfId="0" applyFont="1" applyAlignment="1">
      <alignment horizontal="left" vertical="top" wrapText="1" readingOrder="1"/>
    </xf>
    <xf numFmtId="0" fontId="33" fillId="2" borderId="0" xfId="0" applyFont="1" applyFill="1" applyAlignment="1">
      <alignment horizontal="center" vertical="top" wrapText="1" readingOrder="1"/>
    </xf>
    <xf numFmtId="0" fontId="32" fillId="0" borderId="0" xfId="0" applyFont="1" applyAlignment="1">
      <alignment horizontal="left" vertical="top" wrapText="1" readingOrder="1"/>
    </xf>
    <xf numFmtId="165" fontId="32" fillId="2" borderId="0" xfId="0" applyNumberFormat="1" applyFont="1" applyFill="1" applyAlignment="1">
      <alignment horizontal="center" vertical="top" wrapText="1" readingOrder="1"/>
    </xf>
    <xf numFmtId="0" fontId="34" fillId="0" borderId="0" xfId="0" applyFont="1" applyAlignment="1">
      <alignment horizontal="left" vertical="top" wrapText="1" readingOrder="1"/>
    </xf>
    <xf numFmtId="0" fontId="32" fillId="0" borderId="0" xfId="0" applyFont="1" applyAlignment="1">
      <alignment vertical="top" wrapText="1" readingOrder="1"/>
    </xf>
    <xf numFmtId="0" fontId="36" fillId="2" borderId="0" xfId="0" applyFont="1" applyFill="1" applyAlignment="1">
      <alignment horizontal="center" vertical="top" wrapText="1" readingOrder="1"/>
    </xf>
    <xf numFmtId="0" fontId="37" fillId="0" borderId="0" xfId="0" applyFont="1" applyAlignment="1">
      <alignment horizontal="left" vertical="top" wrapText="1" readingOrder="1"/>
    </xf>
    <xf numFmtId="0" fontId="36" fillId="2" borderId="0" xfId="0" applyFont="1" applyFill="1" applyAlignment="1">
      <alignment horizontal="center" vertical="top" wrapText="1" readingOrder="1"/>
    </xf>
    <xf numFmtId="0" fontId="38" fillId="0" borderId="0" xfId="0" applyFont="1" applyAlignment="1">
      <alignment horizontal="left" vertical="top" wrapText="1" readingOrder="1"/>
    </xf>
    <xf numFmtId="0" fontId="33" fillId="0" borderId="0" xfId="0" applyFont="1" applyAlignment="1">
      <alignment horizontal="left" vertical="top" wrapText="1" readingOrder="1"/>
    </xf>
    <xf numFmtId="0" fontId="36" fillId="2" borderId="0" xfId="0" applyFont="1" applyFill="1" applyAlignment="1">
      <alignment horizontal="left" vertical="top" wrapText="1" readingOrder="1"/>
    </xf>
    <xf numFmtId="0" fontId="36" fillId="2" borderId="0" xfId="0" applyFont="1" applyFill="1" applyAlignment="1">
      <alignment horizontal="right" vertical="top" wrapText="1" readingOrder="1"/>
    </xf>
    <xf numFmtId="0" fontId="36" fillId="2" borderId="0" xfId="0" applyFont="1" applyFill="1" applyAlignment="1">
      <alignment horizontal="left" vertical="top" wrapText="1" readingOrder="1"/>
    </xf>
    <xf numFmtId="0" fontId="39" fillId="3" borderId="1" xfId="0" applyFont="1" applyFill="1" applyBorder="1" applyAlignment="1">
      <alignment horizontal="left" vertical="top" wrapText="1" readingOrder="1"/>
    </xf>
    <xf numFmtId="0" fontId="40" fillId="3" borderId="1" xfId="0" applyFont="1" applyFill="1" applyBorder="1" applyAlignment="1">
      <alignment horizontal="left" vertical="top" wrapText="1" readingOrder="1"/>
    </xf>
    <xf numFmtId="166" fontId="39" fillId="3" borderId="1" xfId="0" applyNumberFormat="1" applyFont="1" applyFill="1" applyBorder="1" applyAlignment="1">
      <alignment horizontal="left" vertical="top" wrapText="1" readingOrder="1"/>
    </xf>
    <xf numFmtId="164" fontId="39" fillId="3" borderId="1" xfId="0" applyNumberFormat="1" applyFont="1" applyFill="1" applyBorder="1" applyAlignment="1">
      <alignment horizontal="left" vertical="top" wrapText="1" readingOrder="1"/>
    </xf>
    <xf numFmtId="165" fontId="39" fillId="3" borderId="1" xfId="0" applyNumberFormat="1" applyFont="1" applyFill="1" applyBorder="1" applyAlignment="1">
      <alignment horizontal="left" vertical="top" wrapText="1" readingOrder="1"/>
    </xf>
    <xf numFmtId="0" fontId="39" fillId="3" borderId="1" xfId="0" applyFont="1" applyFill="1" applyBorder="1" applyAlignment="1">
      <alignment horizontal="right" vertical="top" wrapText="1" readingOrder="1"/>
    </xf>
    <xf numFmtId="0" fontId="41" fillId="3" borderId="1" xfId="0" applyFont="1" applyFill="1" applyBorder="1" applyAlignment="1">
      <alignment horizontal="right" vertical="top" wrapText="1" readingOrder="1"/>
    </xf>
    <xf numFmtId="0" fontId="39" fillId="3" borderId="1" xfId="0" applyFont="1" applyFill="1" applyBorder="1" applyAlignment="1">
      <alignment horizontal="left" vertical="top" wrapText="1" readingOrder="1"/>
    </xf>
    <xf numFmtId="0" fontId="26" fillId="0" borderId="1" xfId="0" applyFont="1" applyBorder="1" applyAlignment="1">
      <alignment vertical="top" wrapText="1"/>
    </xf>
    <xf numFmtId="0" fontId="39" fillId="2" borderId="1" xfId="0" applyFont="1" applyFill="1" applyBorder="1" applyAlignment="1">
      <alignment horizontal="left" vertical="top" wrapText="1" readingOrder="1"/>
    </xf>
    <xf numFmtId="0" fontId="40" fillId="2" borderId="1" xfId="0" applyFont="1" applyFill="1" applyBorder="1" applyAlignment="1">
      <alignment horizontal="left" vertical="top" wrapText="1" readingOrder="1"/>
    </xf>
    <xf numFmtId="166" fontId="39" fillId="2" borderId="1" xfId="0" applyNumberFormat="1" applyFont="1" applyFill="1" applyBorder="1" applyAlignment="1">
      <alignment horizontal="left" vertical="top" wrapText="1" readingOrder="1"/>
    </xf>
    <xf numFmtId="164" fontId="39" fillId="2" borderId="1" xfId="0" applyNumberFormat="1" applyFont="1" applyFill="1" applyBorder="1" applyAlignment="1">
      <alignment horizontal="left" vertical="top" wrapText="1" readingOrder="1"/>
    </xf>
    <xf numFmtId="165" fontId="39" fillId="2" borderId="1" xfId="0" applyNumberFormat="1" applyFont="1" applyFill="1" applyBorder="1" applyAlignment="1">
      <alignment horizontal="left" vertical="top" wrapText="1" readingOrder="1"/>
    </xf>
    <xf numFmtId="0" fontId="39" fillId="2" borderId="1" xfId="0" applyFont="1" applyFill="1" applyBorder="1" applyAlignment="1">
      <alignment horizontal="right" vertical="top" wrapText="1" readingOrder="1"/>
    </xf>
    <xf numFmtId="0" fontId="42" fillId="2" borderId="1" xfId="0" applyFont="1" applyFill="1" applyBorder="1" applyAlignment="1">
      <alignment horizontal="right" vertical="top" wrapText="1" readingOrder="1"/>
    </xf>
    <xf numFmtId="0" fontId="39" fillId="2" borderId="1" xfId="0" applyFont="1" applyFill="1" applyBorder="1" applyAlignment="1">
      <alignment horizontal="left" vertical="top" wrapText="1" readingOrder="1"/>
    </xf>
    <xf numFmtId="0" fontId="42" fillId="3" borderId="1" xfId="0" applyFont="1" applyFill="1" applyBorder="1" applyAlignment="1">
      <alignment horizontal="right" vertical="top" wrapText="1" readingOrder="1"/>
    </xf>
    <xf numFmtId="0" fontId="41" fillId="2" borderId="1" xfId="0" applyFont="1" applyFill="1" applyBorder="1" applyAlignment="1">
      <alignment horizontal="right" vertical="top" wrapText="1" readingOrder="1"/>
    </xf>
    <xf numFmtId="0" fontId="43" fillId="0" borderId="0" xfId="0" applyFont="1" applyAlignment="1">
      <alignment horizontal="left" vertical="top" wrapText="1" readingOrder="1"/>
    </xf>
    <xf numFmtId="0" fontId="43" fillId="0" borderId="0" xfId="0" applyFont="1" applyAlignment="1">
      <alignment horizontal="right" vertical="top" wrapText="1" readingOrder="1"/>
    </xf>
    <xf numFmtId="0" fontId="43" fillId="0" borderId="0" xfId="0" applyFont="1" applyAlignment="1">
      <alignment horizontal="left" vertical="top" wrapText="1" readingOrder="1"/>
    </xf>
    <xf numFmtId="0" fontId="34" fillId="0" borderId="0" xfId="0" applyFont="1" applyAlignment="1">
      <alignment horizontal="left" vertical="top" wrapText="1" readingOrder="1"/>
    </xf>
    <xf numFmtId="164" fontId="31" fillId="2" borderId="0" xfId="0" applyNumberFormat="1" applyFont="1" applyFill="1" applyAlignment="1">
      <alignment horizontal="right" vertical="top" wrapText="1" readingOrder="1"/>
    </xf>
    <xf numFmtId="0" fontId="33" fillId="2" borderId="0" xfId="0" applyFont="1" applyFill="1" applyAlignment="1">
      <alignment horizontal="center" vertical="top" wrapText="1" readingOrder="1"/>
    </xf>
    <xf numFmtId="165" fontId="32" fillId="2" borderId="0" xfId="0" applyNumberFormat="1" applyFont="1" applyFill="1" applyAlignment="1">
      <alignment horizontal="center" vertical="top" wrapText="1" readingOrder="1"/>
    </xf>
    <xf numFmtId="164" fontId="37" fillId="0" borderId="0" xfId="0" applyNumberFormat="1" applyFont="1" applyAlignment="1">
      <alignment horizontal="left" vertical="top" wrapText="1" readingOrder="1"/>
    </xf>
    <xf numFmtId="0" fontId="28" fillId="0" borderId="0" xfId="0" applyFont="1" applyAlignment="1">
      <alignment horizontal="left" vertical="top" wrapText="1" readingOrder="1"/>
    </xf>
    <xf numFmtId="0" fontId="29" fillId="2" borderId="0" xfId="0" applyFont="1" applyFill="1" applyAlignment="1">
      <alignment horizontal="center" vertical="top" wrapText="1" readingOrder="1"/>
    </xf>
    <xf numFmtId="0" fontId="32" fillId="2" borderId="0" xfId="0" applyFont="1" applyFill="1" applyAlignment="1">
      <alignment horizontal="center" vertical="top" wrapText="1" readingOrder="1"/>
    </xf>
    <xf numFmtId="0" fontId="32" fillId="0" borderId="0" xfId="0" applyFont="1" applyAlignment="1">
      <alignment horizontal="left" vertical="top" wrapText="1" readingOrder="1"/>
    </xf>
    <xf numFmtId="0" fontId="40" fillId="3" borderId="1" xfId="0" applyFont="1" applyFill="1" applyBorder="1" applyAlignment="1">
      <alignment horizontal="right" vertical="top" wrapText="1" readingOrder="1"/>
    </xf>
    <xf numFmtId="0" fontId="40" fillId="2" borderId="1" xfId="0" applyFont="1" applyFill="1" applyBorder="1" applyAlignment="1">
      <alignment horizontal="right" vertical="top" wrapText="1" readingOrder="1"/>
    </xf>
    <xf numFmtId="0" fontId="43" fillId="2" borderId="0" xfId="0" applyFont="1" applyFill="1" applyAlignment="1">
      <alignment horizontal="left" vertical="top" wrapText="1" readingOrder="1"/>
    </xf>
    <xf numFmtId="0" fontId="1" fillId="0" borderId="0" xfId="0" applyNumberFormat="1" applyFont="1"/>
    <xf numFmtId="0" fontId="25" fillId="0" borderId="0" xfId="0" applyNumberFormat="1" applyFont="1" applyAlignment="1">
      <alignment horizontal="center" vertical="center" wrapText="1"/>
    </xf>
    <xf numFmtId="0" fontId="25" fillId="0" borderId="0" xfId="0" applyNumberFormat="1" applyFont="1"/>
  </cellXfs>
  <cellStyles count="2">
    <cellStyle name="Normal" xfId="0" builtinId="0"/>
    <cellStyle name="Percent" xfId="1" builtinId="5"/>
  </cellStyles>
  <dxfs count="722">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font>
        <color theme="0"/>
      </font>
    </dxf>
    <dxf>
      <font>
        <color theme="0"/>
      </font>
    </dxf>
    <dxf>
      <numFmt numFmtId="4" formatCode="#,##0.00"/>
    </dxf>
    <dxf>
      <font>
        <color theme="0"/>
      </font>
      <alignment horizontal="center" vertical="center" wrapText="1"/>
    </dxf>
    <dxf>
      <font>
        <color theme="0"/>
      </font>
      <alignment horizontal="center" vertical="center" wrapText="1"/>
    </dxf>
    <dxf>
      <font>
        <color theme="0"/>
      </font>
    </dxf>
    <dxf>
      <font>
        <color theme="0"/>
      </font>
    </dxf>
    <dxf>
      <font>
        <color theme="0"/>
      </font>
    </dxf>
    <dxf>
      <numFmt numFmtId="4" formatCode="#,##0.00"/>
    </dxf>
    <dxf>
      <font>
        <color theme="0"/>
      </font>
      <alignment horizontal="center" vertical="center" wrapText="1"/>
    </dxf>
    <dxf>
      <font>
        <color theme="0"/>
      </font>
      <alignment horizontal="center" vertical="center" wrapText="1"/>
    </dxf>
    <dxf>
      <font>
        <color theme="0"/>
      </font>
    </dxf>
    <dxf>
      <font>
        <color theme="0"/>
      </font>
    </dxf>
    <dxf>
      <font>
        <color theme="0"/>
      </font>
    </dxf>
    <dxf>
      <numFmt numFmtId="4" formatCode="#,##0.00"/>
    </dxf>
    <dxf>
      <font>
        <color theme="0"/>
      </font>
      <alignment horizontal="center" vertical="center" wrapText="1"/>
    </dxf>
    <dxf>
      <font>
        <color theme="0"/>
      </font>
      <alignment horizontal="center" vertical="center" wrapText="1"/>
    </dxf>
    <dxf>
      <font>
        <color theme="0"/>
      </font>
    </dxf>
    <dxf>
      <font>
        <color theme="0"/>
      </font>
    </dxf>
    <dxf>
      <font>
        <color theme="0"/>
      </font>
    </dxf>
    <dxf>
      <numFmt numFmtId="4" formatCode="#,##0.00"/>
    </dxf>
    <dxf>
      <font>
        <color theme="0"/>
      </font>
      <alignment horizontal="center" vertical="center" wrapText="1"/>
    </dxf>
    <dxf>
      <font>
        <color theme="0"/>
      </font>
      <alignment horizontal="center" vertical="center" wrapText="1"/>
    </dxf>
    <dxf>
      <font>
        <color theme="0"/>
      </font>
    </dxf>
    <dxf>
      <font>
        <color theme="0"/>
      </font>
    </dxf>
    <dxf>
      <font>
        <color theme="0"/>
      </font>
    </dxf>
    <dxf>
      <numFmt numFmtId="4" formatCode="#,##0.00"/>
    </dxf>
    <dxf>
      <font>
        <color theme="0"/>
      </font>
      <alignment horizontal="center" vertical="center" wrapText="1"/>
    </dxf>
    <dxf>
      <font>
        <color theme="0"/>
      </font>
      <alignment horizontal="center" vertical="center" wrapText="1"/>
    </dxf>
    <dxf>
      <font>
        <color theme="0"/>
      </font>
    </dxf>
    <dxf>
      <font>
        <color theme="0"/>
      </font>
    </dxf>
    <dxf>
      <font>
        <color theme="0"/>
      </font>
    </dxf>
    <dxf>
      <numFmt numFmtId="4" formatCode="#,##0.00"/>
    </dxf>
    <dxf>
      <font>
        <color theme="0"/>
      </font>
      <alignment horizontal="center" vertical="center" wrapText="1"/>
    </dxf>
    <dxf>
      <font>
        <color theme="0"/>
      </font>
      <alignment horizontal="center" vertical="center" wrapText="1"/>
    </dxf>
    <dxf>
      <font>
        <color theme="0"/>
      </font>
    </dxf>
    <dxf>
      <font>
        <color theme="0"/>
      </font>
    </dxf>
    <dxf>
      <font>
        <color theme="0"/>
      </font>
    </dxf>
    <dxf>
      <numFmt numFmtId="4" formatCode="#,##0.00"/>
    </dxf>
    <dxf>
      <font>
        <color theme="0"/>
      </font>
      <alignment horizontal="center" vertical="center" wrapText="1"/>
    </dxf>
    <dxf>
      <font>
        <color theme="0"/>
      </font>
      <alignment horizontal="center" vertical="center" wrapText="1"/>
    </dxf>
    <dxf>
      <font>
        <color theme="0"/>
      </font>
    </dxf>
    <dxf>
      <font>
        <color theme="0"/>
      </font>
    </dxf>
    <dxf>
      <font>
        <color theme="0"/>
      </font>
    </dxf>
    <dxf>
      <numFmt numFmtId="4" formatCode="#,##0.00"/>
    </dxf>
    <dxf>
      <font>
        <color theme="0"/>
      </font>
      <alignment horizontal="center" vertical="center" wrapText="1"/>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font>
        <color theme="0"/>
      </font>
    </dxf>
    <dxf>
      <font>
        <color theme="0"/>
      </font>
    </dxf>
    <dxf>
      <numFmt numFmtId="4" formatCode="#,##0.00"/>
    </dxf>
    <dxf>
      <font>
        <color theme="0"/>
      </font>
      <alignment horizontal="center" vertical="center" wrapText="1"/>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font>
        <color theme="0"/>
      </font>
    </dxf>
    <dxf>
      <font>
        <color theme="0"/>
      </font>
    </dxf>
    <dxf>
      <numFmt numFmtId="4" formatCode="#,##0.00"/>
    </dxf>
    <dxf>
      <font>
        <color theme="0"/>
      </font>
      <alignment horizontal="center" vertical="center" wrapText="1"/>
    </dxf>
    <dxf>
      <font>
        <color theme="0"/>
      </font>
      <alignment horizontal="center" vertical="center" wrapText="1"/>
    </dxf>
    <dxf>
      <font>
        <color theme="0"/>
      </font>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font>
        <color theme="0"/>
      </font>
    </dxf>
    <dxf>
      <font>
        <color theme="0"/>
      </font>
    </dxf>
    <dxf>
      <numFmt numFmtId="4" formatCode="#,##0.00"/>
    </dxf>
    <dxf>
      <font>
        <color theme="0"/>
      </font>
      <alignment horizontal="center" vertical="center" wrapText="1"/>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font>
        <color theme="0"/>
      </font>
    </dxf>
    <dxf>
      <font>
        <color theme="0"/>
      </font>
    </dxf>
    <dxf>
      <numFmt numFmtId="4" formatCode="#,##0.00"/>
    </dxf>
    <dxf>
      <font>
        <color theme="0"/>
      </font>
      <alignment horizontal="center" vertical="center" wrapText="1"/>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19" formatCode="m/d/yyyy"/>
    </dxf>
    <dxf>
      <numFmt numFmtId="169" formatCode="[$-F800]dddd\,\ mmmm\ dd\,\ yyyy"/>
    </dxf>
    <dxf>
      <alignment horizontal="left"/>
    </dxf>
    <dxf>
      <alignment horizontal="left"/>
    </dxf>
    <dxf>
      <numFmt numFmtId="34" formatCode="_(&quot;$&quot;* #,##0.00_);_(&quot;$&quot;* \(#,##0.00\);_(&quot;$&quot;* &quot;-&quot;??_);_(@_)"/>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2" formatCode="0.00"/>
    </dxf>
    <dxf>
      <alignment horizontal="center" vertical="center" wrapText="1"/>
    </dxf>
    <dxf>
      <alignment horizontal="center" vertical="center" wrapText="1"/>
    </dxf>
    <dxf>
      <alignment wrapText="1"/>
    </dxf>
    <dxf>
      <alignment horizontal="center" vertical="center" wrapText="1"/>
    </dxf>
    <dxf>
      <numFmt numFmtId="0" formatCode="General"/>
      <alignment horizontal="center" vertical="center" wrapText="1"/>
    </dxf>
    <dxf>
      <alignment horizontal="center" vertical="center" wrapText="1"/>
    </dxf>
    <dxf>
      <font>
        <color theme="0"/>
      </font>
    </dxf>
    <dxf>
      <font>
        <color theme="0"/>
      </font>
    </dxf>
    <dxf>
      <font>
        <color theme="0"/>
      </font>
    </dxf>
    <dxf>
      <font>
        <color theme="0"/>
      </font>
    </dxf>
    <dxf>
      <numFmt numFmtId="34" formatCode="_(&quot;$&quot;* #,##0.00_);_(&quot;$&quot;* \(#,##0.00\);_(&quot;$&quot;* &quot;-&quot;??_);_(@_)"/>
    </dxf>
    <dxf>
      <numFmt numFmtId="34" formatCode="_(&quot;$&quot;* #,##0.00_);_(&quot;$&quot;* \(#,##0.00\);_(&quot;$&quot;* &quot;-&quot;??_);_(@_)"/>
    </dxf>
    <dxf>
      <numFmt numFmtId="14" formatCode="0.00%"/>
    </dxf>
    <dxf>
      <font>
        <color theme="0"/>
      </font>
      <alignment horizontal="center" vertical="center" wrapText="1"/>
    </dxf>
    <dxf>
      <font>
        <color theme="0"/>
      </font>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34" formatCode="_(&quot;$&quot;* #,##0.00_);_(&quot;$&quot;* \(#,##0.00\);_(&quot;$&quot;* &quot;-&quot;??_);_(@_)"/>
    </dxf>
    <dxf>
      <alignment horizontal="left"/>
    </dxf>
    <dxf>
      <alignment horizontal="left"/>
    </dxf>
    <dxf>
      <numFmt numFmtId="169" formatCode="[$-F800]dddd\,\ mmmm\ dd\,\ yyyy"/>
    </dxf>
    <dxf>
      <numFmt numFmtId="19" formatCode="m/d/yyyy"/>
    </dxf>
    <dxf>
      <font>
        <color theme="0"/>
      </font>
    </dxf>
    <dxf>
      <font>
        <color theme="0"/>
      </font>
      <alignment horizontal="center" vertical="center" wrapText="1"/>
    </dxf>
    <dxf>
      <numFmt numFmtId="14" formatCode="0.00%"/>
    </dxf>
    <dxf>
      <numFmt numFmtId="34" formatCode="_(&quot;$&quot;* #,##0.00_);_(&quot;$&quot;* \(#,##0.00\);_(&quot;$&quot;* &quot;-&quot;??_);_(@_)"/>
    </dxf>
    <dxf>
      <numFmt numFmtId="34" formatCode="_(&quot;$&quot;* #,##0.00_);_(&quot;$&quot;* \(#,##0.00\);_(&quot;$&quot;* &quot;-&quot;??_);_(@_)"/>
    </dxf>
    <dxf>
      <font>
        <color theme="0"/>
      </font>
    </dxf>
    <dxf>
      <font>
        <color theme="0"/>
      </font>
    </dxf>
    <dxf>
      <font>
        <color theme="0"/>
      </font>
    </dxf>
    <dxf>
      <font>
        <color theme="0"/>
      </font>
    </dxf>
    <dxf>
      <alignment horizontal="center" vertical="center" wrapText="1"/>
    </dxf>
    <dxf>
      <numFmt numFmtId="0" formatCode="General"/>
      <alignment horizontal="center" vertical="center" wrapText="1"/>
    </dxf>
    <dxf>
      <alignment horizontal="center" vertical="center" wrapText="1"/>
    </dxf>
    <dxf>
      <alignment wrapText="1"/>
    </dxf>
    <dxf>
      <alignment horizontal="center" vertical="center" wrapText="1"/>
    </dxf>
    <dxf>
      <alignment horizontal="center" vertical="center" wrapText="1"/>
    </dxf>
    <dxf>
      <numFmt numFmtId="2" formatCode="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font>
        <color theme="0"/>
      </font>
    </dxf>
    <dxf>
      <font>
        <color theme="0"/>
      </font>
      <alignment horizontal="center" vertical="center" wrapText="1"/>
    </dxf>
    <dxf>
      <font>
        <color theme="0"/>
      </font>
      <alignment horizontal="center" vertical="center" wrapText="1"/>
    </dxf>
    <dxf>
      <numFmt numFmtId="4" formatCode="#,##0.00"/>
    </dxf>
    <dxf>
      <font>
        <color theme="0"/>
      </font>
    </dxf>
    <dxf>
      <font>
        <color theme="0"/>
      </font>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
      <alignment horizontal="center" vertical="center" wrapText="1"/>
    </dxf>
    <dxf>
      <alignment horizontal="center" vertical="center" wrapText="1"/>
    </dxf>
    <dxf>
      <numFmt numFmtId="167" formatCode="&quot;$&quot;#,##0.0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FFFF"/>
      <rgbColor rgb="00F3F4F4"/>
      <rgbColor rgb="005CCC81"/>
      <rgbColor rgb="00FF3B2E"/>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externalLink" Target="externalLinks/externalLink1.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Ganancias</a:t>
            </a:r>
            <a:r>
              <a:rPr lang="en-US" baseline="0"/>
              <a:t> Realizadas - Flujo de Caja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2"/>
          <c:order val="2"/>
          <c:tx>
            <c:strRef>
              <c:f>Summary!$O$6</c:f>
              <c:strCache>
                <c:ptCount val="1"/>
                <c:pt idx="0">
                  <c:v>Net Income</c:v>
                </c:pt>
              </c:strCache>
            </c:strRef>
          </c:tx>
          <c:spPr>
            <a:solidFill>
              <a:schemeClr val="accent3"/>
            </a:solidFill>
            <a:ln>
              <a:noFill/>
            </a:ln>
            <a:effectLst/>
          </c:spPr>
          <c:cat>
            <c:numRef>
              <c:f>Summary!$L$7:$L$145</c:f>
              <c:numCache>
                <c:formatCode>mm/yyyy</c:formatCode>
                <c:ptCount val="139"/>
                <c:pt idx="0">
                  <c:v>45443</c:v>
                </c:pt>
                <c:pt idx="1">
                  <c:v>45446</c:v>
                </c:pt>
                <c:pt idx="2">
                  <c:v>45448</c:v>
                </c:pt>
                <c:pt idx="3">
                  <c:v>45449</c:v>
                </c:pt>
                <c:pt idx="4">
                  <c:v>45453</c:v>
                </c:pt>
                <c:pt idx="5">
                  <c:v>45458</c:v>
                </c:pt>
                <c:pt idx="6">
                  <c:v>45460</c:v>
                </c:pt>
                <c:pt idx="7">
                  <c:v>45461</c:v>
                </c:pt>
                <c:pt idx="8">
                  <c:v>45464</c:v>
                </c:pt>
                <c:pt idx="9">
                  <c:v>45467</c:v>
                </c:pt>
                <c:pt idx="10">
                  <c:v>45471</c:v>
                </c:pt>
                <c:pt idx="11">
                  <c:v>45475</c:v>
                </c:pt>
                <c:pt idx="12">
                  <c:v>45476</c:v>
                </c:pt>
                <c:pt idx="13">
                  <c:v>45478</c:v>
                </c:pt>
                <c:pt idx="14">
                  <c:v>45481</c:v>
                </c:pt>
                <c:pt idx="15">
                  <c:v>45482</c:v>
                </c:pt>
                <c:pt idx="16">
                  <c:v>45483</c:v>
                </c:pt>
                <c:pt idx="17">
                  <c:v>45484</c:v>
                </c:pt>
                <c:pt idx="18">
                  <c:v>45485</c:v>
                </c:pt>
                <c:pt idx="19">
                  <c:v>45495</c:v>
                </c:pt>
                <c:pt idx="20">
                  <c:v>45496</c:v>
                </c:pt>
                <c:pt idx="21">
                  <c:v>45497</c:v>
                </c:pt>
                <c:pt idx="22">
                  <c:v>45504</c:v>
                </c:pt>
                <c:pt idx="23">
                  <c:v>45510</c:v>
                </c:pt>
                <c:pt idx="24">
                  <c:v>45511</c:v>
                </c:pt>
                <c:pt idx="25">
                  <c:v>45512</c:v>
                </c:pt>
                <c:pt idx="26">
                  <c:v>45518</c:v>
                </c:pt>
                <c:pt idx="27">
                  <c:v>45519</c:v>
                </c:pt>
                <c:pt idx="28">
                  <c:v>45523</c:v>
                </c:pt>
                <c:pt idx="29">
                  <c:v>45538</c:v>
                </c:pt>
                <c:pt idx="30">
                  <c:v>45539</c:v>
                </c:pt>
                <c:pt idx="31">
                  <c:v>45544</c:v>
                </c:pt>
                <c:pt idx="32">
                  <c:v>45547</c:v>
                </c:pt>
                <c:pt idx="33">
                  <c:v>45548</c:v>
                </c:pt>
                <c:pt idx="34">
                  <c:v>45551</c:v>
                </c:pt>
                <c:pt idx="35">
                  <c:v>45552</c:v>
                </c:pt>
                <c:pt idx="36">
                  <c:v>45553</c:v>
                </c:pt>
                <c:pt idx="37">
                  <c:v>45559</c:v>
                </c:pt>
                <c:pt idx="38">
                  <c:v>45560</c:v>
                </c:pt>
                <c:pt idx="39">
                  <c:v>45561</c:v>
                </c:pt>
                <c:pt idx="40">
                  <c:v>45562</c:v>
                </c:pt>
                <c:pt idx="41">
                  <c:v>45565</c:v>
                </c:pt>
                <c:pt idx="42">
                  <c:v>45568</c:v>
                </c:pt>
                <c:pt idx="43">
                  <c:v>45574</c:v>
                </c:pt>
                <c:pt idx="44">
                  <c:v>45575</c:v>
                </c:pt>
                <c:pt idx="45">
                  <c:v>45579</c:v>
                </c:pt>
                <c:pt idx="46">
                  <c:v>45580</c:v>
                </c:pt>
                <c:pt idx="47">
                  <c:v>45582</c:v>
                </c:pt>
                <c:pt idx="48">
                  <c:v>45583</c:v>
                </c:pt>
                <c:pt idx="49">
                  <c:v>45590</c:v>
                </c:pt>
                <c:pt idx="50">
                  <c:v>45593</c:v>
                </c:pt>
                <c:pt idx="51">
                  <c:v>45595</c:v>
                </c:pt>
                <c:pt idx="52">
                  <c:v>45597</c:v>
                </c:pt>
                <c:pt idx="53">
                  <c:v>45600</c:v>
                </c:pt>
                <c:pt idx="54">
                  <c:v>45603</c:v>
                </c:pt>
                <c:pt idx="55">
                  <c:v>45604</c:v>
                </c:pt>
                <c:pt idx="56">
                  <c:v>45608</c:v>
                </c:pt>
                <c:pt idx="57">
                  <c:v>45609</c:v>
                </c:pt>
                <c:pt idx="58">
                  <c:v>45610</c:v>
                </c:pt>
                <c:pt idx="59">
                  <c:v>45615</c:v>
                </c:pt>
                <c:pt idx="60">
                  <c:v>45621</c:v>
                </c:pt>
                <c:pt idx="61">
                  <c:v>45623</c:v>
                </c:pt>
                <c:pt idx="62">
                  <c:v>45624</c:v>
                </c:pt>
                <c:pt idx="63">
                  <c:v>45626</c:v>
                </c:pt>
                <c:pt idx="64">
                  <c:v>45628</c:v>
                </c:pt>
                <c:pt idx="65">
                  <c:v>45629</c:v>
                </c:pt>
                <c:pt idx="66">
                  <c:v>45630</c:v>
                </c:pt>
                <c:pt idx="67">
                  <c:v>45631</c:v>
                </c:pt>
                <c:pt idx="68">
                  <c:v>45632</c:v>
                </c:pt>
                <c:pt idx="69">
                  <c:v>45638</c:v>
                </c:pt>
                <c:pt idx="70">
                  <c:v>45639</c:v>
                </c:pt>
                <c:pt idx="71">
                  <c:v>45642</c:v>
                </c:pt>
                <c:pt idx="72">
                  <c:v>45645</c:v>
                </c:pt>
                <c:pt idx="73">
                  <c:v>45646</c:v>
                </c:pt>
                <c:pt idx="74">
                  <c:v>45649</c:v>
                </c:pt>
                <c:pt idx="75">
                  <c:v>45650</c:v>
                </c:pt>
                <c:pt idx="76">
                  <c:v>45653</c:v>
                </c:pt>
                <c:pt idx="77">
                  <c:v>45659</c:v>
                </c:pt>
                <c:pt idx="78">
                  <c:v>45660</c:v>
                </c:pt>
                <c:pt idx="79">
                  <c:v>45663</c:v>
                </c:pt>
                <c:pt idx="80">
                  <c:v>45664</c:v>
                </c:pt>
                <c:pt idx="81">
                  <c:v>45666</c:v>
                </c:pt>
                <c:pt idx="82">
                  <c:v>45667</c:v>
                </c:pt>
                <c:pt idx="83">
                  <c:v>45670</c:v>
                </c:pt>
                <c:pt idx="84">
                  <c:v>45678</c:v>
                </c:pt>
                <c:pt idx="85">
                  <c:v>45679</c:v>
                </c:pt>
                <c:pt idx="86">
                  <c:v>45680</c:v>
                </c:pt>
                <c:pt idx="87">
                  <c:v>45681</c:v>
                </c:pt>
                <c:pt idx="88">
                  <c:v>45685</c:v>
                </c:pt>
                <c:pt idx="89">
                  <c:v>45686</c:v>
                </c:pt>
                <c:pt idx="90">
                  <c:v>45687</c:v>
                </c:pt>
                <c:pt idx="91">
                  <c:v>45692</c:v>
                </c:pt>
                <c:pt idx="92">
                  <c:v>45693</c:v>
                </c:pt>
                <c:pt idx="93">
                  <c:v>45695</c:v>
                </c:pt>
                <c:pt idx="94">
                  <c:v>45698</c:v>
                </c:pt>
                <c:pt idx="95">
                  <c:v>45699</c:v>
                </c:pt>
                <c:pt idx="96">
                  <c:v>45701</c:v>
                </c:pt>
                <c:pt idx="97">
                  <c:v>45702</c:v>
                </c:pt>
                <c:pt idx="98">
                  <c:v>45705</c:v>
                </c:pt>
                <c:pt idx="99">
                  <c:v>45706</c:v>
                </c:pt>
                <c:pt idx="100">
                  <c:v>45707</c:v>
                </c:pt>
                <c:pt idx="101">
                  <c:v>45708</c:v>
                </c:pt>
                <c:pt idx="102">
                  <c:v>45709</c:v>
                </c:pt>
                <c:pt idx="103">
                  <c:v>45716</c:v>
                </c:pt>
                <c:pt idx="104">
                  <c:v>45723</c:v>
                </c:pt>
                <c:pt idx="105">
                  <c:v>45726</c:v>
                </c:pt>
                <c:pt idx="106">
                  <c:v>45727</c:v>
                </c:pt>
                <c:pt idx="107">
                  <c:v>45729</c:v>
                </c:pt>
                <c:pt idx="108">
                  <c:v>45730</c:v>
                </c:pt>
                <c:pt idx="109">
                  <c:v>45733</c:v>
                </c:pt>
                <c:pt idx="110">
                  <c:v>45734</c:v>
                </c:pt>
                <c:pt idx="111">
                  <c:v>45737</c:v>
                </c:pt>
                <c:pt idx="112">
                  <c:v>45741</c:v>
                </c:pt>
                <c:pt idx="113">
                  <c:v>45742</c:v>
                </c:pt>
                <c:pt idx="114">
                  <c:v>45743</c:v>
                </c:pt>
                <c:pt idx="115">
                  <c:v>45744</c:v>
                </c:pt>
                <c:pt idx="116">
                  <c:v>45747</c:v>
                </c:pt>
                <c:pt idx="117">
                  <c:v>45749</c:v>
                </c:pt>
                <c:pt idx="118">
                  <c:v>45750</c:v>
                </c:pt>
                <c:pt idx="119">
                  <c:v>45751</c:v>
                </c:pt>
                <c:pt idx="120">
                  <c:v>45754</c:v>
                </c:pt>
                <c:pt idx="121">
                  <c:v>45755</c:v>
                </c:pt>
                <c:pt idx="122">
                  <c:v>45756</c:v>
                </c:pt>
                <c:pt idx="123">
                  <c:v>45757</c:v>
                </c:pt>
                <c:pt idx="124">
                  <c:v>45761</c:v>
                </c:pt>
                <c:pt idx="125">
                  <c:v>45762</c:v>
                </c:pt>
                <c:pt idx="126">
                  <c:v>45764</c:v>
                </c:pt>
                <c:pt idx="127">
                  <c:v>45765</c:v>
                </c:pt>
                <c:pt idx="128">
                  <c:v>45768</c:v>
                </c:pt>
                <c:pt idx="129">
                  <c:v>45769</c:v>
                </c:pt>
                <c:pt idx="130">
                  <c:v>45777</c:v>
                </c:pt>
                <c:pt idx="131">
                  <c:v>45782</c:v>
                </c:pt>
                <c:pt idx="132">
                  <c:v>45783</c:v>
                </c:pt>
                <c:pt idx="133">
                  <c:v>45784</c:v>
                </c:pt>
                <c:pt idx="134">
                  <c:v>45785</c:v>
                </c:pt>
                <c:pt idx="135">
                  <c:v>45786</c:v>
                </c:pt>
                <c:pt idx="136">
                  <c:v>45789</c:v>
                </c:pt>
                <c:pt idx="137">
                  <c:v>45791</c:v>
                </c:pt>
                <c:pt idx="138">
                  <c:v>45792</c:v>
                </c:pt>
              </c:numCache>
            </c:numRef>
          </c:cat>
          <c:val>
            <c:numRef>
              <c:f>Summary!$O$7:$O$145</c:f>
              <c:numCache>
                <c:formatCode>"$"#,##0.00</c:formatCode>
                <c:ptCount val="139"/>
                <c:pt idx="0">
                  <c:v>0</c:v>
                </c:pt>
                <c:pt idx="1">
                  <c:v>0</c:v>
                </c:pt>
                <c:pt idx="2">
                  <c:v>0</c:v>
                </c:pt>
                <c:pt idx="3">
                  <c:v>0</c:v>
                </c:pt>
                <c:pt idx="4">
                  <c:v>0</c:v>
                </c:pt>
                <c:pt idx="5">
                  <c:v>0</c:v>
                </c:pt>
                <c:pt idx="6">
                  <c:v>0</c:v>
                </c:pt>
                <c:pt idx="7">
                  <c:v>0</c:v>
                </c:pt>
                <c:pt idx="8">
                  <c:v>2.02</c:v>
                </c:pt>
                <c:pt idx="9">
                  <c:v>2.02</c:v>
                </c:pt>
                <c:pt idx="10">
                  <c:v>2.02</c:v>
                </c:pt>
                <c:pt idx="11">
                  <c:v>2.02</c:v>
                </c:pt>
                <c:pt idx="12">
                  <c:v>2.02</c:v>
                </c:pt>
                <c:pt idx="13">
                  <c:v>5.7200000000000006</c:v>
                </c:pt>
                <c:pt idx="14">
                  <c:v>6.370000000000001</c:v>
                </c:pt>
                <c:pt idx="15">
                  <c:v>6.0600000000000005</c:v>
                </c:pt>
                <c:pt idx="16">
                  <c:v>6.0600000000000005</c:v>
                </c:pt>
                <c:pt idx="17">
                  <c:v>6.8400000000000007</c:v>
                </c:pt>
                <c:pt idx="18">
                  <c:v>6.8400000000000007</c:v>
                </c:pt>
                <c:pt idx="19">
                  <c:v>6.8400000000000007</c:v>
                </c:pt>
                <c:pt idx="20">
                  <c:v>6.8400000000000007</c:v>
                </c:pt>
                <c:pt idx="21">
                  <c:v>6.8400000000000007</c:v>
                </c:pt>
                <c:pt idx="22">
                  <c:v>6.8400000000000007</c:v>
                </c:pt>
                <c:pt idx="23">
                  <c:v>6.8400000000000007</c:v>
                </c:pt>
                <c:pt idx="24">
                  <c:v>6.8400000000000007</c:v>
                </c:pt>
                <c:pt idx="25">
                  <c:v>6.8400000000000007</c:v>
                </c:pt>
                <c:pt idx="26">
                  <c:v>6.8400000000000007</c:v>
                </c:pt>
                <c:pt idx="27">
                  <c:v>6.8500000000000005</c:v>
                </c:pt>
                <c:pt idx="28">
                  <c:v>6.8500000000000005</c:v>
                </c:pt>
                <c:pt idx="29">
                  <c:v>6.87</c:v>
                </c:pt>
                <c:pt idx="30">
                  <c:v>6.87</c:v>
                </c:pt>
                <c:pt idx="31">
                  <c:v>6.87</c:v>
                </c:pt>
                <c:pt idx="32">
                  <c:v>6.9</c:v>
                </c:pt>
                <c:pt idx="33">
                  <c:v>6.9</c:v>
                </c:pt>
                <c:pt idx="34">
                  <c:v>8.68</c:v>
                </c:pt>
                <c:pt idx="35">
                  <c:v>8.68</c:v>
                </c:pt>
                <c:pt idx="36">
                  <c:v>8.68</c:v>
                </c:pt>
                <c:pt idx="37">
                  <c:v>4.7299999999999995</c:v>
                </c:pt>
                <c:pt idx="38">
                  <c:v>0.94999999999999973</c:v>
                </c:pt>
                <c:pt idx="39">
                  <c:v>1.0299999999999998</c:v>
                </c:pt>
                <c:pt idx="40">
                  <c:v>1.0299999999999998</c:v>
                </c:pt>
                <c:pt idx="41">
                  <c:v>1.1399999999999999</c:v>
                </c:pt>
                <c:pt idx="42">
                  <c:v>1.1399999999999999</c:v>
                </c:pt>
                <c:pt idx="43">
                  <c:v>1.2</c:v>
                </c:pt>
                <c:pt idx="44">
                  <c:v>1.69</c:v>
                </c:pt>
                <c:pt idx="45">
                  <c:v>1.69</c:v>
                </c:pt>
                <c:pt idx="46">
                  <c:v>1.69</c:v>
                </c:pt>
                <c:pt idx="47">
                  <c:v>1.69</c:v>
                </c:pt>
                <c:pt idx="48">
                  <c:v>1.69</c:v>
                </c:pt>
                <c:pt idx="49">
                  <c:v>1.69</c:v>
                </c:pt>
                <c:pt idx="50">
                  <c:v>1.69</c:v>
                </c:pt>
                <c:pt idx="51">
                  <c:v>1.69</c:v>
                </c:pt>
                <c:pt idx="52">
                  <c:v>1.69</c:v>
                </c:pt>
                <c:pt idx="53">
                  <c:v>1.69</c:v>
                </c:pt>
                <c:pt idx="54">
                  <c:v>4.29</c:v>
                </c:pt>
                <c:pt idx="55">
                  <c:v>4.3</c:v>
                </c:pt>
                <c:pt idx="56">
                  <c:v>4.3</c:v>
                </c:pt>
                <c:pt idx="57">
                  <c:v>4.3</c:v>
                </c:pt>
                <c:pt idx="58">
                  <c:v>4.33</c:v>
                </c:pt>
                <c:pt idx="59">
                  <c:v>4.33</c:v>
                </c:pt>
                <c:pt idx="60">
                  <c:v>4.33</c:v>
                </c:pt>
                <c:pt idx="61">
                  <c:v>4.33</c:v>
                </c:pt>
                <c:pt idx="62">
                  <c:v>4.33</c:v>
                </c:pt>
                <c:pt idx="63">
                  <c:v>4.33</c:v>
                </c:pt>
                <c:pt idx="64">
                  <c:v>4.3899999999999997</c:v>
                </c:pt>
                <c:pt idx="65">
                  <c:v>4.3899999999999997</c:v>
                </c:pt>
                <c:pt idx="66">
                  <c:v>4.3899999999999997</c:v>
                </c:pt>
                <c:pt idx="67">
                  <c:v>4.3899999999999997</c:v>
                </c:pt>
                <c:pt idx="68">
                  <c:v>4.3899999999999997</c:v>
                </c:pt>
                <c:pt idx="69">
                  <c:v>4.46</c:v>
                </c:pt>
                <c:pt idx="70">
                  <c:v>4.54</c:v>
                </c:pt>
                <c:pt idx="71">
                  <c:v>4.62</c:v>
                </c:pt>
                <c:pt idx="72">
                  <c:v>4.74</c:v>
                </c:pt>
                <c:pt idx="73">
                  <c:v>4.74</c:v>
                </c:pt>
                <c:pt idx="74">
                  <c:v>4.74</c:v>
                </c:pt>
                <c:pt idx="75">
                  <c:v>4.74</c:v>
                </c:pt>
                <c:pt idx="76">
                  <c:v>4.74</c:v>
                </c:pt>
                <c:pt idx="77">
                  <c:v>4.74</c:v>
                </c:pt>
                <c:pt idx="78">
                  <c:v>5.04</c:v>
                </c:pt>
                <c:pt idx="79">
                  <c:v>6.4700000000000006</c:v>
                </c:pt>
                <c:pt idx="80">
                  <c:v>6.4700000000000006</c:v>
                </c:pt>
                <c:pt idx="81">
                  <c:v>6.6400000000000006</c:v>
                </c:pt>
                <c:pt idx="82">
                  <c:v>3.2800000000000002</c:v>
                </c:pt>
                <c:pt idx="83">
                  <c:v>3.2700000000000005</c:v>
                </c:pt>
                <c:pt idx="84">
                  <c:v>7.1400000000000006</c:v>
                </c:pt>
                <c:pt idx="85">
                  <c:v>7.1400000000000006</c:v>
                </c:pt>
                <c:pt idx="86">
                  <c:v>4.0500000000000007</c:v>
                </c:pt>
                <c:pt idx="87">
                  <c:v>4.330000000000001</c:v>
                </c:pt>
                <c:pt idx="88">
                  <c:v>14.64</c:v>
                </c:pt>
                <c:pt idx="89">
                  <c:v>14.64</c:v>
                </c:pt>
                <c:pt idx="90">
                  <c:v>14.64</c:v>
                </c:pt>
                <c:pt idx="91">
                  <c:v>14.64</c:v>
                </c:pt>
                <c:pt idx="92">
                  <c:v>14.64</c:v>
                </c:pt>
                <c:pt idx="93">
                  <c:v>17.45</c:v>
                </c:pt>
                <c:pt idx="94">
                  <c:v>17.45</c:v>
                </c:pt>
                <c:pt idx="95">
                  <c:v>17.45</c:v>
                </c:pt>
                <c:pt idx="96">
                  <c:v>17.48</c:v>
                </c:pt>
                <c:pt idx="97">
                  <c:v>17.48</c:v>
                </c:pt>
                <c:pt idx="98">
                  <c:v>17.48</c:v>
                </c:pt>
                <c:pt idx="99">
                  <c:v>20.490000000000002</c:v>
                </c:pt>
                <c:pt idx="100">
                  <c:v>20.490000000000002</c:v>
                </c:pt>
                <c:pt idx="101">
                  <c:v>20.490000000000002</c:v>
                </c:pt>
                <c:pt idx="102">
                  <c:v>20.8</c:v>
                </c:pt>
                <c:pt idx="103">
                  <c:v>20.8</c:v>
                </c:pt>
                <c:pt idx="104">
                  <c:v>20.8</c:v>
                </c:pt>
                <c:pt idx="105">
                  <c:v>20.8</c:v>
                </c:pt>
                <c:pt idx="106">
                  <c:v>20.8</c:v>
                </c:pt>
                <c:pt idx="107">
                  <c:v>20.88</c:v>
                </c:pt>
                <c:pt idx="108">
                  <c:v>21.09</c:v>
                </c:pt>
                <c:pt idx="109">
                  <c:v>21.4</c:v>
                </c:pt>
                <c:pt idx="110">
                  <c:v>21.4</c:v>
                </c:pt>
                <c:pt idx="111">
                  <c:v>21.4</c:v>
                </c:pt>
                <c:pt idx="112">
                  <c:v>24.509999999999998</c:v>
                </c:pt>
                <c:pt idx="113">
                  <c:v>25.43</c:v>
                </c:pt>
                <c:pt idx="114">
                  <c:v>26.48</c:v>
                </c:pt>
                <c:pt idx="115">
                  <c:v>26.48</c:v>
                </c:pt>
                <c:pt idx="116">
                  <c:v>26.96</c:v>
                </c:pt>
                <c:pt idx="117">
                  <c:v>27.41</c:v>
                </c:pt>
                <c:pt idx="118">
                  <c:v>27.580000000000002</c:v>
                </c:pt>
                <c:pt idx="119">
                  <c:v>27.580000000000002</c:v>
                </c:pt>
                <c:pt idx="120">
                  <c:v>30.240000000000002</c:v>
                </c:pt>
                <c:pt idx="121">
                  <c:v>30.240000000000002</c:v>
                </c:pt>
                <c:pt idx="122">
                  <c:v>30.240000000000002</c:v>
                </c:pt>
                <c:pt idx="123">
                  <c:v>30.62</c:v>
                </c:pt>
                <c:pt idx="124">
                  <c:v>30.62</c:v>
                </c:pt>
                <c:pt idx="125">
                  <c:v>30.62</c:v>
                </c:pt>
                <c:pt idx="126">
                  <c:v>30.45</c:v>
                </c:pt>
                <c:pt idx="127">
                  <c:v>30.45</c:v>
                </c:pt>
                <c:pt idx="128">
                  <c:v>30.45</c:v>
                </c:pt>
                <c:pt idx="129">
                  <c:v>30.64</c:v>
                </c:pt>
                <c:pt idx="130">
                  <c:v>31.88</c:v>
                </c:pt>
                <c:pt idx="131">
                  <c:v>39.43</c:v>
                </c:pt>
                <c:pt idx="132">
                  <c:v>39.43</c:v>
                </c:pt>
                <c:pt idx="133">
                  <c:v>39.409999999999997</c:v>
                </c:pt>
                <c:pt idx="134">
                  <c:v>45.05</c:v>
                </c:pt>
                <c:pt idx="135">
                  <c:v>47.97</c:v>
                </c:pt>
                <c:pt idx="136">
                  <c:v>47.97</c:v>
                </c:pt>
                <c:pt idx="137">
                  <c:v>56.25</c:v>
                </c:pt>
                <c:pt idx="138">
                  <c:v>62.55</c:v>
                </c:pt>
              </c:numCache>
            </c:numRef>
          </c:val>
          <c:extLst>
            <c:ext xmlns:c16="http://schemas.microsoft.com/office/drawing/2014/chart" uri="{C3380CC4-5D6E-409C-BE32-E72D297353CC}">
              <c16:uniqueId val="{00000000-73FA-4328-AB54-51EA4306FF4B}"/>
            </c:ext>
          </c:extLst>
        </c:ser>
        <c:dLbls>
          <c:showLegendKey val="0"/>
          <c:showVal val="0"/>
          <c:showCatName val="0"/>
          <c:showSerName val="0"/>
          <c:showPercent val="0"/>
          <c:showBubbleSize val="0"/>
        </c:dLbls>
        <c:axId val="1961389776"/>
        <c:axId val="1961393136"/>
        <c:extLst>
          <c:ext xmlns:c15="http://schemas.microsoft.com/office/drawing/2012/chart" uri="{02D57815-91ED-43cb-92C2-25804820EDAC}">
            <c15:filteredAreaSeries>
              <c15:ser>
                <c:idx val="0"/>
                <c:order val="0"/>
                <c:tx>
                  <c:strRef>
                    <c:extLst>
                      <c:ext uri="{02D57815-91ED-43cb-92C2-25804820EDAC}">
                        <c15:formulaRef>
                          <c15:sqref>Summary!$M$6</c15:sqref>
                        </c15:formulaRef>
                      </c:ext>
                    </c:extLst>
                    <c:strCache>
                      <c:ptCount val="1"/>
                      <c:pt idx="0">
                        <c:v>DEPOSIT BALANCE</c:v>
                      </c:pt>
                    </c:strCache>
                  </c:strRef>
                </c:tx>
                <c:spPr>
                  <a:solidFill>
                    <a:schemeClr val="accent1"/>
                  </a:solidFill>
                  <a:ln>
                    <a:noFill/>
                  </a:ln>
                  <a:effectLst/>
                </c:spPr>
                <c:cat>
                  <c:numRef>
                    <c:extLst>
                      <c:ext uri="{02D57815-91ED-43cb-92C2-25804820EDAC}">
                        <c15:formulaRef>
                          <c15:sqref>Summary!$L$7:$L$145</c15:sqref>
                        </c15:formulaRef>
                      </c:ext>
                    </c:extLst>
                    <c:numCache>
                      <c:formatCode>mm/yyyy</c:formatCode>
                      <c:ptCount val="139"/>
                      <c:pt idx="0">
                        <c:v>45443</c:v>
                      </c:pt>
                      <c:pt idx="1">
                        <c:v>45446</c:v>
                      </c:pt>
                      <c:pt idx="2">
                        <c:v>45448</c:v>
                      </c:pt>
                      <c:pt idx="3">
                        <c:v>45449</c:v>
                      </c:pt>
                      <c:pt idx="4">
                        <c:v>45453</c:v>
                      </c:pt>
                      <c:pt idx="5">
                        <c:v>45458</c:v>
                      </c:pt>
                      <c:pt idx="6">
                        <c:v>45460</c:v>
                      </c:pt>
                      <c:pt idx="7">
                        <c:v>45461</c:v>
                      </c:pt>
                      <c:pt idx="8">
                        <c:v>45464</c:v>
                      </c:pt>
                      <c:pt idx="9">
                        <c:v>45467</c:v>
                      </c:pt>
                      <c:pt idx="10">
                        <c:v>45471</c:v>
                      </c:pt>
                      <c:pt idx="11">
                        <c:v>45475</c:v>
                      </c:pt>
                      <c:pt idx="12">
                        <c:v>45476</c:v>
                      </c:pt>
                      <c:pt idx="13">
                        <c:v>45478</c:v>
                      </c:pt>
                      <c:pt idx="14">
                        <c:v>45481</c:v>
                      </c:pt>
                      <c:pt idx="15">
                        <c:v>45482</c:v>
                      </c:pt>
                      <c:pt idx="16">
                        <c:v>45483</c:v>
                      </c:pt>
                      <c:pt idx="17">
                        <c:v>45484</c:v>
                      </c:pt>
                      <c:pt idx="18">
                        <c:v>45485</c:v>
                      </c:pt>
                      <c:pt idx="19">
                        <c:v>45495</c:v>
                      </c:pt>
                      <c:pt idx="20">
                        <c:v>45496</c:v>
                      </c:pt>
                      <c:pt idx="21">
                        <c:v>45497</c:v>
                      </c:pt>
                      <c:pt idx="22">
                        <c:v>45504</c:v>
                      </c:pt>
                      <c:pt idx="23">
                        <c:v>45510</c:v>
                      </c:pt>
                      <c:pt idx="24">
                        <c:v>45511</c:v>
                      </c:pt>
                      <c:pt idx="25">
                        <c:v>45512</c:v>
                      </c:pt>
                      <c:pt idx="26">
                        <c:v>45518</c:v>
                      </c:pt>
                      <c:pt idx="27">
                        <c:v>45519</c:v>
                      </c:pt>
                      <c:pt idx="28">
                        <c:v>45523</c:v>
                      </c:pt>
                      <c:pt idx="29">
                        <c:v>45538</c:v>
                      </c:pt>
                      <c:pt idx="30">
                        <c:v>45539</c:v>
                      </c:pt>
                      <c:pt idx="31">
                        <c:v>45544</c:v>
                      </c:pt>
                      <c:pt idx="32">
                        <c:v>45547</c:v>
                      </c:pt>
                      <c:pt idx="33">
                        <c:v>45548</c:v>
                      </c:pt>
                      <c:pt idx="34">
                        <c:v>45551</c:v>
                      </c:pt>
                      <c:pt idx="35">
                        <c:v>45552</c:v>
                      </c:pt>
                      <c:pt idx="36">
                        <c:v>45553</c:v>
                      </c:pt>
                      <c:pt idx="37">
                        <c:v>45559</c:v>
                      </c:pt>
                      <c:pt idx="38">
                        <c:v>45560</c:v>
                      </c:pt>
                      <c:pt idx="39">
                        <c:v>45561</c:v>
                      </c:pt>
                      <c:pt idx="40">
                        <c:v>45562</c:v>
                      </c:pt>
                      <c:pt idx="41">
                        <c:v>45565</c:v>
                      </c:pt>
                      <c:pt idx="42">
                        <c:v>45568</c:v>
                      </c:pt>
                      <c:pt idx="43">
                        <c:v>45574</c:v>
                      </c:pt>
                      <c:pt idx="44">
                        <c:v>45575</c:v>
                      </c:pt>
                      <c:pt idx="45">
                        <c:v>45579</c:v>
                      </c:pt>
                      <c:pt idx="46">
                        <c:v>45580</c:v>
                      </c:pt>
                      <c:pt idx="47">
                        <c:v>45582</c:v>
                      </c:pt>
                      <c:pt idx="48">
                        <c:v>45583</c:v>
                      </c:pt>
                      <c:pt idx="49">
                        <c:v>45590</c:v>
                      </c:pt>
                      <c:pt idx="50">
                        <c:v>45593</c:v>
                      </c:pt>
                      <c:pt idx="51">
                        <c:v>45595</c:v>
                      </c:pt>
                      <c:pt idx="52">
                        <c:v>45597</c:v>
                      </c:pt>
                      <c:pt idx="53">
                        <c:v>45600</c:v>
                      </c:pt>
                      <c:pt idx="54">
                        <c:v>45603</c:v>
                      </c:pt>
                      <c:pt idx="55">
                        <c:v>45604</c:v>
                      </c:pt>
                      <c:pt idx="56">
                        <c:v>45608</c:v>
                      </c:pt>
                      <c:pt idx="57">
                        <c:v>45609</c:v>
                      </c:pt>
                      <c:pt idx="58">
                        <c:v>45610</c:v>
                      </c:pt>
                      <c:pt idx="59">
                        <c:v>45615</c:v>
                      </c:pt>
                      <c:pt idx="60">
                        <c:v>45621</c:v>
                      </c:pt>
                      <c:pt idx="61">
                        <c:v>45623</c:v>
                      </c:pt>
                      <c:pt idx="62">
                        <c:v>45624</c:v>
                      </c:pt>
                      <c:pt idx="63">
                        <c:v>45626</c:v>
                      </c:pt>
                      <c:pt idx="64">
                        <c:v>45628</c:v>
                      </c:pt>
                      <c:pt idx="65">
                        <c:v>45629</c:v>
                      </c:pt>
                      <c:pt idx="66">
                        <c:v>45630</c:v>
                      </c:pt>
                      <c:pt idx="67">
                        <c:v>45631</c:v>
                      </c:pt>
                      <c:pt idx="68">
                        <c:v>45632</c:v>
                      </c:pt>
                      <c:pt idx="69">
                        <c:v>45638</c:v>
                      </c:pt>
                      <c:pt idx="70">
                        <c:v>45639</c:v>
                      </c:pt>
                      <c:pt idx="71">
                        <c:v>45642</c:v>
                      </c:pt>
                      <c:pt idx="72">
                        <c:v>45645</c:v>
                      </c:pt>
                      <c:pt idx="73">
                        <c:v>45646</c:v>
                      </c:pt>
                      <c:pt idx="74">
                        <c:v>45649</c:v>
                      </c:pt>
                      <c:pt idx="75">
                        <c:v>45650</c:v>
                      </c:pt>
                      <c:pt idx="76">
                        <c:v>45653</c:v>
                      </c:pt>
                      <c:pt idx="77">
                        <c:v>45659</c:v>
                      </c:pt>
                      <c:pt idx="78">
                        <c:v>45660</c:v>
                      </c:pt>
                      <c:pt idx="79">
                        <c:v>45663</c:v>
                      </c:pt>
                      <c:pt idx="80">
                        <c:v>45664</c:v>
                      </c:pt>
                      <c:pt idx="81">
                        <c:v>45666</c:v>
                      </c:pt>
                      <c:pt idx="82">
                        <c:v>45667</c:v>
                      </c:pt>
                      <c:pt idx="83">
                        <c:v>45670</c:v>
                      </c:pt>
                      <c:pt idx="84">
                        <c:v>45678</c:v>
                      </c:pt>
                      <c:pt idx="85">
                        <c:v>45679</c:v>
                      </c:pt>
                      <c:pt idx="86">
                        <c:v>45680</c:v>
                      </c:pt>
                      <c:pt idx="87">
                        <c:v>45681</c:v>
                      </c:pt>
                      <c:pt idx="88">
                        <c:v>45685</c:v>
                      </c:pt>
                      <c:pt idx="89">
                        <c:v>45686</c:v>
                      </c:pt>
                      <c:pt idx="90">
                        <c:v>45687</c:v>
                      </c:pt>
                      <c:pt idx="91">
                        <c:v>45692</c:v>
                      </c:pt>
                      <c:pt idx="92">
                        <c:v>45693</c:v>
                      </c:pt>
                      <c:pt idx="93">
                        <c:v>45695</c:v>
                      </c:pt>
                      <c:pt idx="94">
                        <c:v>45698</c:v>
                      </c:pt>
                      <c:pt idx="95">
                        <c:v>45699</c:v>
                      </c:pt>
                      <c:pt idx="96">
                        <c:v>45701</c:v>
                      </c:pt>
                      <c:pt idx="97">
                        <c:v>45702</c:v>
                      </c:pt>
                      <c:pt idx="98">
                        <c:v>45705</c:v>
                      </c:pt>
                      <c:pt idx="99">
                        <c:v>45706</c:v>
                      </c:pt>
                      <c:pt idx="100">
                        <c:v>45707</c:v>
                      </c:pt>
                      <c:pt idx="101">
                        <c:v>45708</c:v>
                      </c:pt>
                      <c:pt idx="102">
                        <c:v>45709</c:v>
                      </c:pt>
                      <c:pt idx="103">
                        <c:v>45716</c:v>
                      </c:pt>
                      <c:pt idx="104">
                        <c:v>45723</c:v>
                      </c:pt>
                      <c:pt idx="105">
                        <c:v>45726</c:v>
                      </c:pt>
                      <c:pt idx="106">
                        <c:v>45727</c:v>
                      </c:pt>
                      <c:pt idx="107">
                        <c:v>45729</c:v>
                      </c:pt>
                      <c:pt idx="108">
                        <c:v>45730</c:v>
                      </c:pt>
                      <c:pt idx="109">
                        <c:v>45733</c:v>
                      </c:pt>
                      <c:pt idx="110">
                        <c:v>45734</c:v>
                      </c:pt>
                      <c:pt idx="111">
                        <c:v>45737</c:v>
                      </c:pt>
                      <c:pt idx="112">
                        <c:v>45741</c:v>
                      </c:pt>
                      <c:pt idx="113">
                        <c:v>45742</c:v>
                      </c:pt>
                      <c:pt idx="114">
                        <c:v>45743</c:v>
                      </c:pt>
                      <c:pt idx="115">
                        <c:v>45744</c:v>
                      </c:pt>
                      <c:pt idx="116">
                        <c:v>45747</c:v>
                      </c:pt>
                      <c:pt idx="117">
                        <c:v>45749</c:v>
                      </c:pt>
                      <c:pt idx="118">
                        <c:v>45750</c:v>
                      </c:pt>
                      <c:pt idx="119">
                        <c:v>45751</c:v>
                      </c:pt>
                      <c:pt idx="120">
                        <c:v>45754</c:v>
                      </c:pt>
                      <c:pt idx="121">
                        <c:v>45755</c:v>
                      </c:pt>
                      <c:pt idx="122">
                        <c:v>45756</c:v>
                      </c:pt>
                      <c:pt idx="123">
                        <c:v>45757</c:v>
                      </c:pt>
                      <c:pt idx="124">
                        <c:v>45761</c:v>
                      </c:pt>
                      <c:pt idx="125">
                        <c:v>45762</c:v>
                      </c:pt>
                      <c:pt idx="126">
                        <c:v>45764</c:v>
                      </c:pt>
                      <c:pt idx="127">
                        <c:v>45765</c:v>
                      </c:pt>
                      <c:pt idx="128">
                        <c:v>45768</c:v>
                      </c:pt>
                      <c:pt idx="129">
                        <c:v>45769</c:v>
                      </c:pt>
                      <c:pt idx="130">
                        <c:v>45777</c:v>
                      </c:pt>
                      <c:pt idx="131">
                        <c:v>45782</c:v>
                      </c:pt>
                      <c:pt idx="132">
                        <c:v>45783</c:v>
                      </c:pt>
                      <c:pt idx="133">
                        <c:v>45784</c:v>
                      </c:pt>
                      <c:pt idx="134">
                        <c:v>45785</c:v>
                      </c:pt>
                      <c:pt idx="135">
                        <c:v>45786</c:v>
                      </c:pt>
                      <c:pt idx="136">
                        <c:v>45789</c:v>
                      </c:pt>
                      <c:pt idx="137">
                        <c:v>45791</c:v>
                      </c:pt>
                      <c:pt idx="138">
                        <c:v>45792</c:v>
                      </c:pt>
                    </c:numCache>
                  </c:numRef>
                </c:cat>
                <c:val>
                  <c:numRef>
                    <c:extLst>
                      <c:ext uri="{02D57815-91ED-43cb-92C2-25804820EDAC}">
                        <c15:formulaRef>
                          <c15:sqref>Summary!$M$7:$M$138</c15:sqref>
                        </c15:formulaRef>
                      </c:ext>
                    </c:extLst>
                    <c:numCache>
                      <c:formatCode>"$"#,##0.00</c:formatCode>
                      <c:ptCount val="132"/>
                      <c:pt idx="0">
                        <c:v>100</c:v>
                      </c:pt>
                      <c:pt idx="1">
                        <c:v>100</c:v>
                      </c:pt>
                      <c:pt idx="2">
                        <c:v>100</c:v>
                      </c:pt>
                      <c:pt idx="3">
                        <c:v>100</c:v>
                      </c:pt>
                      <c:pt idx="4">
                        <c:v>100</c:v>
                      </c:pt>
                      <c:pt idx="5">
                        <c:v>150</c:v>
                      </c:pt>
                      <c:pt idx="6">
                        <c:v>150</c:v>
                      </c:pt>
                      <c:pt idx="7">
                        <c:v>150</c:v>
                      </c:pt>
                      <c:pt idx="8">
                        <c:v>150</c:v>
                      </c:pt>
                      <c:pt idx="9">
                        <c:v>150</c:v>
                      </c:pt>
                      <c:pt idx="10">
                        <c:v>150</c:v>
                      </c:pt>
                      <c:pt idx="11">
                        <c:v>200</c:v>
                      </c:pt>
                      <c:pt idx="12">
                        <c:v>200</c:v>
                      </c:pt>
                      <c:pt idx="13">
                        <c:v>200</c:v>
                      </c:pt>
                      <c:pt idx="14">
                        <c:v>200</c:v>
                      </c:pt>
                      <c:pt idx="15">
                        <c:v>200</c:v>
                      </c:pt>
                      <c:pt idx="16">
                        <c:v>200</c:v>
                      </c:pt>
                      <c:pt idx="17">
                        <c:v>200</c:v>
                      </c:pt>
                      <c:pt idx="18">
                        <c:v>200</c:v>
                      </c:pt>
                      <c:pt idx="19">
                        <c:v>250</c:v>
                      </c:pt>
                      <c:pt idx="20">
                        <c:v>250</c:v>
                      </c:pt>
                      <c:pt idx="21">
                        <c:v>250</c:v>
                      </c:pt>
                      <c:pt idx="22">
                        <c:v>250</c:v>
                      </c:pt>
                      <c:pt idx="23">
                        <c:v>300</c:v>
                      </c:pt>
                      <c:pt idx="24">
                        <c:v>300</c:v>
                      </c:pt>
                      <c:pt idx="25">
                        <c:v>300</c:v>
                      </c:pt>
                      <c:pt idx="26">
                        <c:v>350</c:v>
                      </c:pt>
                      <c:pt idx="27">
                        <c:v>350</c:v>
                      </c:pt>
                      <c:pt idx="28">
                        <c:v>350</c:v>
                      </c:pt>
                      <c:pt idx="29">
                        <c:v>350</c:v>
                      </c:pt>
                      <c:pt idx="30">
                        <c:v>400</c:v>
                      </c:pt>
                      <c:pt idx="31">
                        <c:v>400</c:v>
                      </c:pt>
                      <c:pt idx="32">
                        <c:v>400</c:v>
                      </c:pt>
                      <c:pt idx="33">
                        <c:v>400</c:v>
                      </c:pt>
                      <c:pt idx="34">
                        <c:v>400</c:v>
                      </c:pt>
                      <c:pt idx="35">
                        <c:v>400</c:v>
                      </c:pt>
                      <c:pt idx="36">
                        <c:v>400</c:v>
                      </c:pt>
                      <c:pt idx="37">
                        <c:v>450</c:v>
                      </c:pt>
                      <c:pt idx="38">
                        <c:v>450</c:v>
                      </c:pt>
                      <c:pt idx="39">
                        <c:v>450</c:v>
                      </c:pt>
                      <c:pt idx="40">
                        <c:v>450</c:v>
                      </c:pt>
                      <c:pt idx="41">
                        <c:v>450</c:v>
                      </c:pt>
                      <c:pt idx="42">
                        <c:v>450</c:v>
                      </c:pt>
                      <c:pt idx="43">
                        <c:v>500</c:v>
                      </c:pt>
                      <c:pt idx="44">
                        <c:v>500</c:v>
                      </c:pt>
                      <c:pt idx="45">
                        <c:v>500</c:v>
                      </c:pt>
                      <c:pt idx="46">
                        <c:v>500</c:v>
                      </c:pt>
                      <c:pt idx="47">
                        <c:v>550</c:v>
                      </c:pt>
                      <c:pt idx="48">
                        <c:v>550</c:v>
                      </c:pt>
                      <c:pt idx="49">
                        <c:v>550</c:v>
                      </c:pt>
                      <c:pt idx="50">
                        <c:v>550</c:v>
                      </c:pt>
                      <c:pt idx="51">
                        <c:v>550</c:v>
                      </c:pt>
                      <c:pt idx="52">
                        <c:v>600</c:v>
                      </c:pt>
                      <c:pt idx="53">
                        <c:v>600</c:v>
                      </c:pt>
                      <c:pt idx="54">
                        <c:v>600</c:v>
                      </c:pt>
                      <c:pt idx="55">
                        <c:v>600</c:v>
                      </c:pt>
                      <c:pt idx="56">
                        <c:v>600</c:v>
                      </c:pt>
                      <c:pt idx="57">
                        <c:v>600</c:v>
                      </c:pt>
                      <c:pt idx="58">
                        <c:v>600</c:v>
                      </c:pt>
                      <c:pt idx="59">
                        <c:v>600</c:v>
                      </c:pt>
                      <c:pt idx="60">
                        <c:v>600</c:v>
                      </c:pt>
                      <c:pt idx="61">
                        <c:v>685</c:v>
                      </c:pt>
                      <c:pt idx="62">
                        <c:v>685</c:v>
                      </c:pt>
                      <c:pt idx="63">
                        <c:v>770</c:v>
                      </c:pt>
                      <c:pt idx="64">
                        <c:v>770</c:v>
                      </c:pt>
                      <c:pt idx="65">
                        <c:v>770</c:v>
                      </c:pt>
                      <c:pt idx="66">
                        <c:v>770</c:v>
                      </c:pt>
                      <c:pt idx="67">
                        <c:v>770</c:v>
                      </c:pt>
                      <c:pt idx="68">
                        <c:v>770</c:v>
                      </c:pt>
                      <c:pt idx="69">
                        <c:v>770</c:v>
                      </c:pt>
                      <c:pt idx="70">
                        <c:v>770</c:v>
                      </c:pt>
                      <c:pt idx="71">
                        <c:v>770</c:v>
                      </c:pt>
                      <c:pt idx="72">
                        <c:v>855</c:v>
                      </c:pt>
                      <c:pt idx="73">
                        <c:v>855</c:v>
                      </c:pt>
                      <c:pt idx="74">
                        <c:v>855</c:v>
                      </c:pt>
                      <c:pt idx="75">
                        <c:v>855</c:v>
                      </c:pt>
                      <c:pt idx="76">
                        <c:v>855</c:v>
                      </c:pt>
                      <c:pt idx="77">
                        <c:v>855</c:v>
                      </c:pt>
                      <c:pt idx="78">
                        <c:v>855</c:v>
                      </c:pt>
                      <c:pt idx="79">
                        <c:v>940</c:v>
                      </c:pt>
                      <c:pt idx="80">
                        <c:v>940</c:v>
                      </c:pt>
                      <c:pt idx="81">
                        <c:v>940</c:v>
                      </c:pt>
                      <c:pt idx="82">
                        <c:v>940</c:v>
                      </c:pt>
                      <c:pt idx="83">
                        <c:v>940</c:v>
                      </c:pt>
                      <c:pt idx="84">
                        <c:v>940</c:v>
                      </c:pt>
                      <c:pt idx="85">
                        <c:v>940</c:v>
                      </c:pt>
                      <c:pt idx="86">
                        <c:v>940</c:v>
                      </c:pt>
                      <c:pt idx="87">
                        <c:v>940</c:v>
                      </c:pt>
                      <c:pt idx="88">
                        <c:v>940</c:v>
                      </c:pt>
                      <c:pt idx="89">
                        <c:v>940</c:v>
                      </c:pt>
                      <c:pt idx="90">
                        <c:v>940</c:v>
                      </c:pt>
                      <c:pt idx="91">
                        <c:v>1025</c:v>
                      </c:pt>
                      <c:pt idx="92">
                        <c:v>1025</c:v>
                      </c:pt>
                      <c:pt idx="93">
                        <c:v>1025</c:v>
                      </c:pt>
                      <c:pt idx="94">
                        <c:v>1025</c:v>
                      </c:pt>
                      <c:pt idx="95">
                        <c:v>1025</c:v>
                      </c:pt>
                      <c:pt idx="96">
                        <c:v>1025</c:v>
                      </c:pt>
                      <c:pt idx="97">
                        <c:v>1110</c:v>
                      </c:pt>
                      <c:pt idx="98">
                        <c:v>1110</c:v>
                      </c:pt>
                      <c:pt idx="99">
                        <c:v>1110</c:v>
                      </c:pt>
                      <c:pt idx="100">
                        <c:v>1110</c:v>
                      </c:pt>
                      <c:pt idx="101">
                        <c:v>1110</c:v>
                      </c:pt>
                      <c:pt idx="102">
                        <c:v>1110</c:v>
                      </c:pt>
                      <c:pt idx="103">
                        <c:v>1195</c:v>
                      </c:pt>
                      <c:pt idx="104">
                        <c:v>1195</c:v>
                      </c:pt>
                      <c:pt idx="105">
                        <c:v>1195</c:v>
                      </c:pt>
                      <c:pt idx="106">
                        <c:v>1195</c:v>
                      </c:pt>
                      <c:pt idx="107">
                        <c:v>1195</c:v>
                      </c:pt>
                      <c:pt idx="108">
                        <c:v>1280</c:v>
                      </c:pt>
                      <c:pt idx="109">
                        <c:v>1280</c:v>
                      </c:pt>
                      <c:pt idx="110">
                        <c:v>1280</c:v>
                      </c:pt>
                      <c:pt idx="111">
                        <c:v>1280</c:v>
                      </c:pt>
                      <c:pt idx="112">
                        <c:v>1280</c:v>
                      </c:pt>
                      <c:pt idx="113">
                        <c:v>1280</c:v>
                      </c:pt>
                      <c:pt idx="114">
                        <c:v>1365</c:v>
                      </c:pt>
                      <c:pt idx="115">
                        <c:v>1365</c:v>
                      </c:pt>
                      <c:pt idx="116">
                        <c:v>1365</c:v>
                      </c:pt>
                      <c:pt idx="117">
                        <c:v>1365</c:v>
                      </c:pt>
                      <c:pt idx="118">
                        <c:v>1365</c:v>
                      </c:pt>
                      <c:pt idx="119">
                        <c:v>1565</c:v>
                      </c:pt>
                      <c:pt idx="120">
                        <c:v>1565</c:v>
                      </c:pt>
                      <c:pt idx="121">
                        <c:v>1565</c:v>
                      </c:pt>
                      <c:pt idx="122">
                        <c:v>1565</c:v>
                      </c:pt>
                      <c:pt idx="123">
                        <c:v>1565</c:v>
                      </c:pt>
                      <c:pt idx="124">
                        <c:v>1565</c:v>
                      </c:pt>
                      <c:pt idx="125">
                        <c:v>1565</c:v>
                      </c:pt>
                      <c:pt idx="126">
                        <c:v>1565</c:v>
                      </c:pt>
                      <c:pt idx="127">
                        <c:v>1565</c:v>
                      </c:pt>
                      <c:pt idx="128">
                        <c:v>1565</c:v>
                      </c:pt>
                      <c:pt idx="129">
                        <c:v>1565</c:v>
                      </c:pt>
                      <c:pt idx="130">
                        <c:v>1565</c:v>
                      </c:pt>
                      <c:pt idx="131">
                        <c:v>1565</c:v>
                      </c:pt>
                    </c:numCache>
                  </c:numRef>
                </c:val>
                <c:extLst>
                  <c:ext xmlns:c16="http://schemas.microsoft.com/office/drawing/2014/chart" uri="{C3380CC4-5D6E-409C-BE32-E72D297353CC}">
                    <c16:uniqueId val="{00000003-73FA-4328-AB54-51EA4306FF4B}"/>
                  </c:ext>
                </c:extLst>
              </c15:ser>
            </c15:filteredAreaSeries>
          </c:ext>
        </c:extLst>
      </c:areaChart>
      <c:barChart>
        <c:barDir val="col"/>
        <c:grouping val="clustered"/>
        <c:varyColors val="0"/>
        <c:dLbls>
          <c:showLegendKey val="0"/>
          <c:showVal val="0"/>
          <c:showCatName val="0"/>
          <c:showSerName val="0"/>
          <c:showPercent val="0"/>
          <c:showBubbleSize val="0"/>
        </c:dLbls>
        <c:gapWidth val="219"/>
        <c:overlap val="-27"/>
        <c:axId val="1961392656"/>
        <c:axId val="1961391696"/>
        <c:extLst>
          <c:ext xmlns:c15="http://schemas.microsoft.com/office/drawing/2012/chart" uri="{02D57815-91ED-43cb-92C2-25804820EDAC}">
            <c15:filteredBarSeries>
              <c15:ser>
                <c:idx val="1"/>
                <c:order val="1"/>
                <c:tx>
                  <c:strRef>
                    <c:extLst>
                      <c:ext uri="{02D57815-91ED-43cb-92C2-25804820EDAC}">
                        <c15:formulaRef>
                          <c15:sqref>Summary!$N$6</c15:sqref>
                        </c15:formulaRef>
                      </c:ext>
                    </c:extLst>
                    <c:strCache>
                      <c:ptCount val="1"/>
                      <c:pt idx="0">
                        <c:v>EXPOSE BALANCE</c:v>
                      </c:pt>
                    </c:strCache>
                  </c:strRef>
                </c:tx>
                <c:spPr>
                  <a:solidFill>
                    <a:schemeClr val="accent2"/>
                  </a:solidFill>
                  <a:ln>
                    <a:noFill/>
                  </a:ln>
                  <a:effectLst/>
                </c:spPr>
                <c:invertIfNegative val="0"/>
                <c:cat>
                  <c:numRef>
                    <c:extLst>
                      <c:ext uri="{02D57815-91ED-43cb-92C2-25804820EDAC}">
                        <c15:formulaRef>
                          <c15:sqref>Summary!$L$7:$L$138</c15:sqref>
                        </c15:formulaRef>
                      </c:ext>
                    </c:extLst>
                    <c:numCache>
                      <c:formatCode>mm/yyyy</c:formatCode>
                      <c:ptCount val="132"/>
                      <c:pt idx="0">
                        <c:v>45443</c:v>
                      </c:pt>
                      <c:pt idx="1">
                        <c:v>45446</c:v>
                      </c:pt>
                      <c:pt idx="2">
                        <c:v>45448</c:v>
                      </c:pt>
                      <c:pt idx="3">
                        <c:v>45449</c:v>
                      </c:pt>
                      <c:pt idx="4">
                        <c:v>45453</c:v>
                      </c:pt>
                      <c:pt idx="5">
                        <c:v>45458</c:v>
                      </c:pt>
                      <c:pt idx="6">
                        <c:v>45460</c:v>
                      </c:pt>
                      <c:pt idx="7">
                        <c:v>45461</c:v>
                      </c:pt>
                      <c:pt idx="8">
                        <c:v>45464</c:v>
                      </c:pt>
                      <c:pt idx="9">
                        <c:v>45467</c:v>
                      </c:pt>
                      <c:pt idx="10">
                        <c:v>45471</c:v>
                      </c:pt>
                      <c:pt idx="11">
                        <c:v>45475</c:v>
                      </c:pt>
                      <c:pt idx="12">
                        <c:v>45476</c:v>
                      </c:pt>
                      <c:pt idx="13">
                        <c:v>45478</c:v>
                      </c:pt>
                      <c:pt idx="14">
                        <c:v>45481</c:v>
                      </c:pt>
                      <c:pt idx="15">
                        <c:v>45482</c:v>
                      </c:pt>
                      <c:pt idx="16">
                        <c:v>45483</c:v>
                      </c:pt>
                      <c:pt idx="17">
                        <c:v>45484</c:v>
                      </c:pt>
                      <c:pt idx="18">
                        <c:v>45485</c:v>
                      </c:pt>
                      <c:pt idx="19">
                        <c:v>45495</c:v>
                      </c:pt>
                      <c:pt idx="20">
                        <c:v>45496</c:v>
                      </c:pt>
                      <c:pt idx="21">
                        <c:v>45497</c:v>
                      </c:pt>
                      <c:pt idx="22">
                        <c:v>45504</c:v>
                      </c:pt>
                      <c:pt idx="23">
                        <c:v>45510</c:v>
                      </c:pt>
                      <c:pt idx="24">
                        <c:v>45511</c:v>
                      </c:pt>
                      <c:pt idx="25">
                        <c:v>45512</c:v>
                      </c:pt>
                      <c:pt idx="26">
                        <c:v>45518</c:v>
                      </c:pt>
                      <c:pt idx="27">
                        <c:v>45519</c:v>
                      </c:pt>
                      <c:pt idx="28">
                        <c:v>45523</c:v>
                      </c:pt>
                      <c:pt idx="29">
                        <c:v>45538</c:v>
                      </c:pt>
                      <c:pt idx="30">
                        <c:v>45539</c:v>
                      </c:pt>
                      <c:pt idx="31">
                        <c:v>45544</c:v>
                      </c:pt>
                      <c:pt idx="32">
                        <c:v>45547</c:v>
                      </c:pt>
                      <c:pt idx="33">
                        <c:v>45548</c:v>
                      </c:pt>
                      <c:pt idx="34">
                        <c:v>45551</c:v>
                      </c:pt>
                      <c:pt idx="35">
                        <c:v>45552</c:v>
                      </c:pt>
                      <c:pt idx="36">
                        <c:v>45553</c:v>
                      </c:pt>
                      <c:pt idx="37">
                        <c:v>45559</c:v>
                      </c:pt>
                      <c:pt idx="38">
                        <c:v>45560</c:v>
                      </c:pt>
                      <c:pt idx="39">
                        <c:v>45561</c:v>
                      </c:pt>
                      <c:pt idx="40">
                        <c:v>45562</c:v>
                      </c:pt>
                      <c:pt idx="41">
                        <c:v>45565</c:v>
                      </c:pt>
                      <c:pt idx="42">
                        <c:v>45568</c:v>
                      </c:pt>
                      <c:pt idx="43">
                        <c:v>45574</c:v>
                      </c:pt>
                      <c:pt idx="44">
                        <c:v>45575</c:v>
                      </c:pt>
                      <c:pt idx="45">
                        <c:v>45579</c:v>
                      </c:pt>
                      <c:pt idx="46">
                        <c:v>45580</c:v>
                      </c:pt>
                      <c:pt idx="47">
                        <c:v>45582</c:v>
                      </c:pt>
                      <c:pt idx="48">
                        <c:v>45583</c:v>
                      </c:pt>
                      <c:pt idx="49">
                        <c:v>45590</c:v>
                      </c:pt>
                      <c:pt idx="50">
                        <c:v>45593</c:v>
                      </c:pt>
                      <c:pt idx="51">
                        <c:v>45595</c:v>
                      </c:pt>
                      <c:pt idx="52">
                        <c:v>45597</c:v>
                      </c:pt>
                      <c:pt idx="53">
                        <c:v>45600</c:v>
                      </c:pt>
                      <c:pt idx="54">
                        <c:v>45603</c:v>
                      </c:pt>
                      <c:pt idx="55">
                        <c:v>45604</c:v>
                      </c:pt>
                      <c:pt idx="56">
                        <c:v>45608</c:v>
                      </c:pt>
                      <c:pt idx="57">
                        <c:v>45609</c:v>
                      </c:pt>
                      <c:pt idx="58">
                        <c:v>45610</c:v>
                      </c:pt>
                      <c:pt idx="59">
                        <c:v>45615</c:v>
                      </c:pt>
                      <c:pt idx="60">
                        <c:v>45621</c:v>
                      </c:pt>
                      <c:pt idx="61">
                        <c:v>45623</c:v>
                      </c:pt>
                      <c:pt idx="62">
                        <c:v>45624</c:v>
                      </c:pt>
                      <c:pt idx="63">
                        <c:v>45626</c:v>
                      </c:pt>
                      <c:pt idx="64">
                        <c:v>45628</c:v>
                      </c:pt>
                      <c:pt idx="65">
                        <c:v>45629</c:v>
                      </c:pt>
                      <c:pt idx="66">
                        <c:v>45630</c:v>
                      </c:pt>
                      <c:pt idx="67">
                        <c:v>45631</c:v>
                      </c:pt>
                      <c:pt idx="68">
                        <c:v>45632</c:v>
                      </c:pt>
                      <c:pt idx="69">
                        <c:v>45638</c:v>
                      </c:pt>
                      <c:pt idx="70">
                        <c:v>45639</c:v>
                      </c:pt>
                      <c:pt idx="71">
                        <c:v>45642</c:v>
                      </c:pt>
                      <c:pt idx="72">
                        <c:v>45645</c:v>
                      </c:pt>
                      <c:pt idx="73">
                        <c:v>45646</c:v>
                      </c:pt>
                      <c:pt idx="74">
                        <c:v>45649</c:v>
                      </c:pt>
                      <c:pt idx="75">
                        <c:v>45650</c:v>
                      </c:pt>
                      <c:pt idx="76">
                        <c:v>45653</c:v>
                      </c:pt>
                      <c:pt idx="77">
                        <c:v>45659</c:v>
                      </c:pt>
                      <c:pt idx="78">
                        <c:v>45660</c:v>
                      </c:pt>
                      <c:pt idx="79">
                        <c:v>45663</c:v>
                      </c:pt>
                      <c:pt idx="80">
                        <c:v>45664</c:v>
                      </c:pt>
                      <c:pt idx="81">
                        <c:v>45666</c:v>
                      </c:pt>
                      <c:pt idx="82">
                        <c:v>45667</c:v>
                      </c:pt>
                      <c:pt idx="83">
                        <c:v>45670</c:v>
                      </c:pt>
                      <c:pt idx="84">
                        <c:v>45678</c:v>
                      </c:pt>
                      <c:pt idx="85">
                        <c:v>45679</c:v>
                      </c:pt>
                      <c:pt idx="86">
                        <c:v>45680</c:v>
                      </c:pt>
                      <c:pt idx="87">
                        <c:v>45681</c:v>
                      </c:pt>
                      <c:pt idx="88">
                        <c:v>45685</c:v>
                      </c:pt>
                      <c:pt idx="89">
                        <c:v>45686</c:v>
                      </c:pt>
                      <c:pt idx="90">
                        <c:v>45687</c:v>
                      </c:pt>
                      <c:pt idx="91">
                        <c:v>45692</c:v>
                      </c:pt>
                      <c:pt idx="92">
                        <c:v>45693</c:v>
                      </c:pt>
                      <c:pt idx="93">
                        <c:v>45695</c:v>
                      </c:pt>
                      <c:pt idx="94">
                        <c:v>45698</c:v>
                      </c:pt>
                      <c:pt idx="95">
                        <c:v>45699</c:v>
                      </c:pt>
                      <c:pt idx="96">
                        <c:v>45701</c:v>
                      </c:pt>
                      <c:pt idx="97">
                        <c:v>45702</c:v>
                      </c:pt>
                      <c:pt idx="98">
                        <c:v>45705</c:v>
                      </c:pt>
                      <c:pt idx="99">
                        <c:v>45706</c:v>
                      </c:pt>
                      <c:pt idx="100">
                        <c:v>45707</c:v>
                      </c:pt>
                      <c:pt idx="101">
                        <c:v>45708</c:v>
                      </c:pt>
                      <c:pt idx="102">
                        <c:v>45709</c:v>
                      </c:pt>
                      <c:pt idx="103">
                        <c:v>45716</c:v>
                      </c:pt>
                      <c:pt idx="104">
                        <c:v>45723</c:v>
                      </c:pt>
                      <c:pt idx="105">
                        <c:v>45726</c:v>
                      </c:pt>
                      <c:pt idx="106">
                        <c:v>45727</c:v>
                      </c:pt>
                      <c:pt idx="107">
                        <c:v>45729</c:v>
                      </c:pt>
                      <c:pt idx="108">
                        <c:v>45730</c:v>
                      </c:pt>
                      <c:pt idx="109">
                        <c:v>45733</c:v>
                      </c:pt>
                      <c:pt idx="110">
                        <c:v>45734</c:v>
                      </c:pt>
                      <c:pt idx="111">
                        <c:v>45737</c:v>
                      </c:pt>
                      <c:pt idx="112">
                        <c:v>45741</c:v>
                      </c:pt>
                      <c:pt idx="113">
                        <c:v>45742</c:v>
                      </c:pt>
                      <c:pt idx="114">
                        <c:v>45743</c:v>
                      </c:pt>
                      <c:pt idx="115">
                        <c:v>45744</c:v>
                      </c:pt>
                      <c:pt idx="116">
                        <c:v>45747</c:v>
                      </c:pt>
                      <c:pt idx="117">
                        <c:v>45749</c:v>
                      </c:pt>
                      <c:pt idx="118">
                        <c:v>45750</c:v>
                      </c:pt>
                      <c:pt idx="119">
                        <c:v>45751</c:v>
                      </c:pt>
                      <c:pt idx="120">
                        <c:v>45754</c:v>
                      </c:pt>
                      <c:pt idx="121">
                        <c:v>45755</c:v>
                      </c:pt>
                      <c:pt idx="122">
                        <c:v>45756</c:v>
                      </c:pt>
                      <c:pt idx="123">
                        <c:v>45757</c:v>
                      </c:pt>
                      <c:pt idx="124">
                        <c:v>45761</c:v>
                      </c:pt>
                      <c:pt idx="125">
                        <c:v>45762</c:v>
                      </c:pt>
                      <c:pt idx="126">
                        <c:v>45764</c:v>
                      </c:pt>
                      <c:pt idx="127">
                        <c:v>45765</c:v>
                      </c:pt>
                      <c:pt idx="128">
                        <c:v>45768</c:v>
                      </c:pt>
                      <c:pt idx="129">
                        <c:v>45769</c:v>
                      </c:pt>
                      <c:pt idx="130">
                        <c:v>45777</c:v>
                      </c:pt>
                      <c:pt idx="131">
                        <c:v>45782</c:v>
                      </c:pt>
                    </c:numCache>
                  </c:numRef>
                </c:cat>
                <c:val>
                  <c:numRef>
                    <c:extLst>
                      <c:ext uri="{02D57815-91ED-43cb-92C2-25804820EDAC}">
                        <c15:formulaRef>
                          <c15:sqref>Summary!$N$7:$N$138</c15:sqref>
                        </c15:formulaRef>
                      </c:ext>
                    </c:extLst>
                    <c:numCache>
                      <c:formatCode>"$"#,##0.00</c:formatCode>
                      <c:ptCount val="132"/>
                      <c:pt idx="0">
                        <c:v>0</c:v>
                      </c:pt>
                      <c:pt idx="1">
                        <c:v>40.57</c:v>
                      </c:pt>
                      <c:pt idx="2">
                        <c:v>60.82</c:v>
                      </c:pt>
                      <c:pt idx="3">
                        <c:v>70.819999999999993</c:v>
                      </c:pt>
                      <c:pt idx="4">
                        <c:v>80.819999999999993</c:v>
                      </c:pt>
                      <c:pt idx="5">
                        <c:v>80.819999999999993</c:v>
                      </c:pt>
                      <c:pt idx="6">
                        <c:v>100.80999999999999</c:v>
                      </c:pt>
                      <c:pt idx="7">
                        <c:v>100.80999999999999</c:v>
                      </c:pt>
                      <c:pt idx="8">
                        <c:v>100.91999999999999</c:v>
                      </c:pt>
                      <c:pt idx="9">
                        <c:v>100.91999999999999</c:v>
                      </c:pt>
                      <c:pt idx="10">
                        <c:v>100.91999999999999</c:v>
                      </c:pt>
                      <c:pt idx="11">
                        <c:v>100.91999999999999</c:v>
                      </c:pt>
                      <c:pt idx="12">
                        <c:v>136.94999999999999</c:v>
                      </c:pt>
                      <c:pt idx="13">
                        <c:v>156.89999999999998</c:v>
                      </c:pt>
                      <c:pt idx="14">
                        <c:v>117.34999999999998</c:v>
                      </c:pt>
                      <c:pt idx="15">
                        <c:v>142.32999999999998</c:v>
                      </c:pt>
                      <c:pt idx="16">
                        <c:v>166.82</c:v>
                      </c:pt>
                      <c:pt idx="17">
                        <c:v>194.70999999999998</c:v>
                      </c:pt>
                      <c:pt idx="18">
                        <c:v>194.70999999999998</c:v>
                      </c:pt>
                      <c:pt idx="19">
                        <c:v>194.70999999999998</c:v>
                      </c:pt>
                      <c:pt idx="20">
                        <c:v>194.70999999999998</c:v>
                      </c:pt>
                      <c:pt idx="21">
                        <c:v>194.70999999999998</c:v>
                      </c:pt>
                      <c:pt idx="22">
                        <c:v>194.70999999999998</c:v>
                      </c:pt>
                      <c:pt idx="23">
                        <c:v>194.70999999999998</c:v>
                      </c:pt>
                      <c:pt idx="24">
                        <c:v>239.67999999999998</c:v>
                      </c:pt>
                      <c:pt idx="25">
                        <c:v>239.67999999999998</c:v>
                      </c:pt>
                      <c:pt idx="26">
                        <c:v>274.67999999999995</c:v>
                      </c:pt>
                      <c:pt idx="27">
                        <c:v>274.67999999999995</c:v>
                      </c:pt>
                      <c:pt idx="28">
                        <c:v>294.64999999999998</c:v>
                      </c:pt>
                      <c:pt idx="29">
                        <c:v>294.64999999999998</c:v>
                      </c:pt>
                      <c:pt idx="30">
                        <c:v>294.64999999999998</c:v>
                      </c:pt>
                      <c:pt idx="31">
                        <c:v>325.83</c:v>
                      </c:pt>
                      <c:pt idx="32">
                        <c:v>325.83</c:v>
                      </c:pt>
                      <c:pt idx="33">
                        <c:v>340.65999999999997</c:v>
                      </c:pt>
                      <c:pt idx="34">
                        <c:v>325.65999999999997</c:v>
                      </c:pt>
                      <c:pt idx="35">
                        <c:v>325.65999999999997</c:v>
                      </c:pt>
                      <c:pt idx="36">
                        <c:v>345.65999999999997</c:v>
                      </c:pt>
                      <c:pt idx="37">
                        <c:v>345.36999999999995</c:v>
                      </c:pt>
                      <c:pt idx="38">
                        <c:v>340.36999999999995</c:v>
                      </c:pt>
                      <c:pt idx="39">
                        <c:v>340.36999999999995</c:v>
                      </c:pt>
                      <c:pt idx="40">
                        <c:v>340.36999999999995</c:v>
                      </c:pt>
                      <c:pt idx="41">
                        <c:v>340.36999999999995</c:v>
                      </c:pt>
                      <c:pt idx="42">
                        <c:v>370.33999999999992</c:v>
                      </c:pt>
                      <c:pt idx="43">
                        <c:v>370.33999999999992</c:v>
                      </c:pt>
                      <c:pt idx="44">
                        <c:v>370.33999999999992</c:v>
                      </c:pt>
                      <c:pt idx="45">
                        <c:v>370.33999999999992</c:v>
                      </c:pt>
                      <c:pt idx="46">
                        <c:v>410.32999999999993</c:v>
                      </c:pt>
                      <c:pt idx="47">
                        <c:v>423.30999999999995</c:v>
                      </c:pt>
                      <c:pt idx="48">
                        <c:v>443.78999999999996</c:v>
                      </c:pt>
                      <c:pt idx="49">
                        <c:v>443.78999999999996</c:v>
                      </c:pt>
                      <c:pt idx="50">
                        <c:v>458.77</c:v>
                      </c:pt>
                      <c:pt idx="51">
                        <c:v>458.77</c:v>
                      </c:pt>
                      <c:pt idx="52">
                        <c:v>500.65999999999997</c:v>
                      </c:pt>
                      <c:pt idx="53">
                        <c:v>500.65999999999997</c:v>
                      </c:pt>
                      <c:pt idx="54">
                        <c:v>480.67999999999995</c:v>
                      </c:pt>
                      <c:pt idx="55">
                        <c:v>480.67999999999995</c:v>
                      </c:pt>
                      <c:pt idx="56">
                        <c:v>493.65999999999997</c:v>
                      </c:pt>
                      <c:pt idx="57">
                        <c:v>504.60999999999996</c:v>
                      </c:pt>
                      <c:pt idx="58">
                        <c:v>504.60999999999996</c:v>
                      </c:pt>
                      <c:pt idx="59">
                        <c:v>504.60999999999996</c:v>
                      </c:pt>
                      <c:pt idx="60">
                        <c:v>524.59999999999991</c:v>
                      </c:pt>
                      <c:pt idx="61">
                        <c:v>569.56999999999994</c:v>
                      </c:pt>
                      <c:pt idx="62">
                        <c:v>569.56999999999994</c:v>
                      </c:pt>
                      <c:pt idx="63">
                        <c:v>569.56999999999994</c:v>
                      </c:pt>
                      <c:pt idx="64">
                        <c:v>619.54</c:v>
                      </c:pt>
                      <c:pt idx="65">
                        <c:v>670.94999999999993</c:v>
                      </c:pt>
                      <c:pt idx="66">
                        <c:v>680.94999999999993</c:v>
                      </c:pt>
                      <c:pt idx="67">
                        <c:v>680.94999999999993</c:v>
                      </c:pt>
                      <c:pt idx="68">
                        <c:v>700.94999999999993</c:v>
                      </c:pt>
                      <c:pt idx="69">
                        <c:v>700.94999999999993</c:v>
                      </c:pt>
                      <c:pt idx="70">
                        <c:v>700.94999999999993</c:v>
                      </c:pt>
                      <c:pt idx="71">
                        <c:v>700.94999999999993</c:v>
                      </c:pt>
                      <c:pt idx="72">
                        <c:v>775.92</c:v>
                      </c:pt>
                      <c:pt idx="73">
                        <c:v>786.24</c:v>
                      </c:pt>
                      <c:pt idx="74">
                        <c:v>786.24</c:v>
                      </c:pt>
                      <c:pt idx="75">
                        <c:v>786.24</c:v>
                      </c:pt>
                      <c:pt idx="76">
                        <c:v>786.24</c:v>
                      </c:pt>
                      <c:pt idx="77">
                        <c:v>803.35</c:v>
                      </c:pt>
                      <c:pt idx="78">
                        <c:v>803.35</c:v>
                      </c:pt>
                      <c:pt idx="79">
                        <c:v>877.78</c:v>
                      </c:pt>
                      <c:pt idx="80">
                        <c:v>877.78</c:v>
                      </c:pt>
                      <c:pt idx="81">
                        <c:v>877.78</c:v>
                      </c:pt>
                      <c:pt idx="82">
                        <c:v>881.83999999999992</c:v>
                      </c:pt>
                      <c:pt idx="83">
                        <c:v>881.83999999999992</c:v>
                      </c:pt>
                      <c:pt idx="84">
                        <c:v>886.8599999999999</c:v>
                      </c:pt>
                      <c:pt idx="85">
                        <c:v>886.8599999999999</c:v>
                      </c:pt>
                      <c:pt idx="86">
                        <c:v>850.58999999999992</c:v>
                      </c:pt>
                      <c:pt idx="87">
                        <c:v>850.58999999999992</c:v>
                      </c:pt>
                      <c:pt idx="88">
                        <c:v>831.6099999999999</c:v>
                      </c:pt>
                      <c:pt idx="89">
                        <c:v>875.84999999999991</c:v>
                      </c:pt>
                      <c:pt idx="90">
                        <c:v>885.84999999999991</c:v>
                      </c:pt>
                      <c:pt idx="91">
                        <c:v>915.83999999999992</c:v>
                      </c:pt>
                      <c:pt idx="92">
                        <c:v>957.68</c:v>
                      </c:pt>
                      <c:pt idx="93">
                        <c:v>965.19999999999993</c:v>
                      </c:pt>
                      <c:pt idx="94">
                        <c:v>965.19999999999993</c:v>
                      </c:pt>
                      <c:pt idx="95">
                        <c:v>975.19999999999993</c:v>
                      </c:pt>
                      <c:pt idx="96">
                        <c:v>975.19999999999993</c:v>
                      </c:pt>
                      <c:pt idx="97">
                        <c:v>975.19999999999993</c:v>
                      </c:pt>
                      <c:pt idx="98">
                        <c:v>975.19999999999993</c:v>
                      </c:pt>
                      <c:pt idx="99">
                        <c:v>973.06999999999994</c:v>
                      </c:pt>
                      <c:pt idx="100">
                        <c:v>973.06999999999994</c:v>
                      </c:pt>
                      <c:pt idx="101">
                        <c:v>1048.02</c:v>
                      </c:pt>
                      <c:pt idx="102">
                        <c:v>1048.02</c:v>
                      </c:pt>
                      <c:pt idx="103">
                        <c:v>1142.48</c:v>
                      </c:pt>
                      <c:pt idx="104">
                        <c:v>1142.48</c:v>
                      </c:pt>
                      <c:pt idx="105">
                        <c:v>1142.48</c:v>
                      </c:pt>
                      <c:pt idx="106">
                        <c:v>1192.46</c:v>
                      </c:pt>
                      <c:pt idx="107">
                        <c:v>1192.46</c:v>
                      </c:pt>
                      <c:pt idx="108">
                        <c:v>1192.46</c:v>
                      </c:pt>
                      <c:pt idx="109">
                        <c:v>1192.46</c:v>
                      </c:pt>
                      <c:pt idx="110">
                        <c:v>1223.44</c:v>
                      </c:pt>
                      <c:pt idx="111">
                        <c:v>1223.44</c:v>
                      </c:pt>
                      <c:pt idx="112">
                        <c:v>1214.1100000000001</c:v>
                      </c:pt>
                      <c:pt idx="113">
                        <c:v>1209.5600000000002</c:v>
                      </c:pt>
                      <c:pt idx="114">
                        <c:v>1335.3200000000002</c:v>
                      </c:pt>
                      <c:pt idx="115">
                        <c:v>1350.3200000000002</c:v>
                      </c:pt>
                      <c:pt idx="116">
                        <c:v>1350.3200000000002</c:v>
                      </c:pt>
                      <c:pt idx="117">
                        <c:v>1350.3200000000002</c:v>
                      </c:pt>
                      <c:pt idx="118">
                        <c:v>1350.3200000000002</c:v>
                      </c:pt>
                      <c:pt idx="119">
                        <c:v>1519.43</c:v>
                      </c:pt>
                      <c:pt idx="120">
                        <c:v>1531.78</c:v>
                      </c:pt>
                      <c:pt idx="121">
                        <c:v>1551.75</c:v>
                      </c:pt>
                      <c:pt idx="122">
                        <c:v>1551.75</c:v>
                      </c:pt>
                      <c:pt idx="123">
                        <c:v>1551.75</c:v>
                      </c:pt>
                      <c:pt idx="124">
                        <c:v>1551.75</c:v>
                      </c:pt>
                      <c:pt idx="125">
                        <c:v>1551.75</c:v>
                      </c:pt>
                      <c:pt idx="126">
                        <c:v>1544.73</c:v>
                      </c:pt>
                      <c:pt idx="127">
                        <c:v>1544.73</c:v>
                      </c:pt>
                      <c:pt idx="128">
                        <c:v>1544.73</c:v>
                      </c:pt>
                      <c:pt idx="129">
                        <c:v>1544.73</c:v>
                      </c:pt>
                      <c:pt idx="130">
                        <c:v>1554.73</c:v>
                      </c:pt>
                      <c:pt idx="131">
                        <c:v>1462.26</c:v>
                      </c:pt>
                    </c:numCache>
                  </c:numRef>
                </c:val>
                <c:extLst>
                  <c:ext xmlns:c16="http://schemas.microsoft.com/office/drawing/2014/chart" uri="{C3380CC4-5D6E-409C-BE32-E72D297353CC}">
                    <c16:uniqueId val="{00000004-73FA-4328-AB54-51EA4306FF4B}"/>
                  </c:ext>
                </c:extLst>
              </c15:ser>
            </c15:filteredBarSeries>
          </c:ext>
        </c:extLst>
      </c:barChart>
      <c:lineChart>
        <c:grouping val="standard"/>
        <c:varyColors val="0"/>
        <c:ser>
          <c:idx val="3"/>
          <c:order val="3"/>
          <c:tx>
            <c:strRef>
              <c:f>Summary!$P$6</c:f>
              <c:strCache>
                <c:ptCount val="1"/>
                <c:pt idx="0">
                  <c:v>Net Income %</c:v>
                </c:pt>
              </c:strCache>
            </c:strRef>
          </c:tx>
          <c:spPr>
            <a:ln w="28575" cap="rnd">
              <a:solidFill>
                <a:schemeClr val="accent4"/>
              </a:solidFill>
              <a:round/>
            </a:ln>
            <a:effectLst/>
          </c:spPr>
          <c:marker>
            <c:symbol val="none"/>
          </c:marker>
          <c:cat>
            <c:numRef>
              <c:f>Summary!$Q$7</c:f>
              <c:numCache>
                <c:formatCode>0%</c:formatCode>
                <c:ptCount val="1"/>
                <c:pt idx="0">
                  <c:v>0</c:v>
                </c:pt>
              </c:numCache>
            </c:numRef>
          </c:cat>
          <c:val>
            <c:numRef>
              <c:f>Summary!$P$7:$P$145</c:f>
              <c:numCache>
                <c:formatCode>0%</c:formatCode>
                <c:ptCount val="139"/>
                <c:pt idx="0">
                  <c:v>0</c:v>
                </c:pt>
                <c:pt idx="1">
                  <c:v>0</c:v>
                </c:pt>
                <c:pt idx="2">
                  <c:v>0</c:v>
                </c:pt>
                <c:pt idx="3">
                  <c:v>0</c:v>
                </c:pt>
                <c:pt idx="4">
                  <c:v>0</c:v>
                </c:pt>
                <c:pt idx="5">
                  <c:v>0</c:v>
                </c:pt>
                <c:pt idx="6">
                  <c:v>0</c:v>
                </c:pt>
                <c:pt idx="7">
                  <c:v>0</c:v>
                </c:pt>
                <c:pt idx="8">
                  <c:v>2.0015854141894572E-2</c:v>
                </c:pt>
                <c:pt idx="9">
                  <c:v>2.0015854141894572E-2</c:v>
                </c:pt>
                <c:pt idx="10">
                  <c:v>2.0015854141894572E-2</c:v>
                </c:pt>
                <c:pt idx="11">
                  <c:v>2.0015854141894572E-2</c:v>
                </c:pt>
                <c:pt idx="12">
                  <c:v>1.4749908725812342E-2</c:v>
                </c:pt>
                <c:pt idx="13">
                  <c:v>3.6456341618865531E-2</c:v>
                </c:pt>
                <c:pt idx="14">
                  <c:v>5.4282062207072879E-2</c:v>
                </c:pt>
                <c:pt idx="15">
                  <c:v>4.2577109534181139E-2</c:v>
                </c:pt>
                <c:pt idx="16">
                  <c:v>3.632657954681693E-2</c:v>
                </c:pt>
                <c:pt idx="17">
                  <c:v>3.5129166452673215E-2</c:v>
                </c:pt>
                <c:pt idx="18">
                  <c:v>3.5129166452673215E-2</c:v>
                </c:pt>
                <c:pt idx="19">
                  <c:v>3.5129166452673215E-2</c:v>
                </c:pt>
                <c:pt idx="20">
                  <c:v>3.5129166452673215E-2</c:v>
                </c:pt>
                <c:pt idx="21">
                  <c:v>3.5129166452673215E-2</c:v>
                </c:pt>
                <c:pt idx="22">
                  <c:v>3.5129166452673215E-2</c:v>
                </c:pt>
                <c:pt idx="23">
                  <c:v>3.5129166452673215E-2</c:v>
                </c:pt>
                <c:pt idx="24">
                  <c:v>2.8538050734312422E-2</c:v>
                </c:pt>
                <c:pt idx="25">
                  <c:v>2.8538050734312422E-2</c:v>
                </c:pt>
                <c:pt idx="26">
                  <c:v>2.4901703800786375E-2</c:v>
                </c:pt>
                <c:pt idx="27">
                  <c:v>2.4938109800495128E-2</c:v>
                </c:pt>
                <c:pt idx="28">
                  <c:v>2.3247921262514851E-2</c:v>
                </c:pt>
                <c:pt idx="29">
                  <c:v>2.3315798404887157E-2</c:v>
                </c:pt>
                <c:pt idx="30">
                  <c:v>2.3315798404887157E-2</c:v>
                </c:pt>
                <c:pt idx="31">
                  <c:v>2.1084614676364976E-2</c:v>
                </c:pt>
                <c:pt idx="32">
                  <c:v>2.1176687229536879E-2</c:v>
                </c:pt>
                <c:pt idx="33">
                  <c:v>2.0254799506839668E-2</c:v>
                </c:pt>
                <c:pt idx="34">
                  <c:v>2.6653565067862189E-2</c:v>
                </c:pt>
                <c:pt idx="35">
                  <c:v>2.6653565067862189E-2</c:v>
                </c:pt>
                <c:pt idx="36">
                  <c:v>2.511138112596193E-2</c:v>
                </c:pt>
                <c:pt idx="37">
                  <c:v>1.3695457046066539E-2</c:v>
                </c:pt>
                <c:pt idx="38">
                  <c:v>2.7910802949731171E-3</c:v>
                </c:pt>
                <c:pt idx="39">
                  <c:v>3.0261186356024326E-3</c:v>
                </c:pt>
                <c:pt idx="40">
                  <c:v>3.0261186356024326E-3</c:v>
                </c:pt>
                <c:pt idx="41">
                  <c:v>3.3492963539677413E-3</c:v>
                </c:pt>
                <c:pt idx="42">
                  <c:v>3.0782524166981695E-3</c:v>
                </c:pt>
                <c:pt idx="43">
                  <c:v>3.2402657017875473E-3</c:v>
                </c:pt>
                <c:pt idx="44">
                  <c:v>4.5633741966841293E-3</c:v>
                </c:pt>
                <c:pt idx="45">
                  <c:v>4.5633741966841293E-3</c:v>
                </c:pt>
                <c:pt idx="46">
                  <c:v>4.1186362196281049E-3</c:v>
                </c:pt>
                <c:pt idx="47">
                  <c:v>3.9923460348208172E-3</c:v>
                </c:pt>
                <c:pt idx="48">
                  <c:v>3.8081074382027538E-3</c:v>
                </c:pt>
                <c:pt idx="49">
                  <c:v>3.8081074382027538E-3</c:v>
                </c:pt>
                <c:pt idx="50">
                  <c:v>3.6837631056956645E-3</c:v>
                </c:pt>
                <c:pt idx="51">
                  <c:v>3.6837631056956645E-3</c:v>
                </c:pt>
                <c:pt idx="52">
                  <c:v>3.3755442815483561E-3</c:v>
                </c:pt>
                <c:pt idx="53">
                  <c:v>3.3755442815483561E-3</c:v>
                </c:pt>
                <c:pt idx="54">
                  <c:v>8.9248564533577438E-3</c:v>
                </c:pt>
                <c:pt idx="55">
                  <c:v>8.9456603145543819E-3</c:v>
                </c:pt>
                <c:pt idx="56">
                  <c:v>8.7104484868127871E-3</c:v>
                </c:pt>
                <c:pt idx="57">
                  <c:v>8.5214323933334654E-3</c:v>
                </c:pt>
                <c:pt idx="58">
                  <c:v>8.5808842472404438E-3</c:v>
                </c:pt>
                <c:pt idx="59">
                  <c:v>8.5808842472404438E-3</c:v>
                </c:pt>
                <c:pt idx="60">
                  <c:v>8.2539077392298904E-3</c:v>
                </c:pt>
                <c:pt idx="61">
                  <c:v>7.6022262408483605E-3</c:v>
                </c:pt>
                <c:pt idx="62">
                  <c:v>7.6022262408483605E-3</c:v>
                </c:pt>
                <c:pt idx="63">
                  <c:v>7.6022262408483605E-3</c:v>
                </c:pt>
                <c:pt idx="64">
                  <c:v>7.0859024437485872E-3</c:v>
                </c:pt>
                <c:pt idx="65">
                  <c:v>6.5429614725389376E-3</c:v>
                </c:pt>
                <c:pt idx="66">
                  <c:v>6.4468756883765332E-3</c:v>
                </c:pt>
                <c:pt idx="67">
                  <c:v>6.4468756883765332E-3</c:v>
                </c:pt>
                <c:pt idx="68">
                  <c:v>6.2629288822312577E-3</c:v>
                </c:pt>
                <c:pt idx="69">
                  <c:v>6.3627933518795926E-3</c:v>
                </c:pt>
                <c:pt idx="70">
                  <c:v>6.4769241743348324E-3</c:v>
                </c:pt>
                <c:pt idx="71">
                  <c:v>6.5910549967900713E-3</c:v>
                </c:pt>
                <c:pt idx="72">
                  <c:v>6.1088772038354472E-3</c:v>
                </c:pt>
                <c:pt idx="73">
                  <c:v>6.028693528693529E-3</c:v>
                </c:pt>
                <c:pt idx="74">
                  <c:v>6.028693528693529E-3</c:v>
                </c:pt>
                <c:pt idx="75">
                  <c:v>6.028693528693529E-3</c:v>
                </c:pt>
                <c:pt idx="76">
                  <c:v>6.028693528693529E-3</c:v>
                </c:pt>
                <c:pt idx="77">
                  <c:v>5.9002925250513476E-3</c:v>
                </c:pt>
                <c:pt idx="78">
                  <c:v>6.2737287608140907E-3</c:v>
                </c:pt>
                <c:pt idx="79">
                  <c:v>7.3708674155255312E-3</c:v>
                </c:pt>
                <c:pt idx="80">
                  <c:v>7.3708674155255312E-3</c:v>
                </c:pt>
                <c:pt idx="81">
                  <c:v>7.5645378112966814E-3</c:v>
                </c:pt>
                <c:pt idx="82">
                  <c:v>3.7194956001088638E-3</c:v>
                </c:pt>
                <c:pt idx="83">
                  <c:v>3.7081556744987761E-3</c:v>
                </c:pt>
                <c:pt idx="84">
                  <c:v>8.0508761247547536E-3</c:v>
                </c:pt>
                <c:pt idx="85">
                  <c:v>8.0508761247547536E-3</c:v>
                </c:pt>
                <c:pt idx="86">
                  <c:v>4.7614009099566194E-3</c:v>
                </c:pt>
                <c:pt idx="87">
                  <c:v>5.0905841827437442E-3</c:v>
                </c:pt>
                <c:pt idx="88">
                  <c:v>1.7604405911424828E-2</c:v>
                </c:pt>
                <c:pt idx="89">
                  <c:v>1.6715190957355713E-2</c:v>
                </c:pt>
                <c:pt idx="90">
                  <c:v>1.6526499971778519E-2</c:v>
                </c:pt>
                <c:pt idx="91">
                  <c:v>1.59853249475891E-2</c:v>
                </c:pt>
                <c:pt idx="92">
                  <c:v>1.528694344666277E-2</c:v>
                </c:pt>
                <c:pt idx="93">
                  <c:v>1.8079154579361791E-2</c:v>
                </c:pt>
                <c:pt idx="94">
                  <c:v>1.8079154579361791E-2</c:v>
                </c:pt>
                <c:pt idx="95">
                  <c:v>1.7893765381460213E-2</c:v>
                </c:pt>
                <c:pt idx="96">
                  <c:v>1.7924528301886795E-2</c:v>
                </c:pt>
                <c:pt idx="97">
                  <c:v>1.7924528301886795E-2</c:v>
                </c:pt>
                <c:pt idx="98">
                  <c:v>1.7924528301886795E-2</c:v>
                </c:pt>
                <c:pt idx="99">
                  <c:v>2.1057066809170976E-2</c:v>
                </c:pt>
                <c:pt idx="100">
                  <c:v>2.1057066809170976E-2</c:v>
                </c:pt>
                <c:pt idx="101">
                  <c:v>1.9551153603938859E-2</c:v>
                </c:pt>
                <c:pt idx="102">
                  <c:v>1.984694948569684E-2</c:v>
                </c:pt>
                <c:pt idx="103">
                  <c:v>1.8206007982634269E-2</c:v>
                </c:pt>
                <c:pt idx="104">
                  <c:v>1.8206007982634269E-2</c:v>
                </c:pt>
                <c:pt idx="105">
                  <c:v>1.8206007982634269E-2</c:v>
                </c:pt>
                <c:pt idx="106">
                  <c:v>1.7442933096288346E-2</c:v>
                </c:pt>
                <c:pt idx="107">
                  <c:v>1.7510021300504837E-2</c:v>
                </c:pt>
                <c:pt idx="108">
                  <c:v>1.7686127836573133E-2</c:v>
                </c:pt>
                <c:pt idx="109">
                  <c:v>1.7946094627912045E-2</c:v>
                </c:pt>
                <c:pt idx="110">
                  <c:v>1.7491662852285358E-2</c:v>
                </c:pt>
                <c:pt idx="111">
                  <c:v>1.7491662852285358E-2</c:v>
                </c:pt>
                <c:pt idx="112">
                  <c:v>2.01876271507524E-2</c:v>
                </c:pt>
                <c:pt idx="113">
                  <c:v>2.102417407983068E-2</c:v>
                </c:pt>
                <c:pt idx="114">
                  <c:v>1.9830452625587872E-2</c:v>
                </c:pt>
                <c:pt idx="115">
                  <c:v>1.9610166479056813E-2</c:v>
                </c:pt>
                <c:pt idx="116">
                  <c:v>1.9965637774749686E-2</c:v>
                </c:pt>
                <c:pt idx="117">
                  <c:v>2.0298892114461755E-2</c:v>
                </c:pt>
                <c:pt idx="118">
                  <c:v>2.0424788198352983E-2</c:v>
                </c:pt>
                <c:pt idx="119">
                  <c:v>1.815154367098188E-2</c:v>
                </c:pt>
                <c:pt idx="120">
                  <c:v>1.9741738369739782E-2</c:v>
                </c:pt>
                <c:pt idx="121">
                  <c:v>1.9487675205413245E-2</c:v>
                </c:pt>
                <c:pt idx="122">
                  <c:v>1.9487675205413245E-2</c:v>
                </c:pt>
                <c:pt idx="123">
                  <c:v>1.9732560012888676E-2</c:v>
                </c:pt>
                <c:pt idx="124">
                  <c:v>1.9732560012888676E-2</c:v>
                </c:pt>
                <c:pt idx="125">
                  <c:v>1.9732560012888676E-2</c:v>
                </c:pt>
                <c:pt idx="126">
                  <c:v>1.9712182711541824E-2</c:v>
                </c:pt>
                <c:pt idx="127">
                  <c:v>1.9712182711541824E-2</c:v>
                </c:pt>
                <c:pt idx="128">
                  <c:v>1.9712182711541824E-2</c:v>
                </c:pt>
                <c:pt idx="129">
                  <c:v>1.9835181552763266E-2</c:v>
                </c:pt>
                <c:pt idx="130">
                  <c:v>2.0505168099927317E-2</c:v>
                </c:pt>
                <c:pt idx="131">
                  <c:v>2.6965108804179832E-2</c:v>
                </c:pt>
                <c:pt idx="132">
                  <c:v>2.6056500908640343E-2</c:v>
                </c:pt>
                <c:pt idx="133">
                  <c:v>2.6504986919005435E-2</c:v>
                </c:pt>
                <c:pt idx="134">
                  <c:v>3.0541337581776882E-2</c:v>
                </c:pt>
                <c:pt idx="135">
                  <c:v>3.252093149384766E-2</c:v>
                </c:pt>
                <c:pt idx="136">
                  <c:v>3.187290703237123E-2</c:v>
                </c:pt>
                <c:pt idx="137">
                  <c:v>3.8943236338712689E-2</c:v>
                </c:pt>
                <c:pt idx="138">
                  <c:v>4.1966346411894152E-2</c:v>
                </c:pt>
              </c:numCache>
            </c:numRef>
          </c:val>
          <c:smooth val="1"/>
          <c:extLst>
            <c:ext xmlns:c16="http://schemas.microsoft.com/office/drawing/2014/chart" uri="{C3380CC4-5D6E-409C-BE32-E72D297353CC}">
              <c16:uniqueId val="{00000001-73FA-4328-AB54-51EA4306FF4B}"/>
            </c:ext>
          </c:extLst>
        </c:ser>
        <c:ser>
          <c:idx val="5"/>
          <c:order val="5"/>
          <c:tx>
            <c:strRef>
              <c:f>Summary!$Q$6</c:f>
              <c:strCache>
                <c:ptCount val="1"/>
                <c:pt idx="0">
                  <c:v>Proyected Annualized Return %</c:v>
                </c:pt>
              </c:strCache>
            </c:strRef>
          </c:tx>
          <c:spPr>
            <a:ln w="28575" cap="rnd">
              <a:solidFill>
                <a:schemeClr val="accent6"/>
              </a:solidFill>
              <a:round/>
            </a:ln>
            <a:effectLst/>
          </c:spPr>
          <c:marker>
            <c:symbol val="none"/>
          </c:marker>
          <c:cat>
            <c:numRef>
              <c:f>Summary!$Q$7</c:f>
              <c:numCache>
                <c:formatCode>0%</c:formatCode>
                <c:ptCount val="1"/>
                <c:pt idx="0">
                  <c:v>0</c:v>
                </c:pt>
              </c:numCache>
            </c:numRef>
          </c:cat>
          <c:val>
            <c:numRef>
              <c:f>Summary!$Q$7:$Q$138</c:f>
              <c:numCache>
                <c:formatCode>0%</c:formatCode>
                <c:ptCount val="132"/>
                <c:pt idx="0">
                  <c:v>0</c:v>
                </c:pt>
                <c:pt idx="1">
                  <c:v>0</c:v>
                </c:pt>
                <c:pt idx="2">
                  <c:v>0</c:v>
                </c:pt>
                <c:pt idx="3">
                  <c:v>0</c:v>
                </c:pt>
                <c:pt idx="4">
                  <c:v>0</c:v>
                </c:pt>
                <c:pt idx="5">
                  <c:v>0</c:v>
                </c:pt>
                <c:pt idx="6">
                  <c:v>0</c:v>
                </c:pt>
                <c:pt idx="7">
                  <c:v>0</c:v>
                </c:pt>
                <c:pt idx="8">
                  <c:v>0.33661194834692654</c:v>
                </c:pt>
                <c:pt idx="9">
                  <c:v>0.2735161278003535</c:v>
                </c:pt>
                <c:pt idx="10">
                  <c:v>0.2544162495124076</c:v>
                </c:pt>
                <c:pt idx="11">
                  <c:v>0.23027957411035027</c:v>
                </c:pt>
                <c:pt idx="12">
                  <c:v>0.16051309704354955</c:v>
                </c:pt>
                <c:pt idx="13">
                  <c:v>0.42504618820420537</c:v>
                </c:pt>
                <c:pt idx="14">
                  <c:v>0.66383554927459865</c:v>
                </c:pt>
                <c:pt idx="15">
                  <c:v>0.47889845758244887</c:v>
                </c:pt>
                <c:pt idx="16">
                  <c:v>0.22252566970614751</c:v>
                </c:pt>
                <c:pt idx="17">
                  <c:v>0.1918518475666926</c:v>
                </c:pt>
                <c:pt idx="18">
                  <c:v>0.18898981192148678</c:v>
                </c:pt>
                <c:pt idx="19">
                  <c:v>0.17834584759135796</c:v>
                </c:pt>
                <c:pt idx="20">
                  <c:v>0.14723454149035708</c:v>
                </c:pt>
                <c:pt idx="21">
                  <c:v>0.13762738555265774</c:v>
                </c:pt>
                <c:pt idx="22">
                  <c:v>0.13327855474470662</c:v>
                </c:pt>
                <c:pt idx="23">
                  <c:v>0.13188930961574763</c:v>
                </c:pt>
                <c:pt idx="24">
                  <c:v>0.10305379726453445</c:v>
                </c:pt>
                <c:pt idx="25">
                  <c:v>0.102033606237389</c:v>
                </c:pt>
                <c:pt idx="26">
                  <c:v>8.7775231307307022E-2</c:v>
                </c:pt>
                <c:pt idx="27">
                  <c:v>8.3051226392268918E-2</c:v>
                </c:pt>
                <c:pt idx="28">
                  <c:v>7.6573905919605112E-2</c:v>
                </c:pt>
                <c:pt idx="29">
                  <c:v>7.6110555687447068E-2</c:v>
                </c:pt>
                <c:pt idx="30">
                  <c:v>7.3460507897022298E-2</c:v>
                </c:pt>
                <c:pt idx="31">
                  <c:v>6.4596900354127573E-2</c:v>
                </c:pt>
                <c:pt idx="32">
                  <c:v>6.1751447911146728E-2</c:v>
                </c:pt>
                <c:pt idx="33">
                  <c:v>5.8542386270990399E-2</c:v>
                </c:pt>
                <c:pt idx="34">
                  <c:v>7.4490663180841743E-2</c:v>
                </c:pt>
                <c:pt idx="35">
                  <c:v>7.3355988313822174E-2</c:v>
                </c:pt>
                <c:pt idx="36">
                  <c:v>6.8501725494135801E-2</c:v>
                </c:pt>
                <c:pt idx="37">
                  <c:v>3.444753682028856E-2</c:v>
                </c:pt>
                <c:pt idx="38">
                  <c:v>6.7785828265827242E-3</c:v>
                </c:pt>
                <c:pt idx="39">
                  <c:v>7.0687325588052463E-3</c:v>
                </c:pt>
                <c:pt idx="40">
                  <c:v>7.0238369938151468E-3</c:v>
                </c:pt>
                <c:pt idx="41">
                  <c:v>7.5828906778090399E-3</c:v>
                </c:pt>
                <c:pt idx="42">
                  <c:v>6.9251564505246055E-3</c:v>
                </c:pt>
                <c:pt idx="43">
                  <c:v>7.2457586067131707E-3</c:v>
                </c:pt>
                <c:pt idx="44">
                  <c:v>9.5677418160824423E-3</c:v>
                </c:pt>
                <c:pt idx="45">
                  <c:v>9.4591220396369469E-3</c:v>
                </c:pt>
                <c:pt idx="46">
                  <c:v>8.2997762389491747E-3</c:v>
                </c:pt>
                <c:pt idx="47">
                  <c:v>8.0006308965032691E-3</c:v>
                </c:pt>
                <c:pt idx="48">
                  <c:v>7.5890883060616421E-3</c:v>
                </c:pt>
                <c:pt idx="49">
                  <c:v>7.5071796692101067E-3</c:v>
                </c:pt>
                <c:pt idx="50">
                  <c:v>7.0338935203326791E-3</c:v>
                </c:pt>
                <c:pt idx="51">
                  <c:v>6.9973212644871552E-3</c:v>
                </c:pt>
                <c:pt idx="52">
                  <c:v>6.3125382228998994E-3</c:v>
                </c:pt>
                <c:pt idx="53">
                  <c:v>6.2170791251920932E-3</c:v>
                </c:pt>
                <c:pt idx="54">
                  <c:v>1.6392949314080196E-2</c:v>
                </c:pt>
                <c:pt idx="55">
                  <c:v>1.5420761435813279E-2</c:v>
                </c:pt>
                <c:pt idx="56">
                  <c:v>1.4943354224610017E-2</c:v>
                </c:pt>
                <c:pt idx="57">
                  <c:v>1.4414564634753324E-2</c:v>
                </c:pt>
                <c:pt idx="58">
                  <c:v>1.444836300517216E-2</c:v>
                </c:pt>
                <c:pt idx="59">
                  <c:v>1.4316078526286136E-2</c:v>
                </c:pt>
                <c:pt idx="60">
                  <c:v>1.3706345600569048E-2</c:v>
                </c:pt>
                <c:pt idx="61">
                  <c:v>1.2451398225884924E-2</c:v>
                </c:pt>
                <c:pt idx="62">
                  <c:v>1.2019469795144344E-2</c:v>
                </c:pt>
                <c:pt idx="63">
                  <c:v>1.1967576636614297E-2</c:v>
                </c:pt>
                <c:pt idx="64">
                  <c:v>1.1105205939040186E-2</c:v>
                </c:pt>
                <c:pt idx="65">
                  <c:v>1.020888040560175E-2</c:v>
                </c:pt>
                <c:pt idx="66">
                  <c:v>9.8895149024429418E-3</c:v>
                </c:pt>
                <c:pt idx="67">
                  <c:v>9.8481063524706869E-3</c:v>
                </c:pt>
                <c:pt idx="68">
                  <c:v>9.5267688372375758E-3</c:v>
                </c:pt>
                <c:pt idx="69">
                  <c:v>9.4812702821920336E-3</c:v>
                </c:pt>
                <c:pt idx="70">
                  <c:v>9.6123430422199174E-3</c:v>
                </c:pt>
                <c:pt idx="71">
                  <c:v>9.7030412779428588E-3</c:v>
                </c:pt>
                <c:pt idx="72">
                  <c:v>8.8846628907219838E-3</c:v>
                </c:pt>
                <c:pt idx="73">
                  <c:v>8.7330798922093944E-3</c:v>
                </c:pt>
                <c:pt idx="74">
                  <c:v>8.6642892754793532E-3</c:v>
                </c:pt>
                <c:pt idx="75">
                  <c:v>8.4969624579642744E-3</c:v>
                </c:pt>
                <c:pt idx="76">
                  <c:v>8.4642696551964214E-3</c:v>
                </c:pt>
                <c:pt idx="77">
                  <c:v>8.2520342117458068E-3</c:v>
                </c:pt>
                <c:pt idx="78">
                  <c:v>8.7414525587738989E-3</c:v>
                </c:pt>
                <c:pt idx="79">
                  <c:v>1.0004692389912861E-2</c:v>
                </c:pt>
                <c:pt idx="80">
                  <c:v>9.750637658790362E-3</c:v>
                </c:pt>
                <c:pt idx="81">
                  <c:v>9.8639959865716165E-3</c:v>
                </c:pt>
                <c:pt idx="82">
                  <c:v>4.8129938680683271E-3</c:v>
                </c:pt>
                <c:pt idx="83">
                  <c:v>4.781376352557043E-3</c:v>
                </c:pt>
                <c:pt idx="84">
                  <c:v>1.0278325187544235E-2</c:v>
                </c:pt>
                <c:pt idx="85">
                  <c:v>1.0242454410750668E-2</c:v>
                </c:pt>
                <c:pt idx="86">
                  <c:v>5.9107459408578311E-3</c:v>
                </c:pt>
                <c:pt idx="87">
                  <c:v>6.298222446267765E-3</c:v>
                </c:pt>
                <c:pt idx="88">
                  <c:v>2.1738484015508597E-2</c:v>
                </c:pt>
                <c:pt idx="89">
                  <c:v>2.0568380133561215E-2</c:v>
                </c:pt>
                <c:pt idx="90">
                  <c:v>2.0131050322524935E-2</c:v>
                </c:pt>
                <c:pt idx="91">
                  <c:v>1.9340960395571649E-2</c:v>
                </c:pt>
                <c:pt idx="92">
                  <c:v>1.8433250167527504E-2</c:v>
                </c:pt>
                <c:pt idx="93">
                  <c:v>2.1734020621024808E-2</c:v>
                </c:pt>
                <c:pt idx="94">
                  <c:v>2.152006401565032E-2</c:v>
                </c:pt>
                <c:pt idx="95">
                  <c:v>2.1229367679428401E-2</c:v>
                </c:pt>
                <c:pt idx="96">
                  <c:v>2.112773186498007E-2</c:v>
                </c:pt>
                <c:pt idx="97">
                  <c:v>2.065788537377955E-2</c:v>
                </c:pt>
                <c:pt idx="98">
                  <c:v>2.0592464883667727E-2</c:v>
                </c:pt>
                <c:pt idx="99">
                  <c:v>2.3893571446296669E-2</c:v>
                </c:pt>
                <c:pt idx="100">
                  <c:v>2.3309405195576671E-2</c:v>
                </c:pt>
                <c:pt idx="101">
                  <c:v>2.1315271265450519E-2</c:v>
                </c:pt>
                <c:pt idx="102">
                  <c:v>2.1573143704481712E-2</c:v>
                </c:pt>
                <c:pt idx="103">
                  <c:v>1.9728982340361911E-2</c:v>
                </c:pt>
                <c:pt idx="104">
                  <c:v>1.9670216094731074E-2</c:v>
                </c:pt>
                <c:pt idx="105">
                  <c:v>1.961179888973108E-2</c:v>
                </c:pt>
                <c:pt idx="106">
                  <c:v>1.8623402320057769E-2</c:v>
                </c:pt>
                <c:pt idx="107">
                  <c:v>1.8585694201898484E-2</c:v>
                </c:pt>
                <c:pt idx="108">
                  <c:v>1.8717957703005883E-2</c:v>
                </c:pt>
                <c:pt idx="109">
                  <c:v>1.8993232324274079E-2</c:v>
                </c:pt>
                <c:pt idx="110">
                  <c:v>1.8512044540831996E-2</c:v>
                </c:pt>
                <c:pt idx="111">
                  <c:v>1.8512044540831996E-2</c:v>
                </c:pt>
                <c:pt idx="112">
                  <c:v>2.1366923250478509E-2</c:v>
                </c:pt>
                <c:pt idx="113">
                  <c:v>2.2252869395317232E-2</c:v>
                </c:pt>
                <c:pt idx="114">
                  <c:v>2.0988669881559563E-2</c:v>
                </c:pt>
                <c:pt idx="115">
                  <c:v>2.0755387248985846E-2</c:v>
                </c:pt>
                <c:pt idx="116">
                  <c:v>2.1131832153378882E-2</c:v>
                </c:pt>
                <c:pt idx="117">
                  <c:v>2.1484756138795635E-2</c:v>
                </c:pt>
                <c:pt idx="118">
                  <c:v>2.1618084711937824E-2</c:v>
                </c:pt>
                <c:pt idx="119">
                  <c:v>1.92107818604077E-2</c:v>
                </c:pt>
                <c:pt idx="120">
                  <c:v>2.0894721293995833E-2</c:v>
                </c:pt>
                <c:pt idx="121">
                  <c:v>2.0625670471066782E-2</c:v>
                </c:pt>
                <c:pt idx="122">
                  <c:v>2.0625670471066782E-2</c:v>
                </c:pt>
                <c:pt idx="123">
                  <c:v>2.0885001421335758E-2</c:v>
                </c:pt>
                <c:pt idx="124">
                  <c:v>2.0885001421335758E-2</c:v>
                </c:pt>
                <c:pt idx="125">
                  <c:v>2.0885001421335758E-2</c:v>
                </c:pt>
                <c:pt idx="126">
                  <c:v>2.0863421893372536E-2</c:v>
                </c:pt>
                <c:pt idx="127">
                  <c:v>2.0863421893372536E-2</c:v>
                </c:pt>
                <c:pt idx="128">
                  <c:v>2.0863421893372536E-2</c:v>
                </c:pt>
                <c:pt idx="129">
                  <c:v>2.0993677838861524E-2</c:v>
                </c:pt>
                <c:pt idx="130">
                  <c:v>2.1703210474937951E-2</c:v>
                </c:pt>
                <c:pt idx="131">
                  <c:v>2.8545829462705452E-2</c:v>
                </c:pt>
              </c:numCache>
            </c:numRef>
          </c:val>
          <c:smooth val="1"/>
          <c:extLst>
            <c:ext xmlns:c16="http://schemas.microsoft.com/office/drawing/2014/chart" uri="{C3380CC4-5D6E-409C-BE32-E72D297353CC}">
              <c16:uniqueId val="{00000002-73FA-4328-AB54-51EA4306FF4B}"/>
            </c:ext>
          </c:extLst>
        </c:ser>
        <c:dLbls>
          <c:showLegendKey val="0"/>
          <c:showVal val="0"/>
          <c:showCatName val="0"/>
          <c:showSerName val="0"/>
          <c:showPercent val="0"/>
          <c:showBubbleSize val="0"/>
        </c:dLbls>
        <c:marker val="1"/>
        <c:smooth val="0"/>
        <c:axId val="1961392656"/>
        <c:axId val="1961391696"/>
        <c:extLst>
          <c:ext xmlns:c15="http://schemas.microsoft.com/office/drawing/2012/chart" uri="{02D57815-91ED-43cb-92C2-25804820EDAC}">
            <c15:filteredLineSeries>
              <c15:ser>
                <c:idx val="4"/>
                <c:order val="4"/>
                <c:tx>
                  <c:strRef>
                    <c:extLst>
                      <c:ext uri="{02D57815-91ED-43cb-92C2-25804820EDAC}">
                        <c15:formulaRef>
                          <c15:sqref>Summary!$R$6</c15:sqref>
                        </c15:formulaRef>
                      </c:ext>
                    </c:extLst>
                    <c:strCache>
                      <c:ptCount val="1"/>
                      <c:pt idx="0">
                        <c:v>EXPOSITION %</c:v>
                      </c:pt>
                    </c:strCache>
                  </c:strRef>
                </c:tx>
                <c:spPr>
                  <a:ln w="28575" cap="rnd">
                    <a:solidFill>
                      <a:schemeClr val="accent5"/>
                    </a:solidFill>
                    <a:round/>
                  </a:ln>
                  <a:effectLst/>
                </c:spPr>
                <c:marker>
                  <c:symbol val="none"/>
                </c:marker>
                <c:cat>
                  <c:numRef>
                    <c:extLst>
                      <c:ext uri="{02D57815-91ED-43cb-92C2-25804820EDAC}">
                        <c15:formulaRef>
                          <c15:sqref>Summary!$Q$7</c15:sqref>
                        </c15:formulaRef>
                      </c:ext>
                    </c:extLst>
                    <c:numCache>
                      <c:formatCode>0%</c:formatCode>
                      <c:ptCount val="1"/>
                      <c:pt idx="0">
                        <c:v>0</c:v>
                      </c:pt>
                    </c:numCache>
                  </c:numRef>
                </c:cat>
                <c:val>
                  <c:numRef>
                    <c:extLst>
                      <c:ext uri="{02D57815-91ED-43cb-92C2-25804820EDAC}">
                        <c15:formulaRef>
                          <c15:sqref>Summary!$R$7:$R$138</c15:sqref>
                        </c15:formulaRef>
                      </c:ext>
                    </c:extLst>
                    <c:numCache>
                      <c:formatCode>0%</c:formatCode>
                      <c:ptCount val="132"/>
                      <c:pt idx="0">
                        <c:v>0</c:v>
                      </c:pt>
                      <c:pt idx="1">
                        <c:v>0.40570000000000001</c:v>
                      </c:pt>
                      <c:pt idx="2">
                        <c:v>0.60819999999999996</c:v>
                      </c:pt>
                      <c:pt idx="3">
                        <c:v>0.70819999999999994</c:v>
                      </c:pt>
                      <c:pt idx="4">
                        <c:v>0.80819999999999992</c:v>
                      </c:pt>
                      <c:pt idx="5">
                        <c:v>0.53879999999999995</c:v>
                      </c:pt>
                      <c:pt idx="6">
                        <c:v>0.67206666666666659</c:v>
                      </c:pt>
                      <c:pt idx="7">
                        <c:v>0.67206666666666659</c:v>
                      </c:pt>
                      <c:pt idx="8">
                        <c:v>0.67279999999999995</c:v>
                      </c:pt>
                      <c:pt idx="9">
                        <c:v>0.67279999999999995</c:v>
                      </c:pt>
                      <c:pt idx="10">
                        <c:v>0.67279999999999995</c:v>
                      </c:pt>
                      <c:pt idx="11">
                        <c:v>0.50459999999999994</c:v>
                      </c:pt>
                      <c:pt idx="12">
                        <c:v>0.68474999999999997</c:v>
                      </c:pt>
                      <c:pt idx="13">
                        <c:v>0.78449999999999986</c:v>
                      </c:pt>
                      <c:pt idx="14">
                        <c:v>0.58674999999999988</c:v>
                      </c:pt>
                      <c:pt idx="15">
                        <c:v>0.71164999999999989</c:v>
                      </c:pt>
                      <c:pt idx="16">
                        <c:v>0.83409999999999995</c:v>
                      </c:pt>
                      <c:pt idx="17">
                        <c:v>0.97354999999999992</c:v>
                      </c:pt>
                      <c:pt idx="18">
                        <c:v>0.97354999999999992</c:v>
                      </c:pt>
                      <c:pt idx="19">
                        <c:v>0.77883999999999987</c:v>
                      </c:pt>
                      <c:pt idx="20">
                        <c:v>0.77883999999999987</c:v>
                      </c:pt>
                      <c:pt idx="21">
                        <c:v>0.77883999999999987</c:v>
                      </c:pt>
                      <c:pt idx="22">
                        <c:v>0.77883999999999987</c:v>
                      </c:pt>
                      <c:pt idx="23">
                        <c:v>0.64903333333333324</c:v>
                      </c:pt>
                      <c:pt idx="24">
                        <c:v>0.79893333333333327</c:v>
                      </c:pt>
                      <c:pt idx="25">
                        <c:v>0.79893333333333327</c:v>
                      </c:pt>
                      <c:pt idx="26">
                        <c:v>0.78479999999999983</c:v>
                      </c:pt>
                      <c:pt idx="27">
                        <c:v>0.78479999999999983</c:v>
                      </c:pt>
                      <c:pt idx="28">
                        <c:v>0.84185714285714275</c:v>
                      </c:pt>
                      <c:pt idx="29">
                        <c:v>0.84185714285714275</c:v>
                      </c:pt>
                      <c:pt idx="30">
                        <c:v>0.73662499999999997</c:v>
                      </c:pt>
                      <c:pt idx="31">
                        <c:v>0.81457499999999994</c:v>
                      </c:pt>
                      <c:pt idx="32">
                        <c:v>0.81457499999999994</c:v>
                      </c:pt>
                      <c:pt idx="33">
                        <c:v>0.85164999999999991</c:v>
                      </c:pt>
                      <c:pt idx="34">
                        <c:v>0.81414999999999993</c:v>
                      </c:pt>
                      <c:pt idx="35">
                        <c:v>0.81414999999999993</c:v>
                      </c:pt>
                      <c:pt idx="36">
                        <c:v>0.86414999999999997</c:v>
                      </c:pt>
                      <c:pt idx="37">
                        <c:v>0.76748888888888878</c:v>
                      </c:pt>
                      <c:pt idx="38">
                        <c:v>0.7563777777777777</c:v>
                      </c:pt>
                      <c:pt idx="39">
                        <c:v>0.7563777777777777</c:v>
                      </c:pt>
                      <c:pt idx="40">
                        <c:v>0.7563777777777777</c:v>
                      </c:pt>
                      <c:pt idx="41">
                        <c:v>0.7563777777777777</c:v>
                      </c:pt>
                      <c:pt idx="42">
                        <c:v>0.82297777777777759</c:v>
                      </c:pt>
                      <c:pt idx="43">
                        <c:v>0.74067999999999978</c:v>
                      </c:pt>
                      <c:pt idx="44">
                        <c:v>0.74067999999999978</c:v>
                      </c:pt>
                      <c:pt idx="45">
                        <c:v>0.74067999999999978</c:v>
                      </c:pt>
                      <c:pt idx="46">
                        <c:v>0.82065999999999983</c:v>
                      </c:pt>
                      <c:pt idx="47">
                        <c:v>0.76965454545454537</c:v>
                      </c:pt>
                      <c:pt idx="48">
                        <c:v>0.80689090909090899</c:v>
                      </c:pt>
                      <c:pt idx="49">
                        <c:v>0.80689090909090899</c:v>
                      </c:pt>
                      <c:pt idx="50">
                        <c:v>0.83412727272727272</c:v>
                      </c:pt>
                      <c:pt idx="51">
                        <c:v>0.83412727272727272</c:v>
                      </c:pt>
                      <c:pt idx="52">
                        <c:v>0.83443333333333325</c:v>
                      </c:pt>
                      <c:pt idx="53">
                        <c:v>0.83443333333333325</c:v>
                      </c:pt>
                      <c:pt idx="54">
                        <c:v>0.80113333333333325</c:v>
                      </c:pt>
                      <c:pt idx="55">
                        <c:v>0.80113333333333325</c:v>
                      </c:pt>
                      <c:pt idx="56">
                        <c:v>0.82276666666666665</c:v>
                      </c:pt>
                      <c:pt idx="57">
                        <c:v>0.84101666666666663</c:v>
                      </c:pt>
                      <c:pt idx="58">
                        <c:v>0.84101666666666663</c:v>
                      </c:pt>
                      <c:pt idx="59">
                        <c:v>0.84101666666666663</c:v>
                      </c:pt>
                      <c:pt idx="60">
                        <c:v>0.87433333333333318</c:v>
                      </c:pt>
                      <c:pt idx="61">
                        <c:v>0.83148905109489046</c:v>
                      </c:pt>
                      <c:pt idx="62">
                        <c:v>0.83148905109489046</c:v>
                      </c:pt>
                      <c:pt idx="63">
                        <c:v>0.73970129870129864</c:v>
                      </c:pt>
                      <c:pt idx="64">
                        <c:v>0.80459740259740253</c:v>
                      </c:pt>
                      <c:pt idx="65">
                        <c:v>0.87136363636363623</c:v>
                      </c:pt>
                      <c:pt idx="66">
                        <c:v>0.88435064935064922</c:v>
                      </c:pt>
                      <c:pt idx="67">
                        <c:v>0.88435064935064922</c:v>
                      </c:pt>
                      <c:pt idx="68">
                        <c:v>0.9103246753246752</c:v>
                      </c:pt>
                      <c:pt idx="69">
                        <c:v>0.9103246753246752</c:v>
                      </c:pt>
                      <c:pt idx="70">
                        <c:v>0.9103246753246752</c:v>
                      </c:pt>
                      <c:pt idx="71">
                        <c:v>0.9103246753246752</c:v>
                      </c:pt>
                      <c:pt idx="72">
                        <c:v>0.90750877192982449</c:v>
                      </c:pt>
                      <c:pt idx="73">
                        <c:v>0.91957894736842105</c:v>
                      </c:pt>
                      <c:pt idx="74">
                        <c:v>0.91957894736842105</c:v>
                      </c:pt>
                      <c:pt idx="75">
                        <c:v>0.91957894736842105</c:v>
                      </c:pt>
                      <c:pt idx="76">
                        <c:v>0.91957894736842105</c:v>
                      </c:pt>
                      <c:pt idx="77">
                        <c:v>0.93959064327485387</c:v>
                      </c:pt>
                      <c:pt idx="78">
                        <c:v>0.93959064327485387</c:v>
                      </c:pt>
                      <c:pt idx="79">
                        <c:v>0.93380851063829784</c:v>
                      </c:pt>
                      <c:pt idx="80">
                        <c:v>0.93380851063829784</c:v>
                      </c:pt>
                      <c:pt idx="81">
                        <c:v>0.93380851063829784</c:v>
                      </c:pt>
                      <c:pt idx="82">
                        <c:v>0.93812765957446798</c:v>
                      </c:pt>
                      <c:pt idx="83">
                        <c:v>0.93812765957446798</c:v>
                      </c:pt>
                      <c:pt idx="84">
                        <c:v>0.94346808510638291</c:v>
                      </c:pt>
                      <c:pt idx="85">
                        <c:v>0.94346808510638291</c:v>
                      </c:pt>
                      <c:pt idx="86">
                        <c:v>0.90488297872340417</c:v>
                      </c:pt>
                      <c:pt idx="87">
                        <c:v>0.90488297872340417</c:v>
                      </c:pt>
                      <c:pt idx="88">
                        <c:v>0.88469148936170205</c:v>
                      </c:pt>
                      <c:pt idx="89">
                        <c:v>0.93175531914893606</c:v>
                      </c:pt>
                      <c:pt idx="90">
                        <c:v>0.94239361702127655</c:v>
                      </c:pt>
                      <c:pt idx="91">
                        <c:v>0.89350243902439019</c:v>
                      </c:pt>
                      <c:pt idx="92">
                        <c:v>0.93432195121951211</c:v>
                      </c:pt>
                      <c:pt idx="93">
                        <c:v>0.9416585365853658</c:v>
                      </c:pt>
                      <c:pt idx="94">
                        <c:v>0.9416585365853658</c:v>
                      </c:pt>
                      <c:pt idx="95">
                        <c:v>0.95141463414634142</c:v>
                      </c:pt>
                      <c:pt idx="96">
                        <c:v>0.95141463414634142</c:v>
                      </c:pt>
                      <c:pt idx="97">
                        <c:v>0.87855855855855847</c:v>
                      </c:pt>
                      <c:pt idx="98">
                        <c:v>0.87855855855855847</c:v>
                      </c:pt>
                      <c:pt idx="99">
                        <c:v>0.87663963963963953</c:v>
                      </c:pt>
                      <c:pt idx="100">
                        <c:v>0.87663963963963953</c:v>
                      </c:pt>
                      <c:pt idx="101">
                        <c:v>0.9441621621621622</c:v>
                      </c:pt>
                      <c:pt idx="102">
                        <c:v>0.9441621621621622</c:v>
                      </c:pt>
                      <c:pt idx="103">
                        <c:v>0.95605020920502093</c:v>
                      </c:pt>
                      <c:pt idx="104">
                        <c:v>0.95605020920502093</c:v>
                      </c:pt>
                      <c:pt idx="105">
                        <c:v>0.95605020920502093</c:v>
                      </c:pt>
                      <c:pt idx="106">
                        <c:v>0.99787447698744769</c:v>
                      </c:pt>
                      <c:pt idx="107">
                        <c:v>0.99787447698744769</c:v>
                      </c:pt>
                      <c:pt idx="108">
                        <c:v>0.93160937500000007</c:v>
                      </c:pt>
                      <c:pt idx="109">
                        <c:v>0.93160937500000007</c:v>
                      </c:pt>
                      <c:pt idx="110">
                        <c:v>0.95581250000000006</c:v>
                      </c:pt>
                      <c:pt idx="111">
                        <c:v>0.95581250000000006</c:v>
                      </c:pt>
                      <c:pt idx="112">
                        <c:v>0.94852343750000012</c:v>
                      </c:pt>
                      <c:pt idx="113">
                        <c:v>0.94496875000000014</c:v>
                      </c:pt>
                      <c:pt idx="114">
                        <c:v>0.97825641025641041</c:v>
                      </c:pt>
                      <c:pt idx="115">
                        <c:v>0.98924542124542136</c:v>
                      </c:pt>
                      <c:pt idx="116">
                        <c:v>0.98924542124542136</c:v>
                      </c:pt>
                      <c:pt idx="117">
                        <c:v>0.98924542124542136</c:v>
                      </c:pt>
                      <c:pt idx="118">
                        <c:v>0.98924542124542136</c:v>
                      </c:pt>
                      <c:pt idx="119">
                        <c:v>0.97088178913738021</c:v>
                      </c:pt>
                      <c:pt idx="120">
                        <c:v>0.97877316293929706</c:v>
                      </c:pt>
                      <c:pt idx="121">
                        <c:v>0.99153354632587865</c:v>
                      </c:pt>
                      <c:pt idx="122">
                        <c:v>0.99153354632587865</c:v>
                      </c:pt>
                      <c:pt idx="123">
                        <c:v>0.99153354632587865</c:v>
                      </c:pt>
                      <c:pt idx="124">
                        <c:v>0.99153354632587865</c:v>
                      </c:pt>
                      <c:pt idx="125">
                        <c:v>0.99153354632587865</c:v>
                      </c:pt>
                      <c:pt idx="126">
                        <c:v>0.98704792332268376</c:v>
                      </c:pt>
                      <c:pt idx="127">
                        <c:v>0.98704792332268376</c:v>
                      </c:pt>
                      <c:pt idx="128">
                        <c:v>0.98704792332268376</c:v>
                      </c:pt>
                      <c:pt idx="129">
                        <c:v>0.98704792332268376</c:v>
                      </c:pt>
                      <c:pt idx="130">
                        <c:v>0.99343769968051121</c:v>
                      </c:pt>
                      <c:pt idx="131">
                        <c:v>0.93435143769968054</c:v>
                      </c:pt>
                    </c:numCache>
                  </c:numRef>
                </c:val>
                <c:smooth val="0"/>
                <c:extLst>
                  <c:ext xmlns:c16="http://schemas.microsoft.com/office/drawing/2014/chart" uri="{C3380CC4-5D6E-409C-BE32-E72D297353CC}">
                    <c16:uniqueId val="{00000005-73FA-4328-AB54-51EA4306FF4B}"/>
                  </c:ext>
                </c:extLst>
              </c15:ser>
            </c15:filteredLineSeries>
          </c:ext>
        </c:extLst>
      </c:lineChart>
      <c:dateAx>
        <c:axId val="1961389776"/>
        <c:scaling>
          <c:orientation val="minMax"/>
        </c:scaling>
        <c:delete val="0"/>
        <c:axPos val="b"/>
        <c:numFmt formatCode="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393136"/>
        <c:crosses val="autoZero"/>
        <c:auto val="1"/>
        <c:lblOffset val="100"/>
        <c:baseTimeUnit val="days"/>
      </c:dateAx>
      <c:valAx>
        <c:axId val="1961393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389776"/>
        <c:crosses val="autoZero"/>
        <c:crossBetween val="between"/>
      </c:valAx>
      <c:valAx>
        <c:axId val="1961391696"/>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392656"/>
        <c:crosses val="max"/>
        <c:crossBetween val="between"/>
      </c:valAx>
      <c:catAx>
        <c:axId val="1961392656"/>
        <c:scaling>
          <c:orientation val="minMax"/>
        </c:scaling>
        <c:delete val="1"/>
        <c:axPos val="b"/>
        <c:numFmt formatCode="m/d/yyyy" sourceLinked="1"/>
        <c:majorTickMark val="out"/>
        <c:minorTickMark val="none"/>
        <c:tickLblPos val="nextTo"/>
        <c:crossAx val="19613916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Tamaño del portafolio y exposicion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1"/>
          <c:order val="1"/>
          <c:tx>
            <c:strRef>
              <c:f>Summary!$N$6</c:f>
              <c:strCache>
                <c:ptCount val="1"/>
                <c:pt idx="0">
                  <c:v>EXPOSE BALANCE</c:v>
                </c:pt>
              </c:strCache>
            </c:strRef>
          </c:tx>
          <c:spPr>
            <a:solidFill>
              <a:schemeClr val="accent2"/>
            </a:solidFill>
            <a:ln>
              <a:noFill/>
            </a:ln>
            <a:effectLst/>
          </c:spPr>
          <c:trendline>
            <c:spPr>
              <a:ln w="19050" cap="rnd">
                <a:solidFill>
                  <a:schemeClr val="accent2"/>
                </a:solidFill>
                <a:prstDash val="sysDot"/>
              </a:ln>
              <a:effectLst/>
            </c:spPr>
            <c:trendlineType val="movingAvg"/>
            <c:period val="7"/>
            <c:dispRSqr val="0"/>
            <c:dispEq val="0"/>
          </c:trendline>
          <c:cat>
            <c:numRef>
              <c:f>Summary!$L$7:$L$145</c:f>
              <c:numCache>
                <c:formatCode>mm/yyyy</c:formatCode>
                <c:ptCount val="139"/>
                <c:pt idx="0">
                  <c:v>45443</c:v>
                </c:pt>
                <c:pt idx="1">
                  <c:v>45446</c:v>
                </c:pt>
                <c:pt idx="2">
                  <c:v>45448</c:v>
                </c:pt>
                <c:pt idx="3">
                  <c:v>45449</c:v>
                </c:pt>
                <c:pt idx="4">
                  <c:v>45453</c:v>
                </c:pt>
                <c:pt idx="5">
                  <c:v>45458</c:v>
                </c:pt>
                <c:pt idx="6">
                  <c:v>45460</c:v>
                </c:pt>
                <c:pt idx="7">
                  <c:v>45461</c:v>
                </c:pt>
                <c:pt idx="8">
                  <c:v>45464</c:v>
                </c:pt>
                <c:pt idx="9">
                  <c:v>45467</c:v>
                </c:pt>
                <c:pt idx="10">
                  <c:v>45471</c:v>
                </c:pt>
                <c:pt idx="11">
                  <c:v>45475</c:v>
                </c:pt>
                <c:pt idx="12">
                  <c:v>45476</c:v>
                </c:pt>
                <c:pt idx="13">
                  <c:v>45478</c:v>
                </c:pt>
                <c:pt idx="14">
                  <c:v>45481</c:v>
                </c:pt>
                <c:pt idx="15">
                  <c:v>45482</c:v>
                </c:pt>
                <c:pt idx="16">
                  <c:v>45483</c:v>
                </c:pt>
                <c:pt idx="17">
                  <c:v>45484</c:v>
                </c:pt>
                <c:pt idx="18">
                  <c:v>45485</c:v>
                </c:pt>
                <c:pt idx="19">
                  <c:v>45495</c:v>
                </c:pt>
                <c:pt idx="20">
                  <c:v>45496</c:v>
                </c:pt>
                <c:pt idx="21">
                  <c:v>45497</c:v>
                </c:pt>
                <c:pt idx="22">
                  <c:v>45504</c:v>
                </c:pt>
                <c:pt idx="23">
                  <c:v>45510</c:v>
                </c:pt>
                <c:pt idx="24">
                  <c:v>45511</c:v>
                </c:pt>
                <c:pt idx="25">
                  <c:v>45512</c:v>
                </c:pt>
                <c:pt idx="26">
                  <c:v>45518</c:v>
                </c:pt>
                <c:pt idx="27">
                  <c:v>45519</c:v>
                </c:pt>
                <c:pt idx="28">
                  <c:v>45523</c:v>
                </c:pt>
                <c:pt idx="29">
                  <c:v>45538</c:v>
                </c:pt>
                <c:pt idx="30">
                  <c:v>45539</c:v>
                </c:pt>
                <c:pt idx="31">
                  <c:v>45544</c:v>
                </c:pt>
                <c:pt idx="32">
                  <c:v>45547</c:v>
                </c:pt>
                <c:pt idx="33">
                  <c:v>45548</c:v>
                </c:pt>
                <c:pt idx="34">
                  <c:v>45551</c:v>
                </c:pt>
                <c:pt idx="35">
                  <c:v>45552</c:v>
                </c:pt>
                <c:pt idx="36">
                  <c:v>45553</c:v>
                </c:pt>
                <c:pt idx="37">
                  <c:v>45559</c:v>
                </c:pt>
                <c:pt idx="38">
                  <c:v>45560</c:v>
                </c:pt>
                <c:pt idx="39">
                  <c:v>45561</c:v>
                </c:pt>
                <c:pt idx="40">
                  <c:v>45562</c:v>
                </c:pt>
                <c:pt idx="41">
                  <c:v>45565</c:v>
                </c:pt>
                <c:pt idx="42">
                  <c:v>45568</c:v>
                </c:pt>
                <c:pt idx="43">
                  <c:v>45574</c:v>
                </c:pt>
                <c:pt idx="44">
                  <c:v>45575</c:v>
                </c:pt>
                <c:pt idx="45">
                  <c:v>45579</c:v>
                </c:pt>
                <c:pt idx="46">
                  <c:v>45580</c:v>
                </c:pt>
                <c:pt idx="47">
                  <c:v>45582</c:v>
                </c:pt>
                <c:pt idx="48">
                  <c:v>45583</c:v>
                </c:pt>
                <c:pt idx="49">
                  <c:v>45590</c:v>
                </c:pt>
                <c:pt idx="50">
                  <c:v>45593</c:v>
                </c:pt>
                <c:pt idx="51">
                  <c:v>45595</c:v>
                </c:pt>
                <c:pt idx="52">
                  <c:v>45597</c:v>
                </c:pt>
                <c:pt idx="53">
                  <c:v>45600</c:v>
                </c:pt>
                <c:pt idx="54">
                  <c:v>45603</c:v>
                </c:pt>
                <c:pt idx="55">
                  <c:v>45604</c:v>
                </c:pt>
                <c:pt idx="56">
                  <c:v>45608</c:v>
                </c:pt>
                <c:pt idx="57">
                  <c:v>45609</c:v>
                </c:pt>
                <c:pt idx="58">
                  <c:v>45610</c:v>
                </c:pt>
                <c:pt idx="59">
                  <c:v>45615</c:v>
                </c:pt>
                <c:pt idx="60">
                  <c:v>45621</c:v>
                </c:pt>
                <c:pt idx="61">
                  <c:v>45623</c:v>
                </c:pt>
                <c:pt idx="62">
                  <c:v>45624</c:v>
                </c:pt>
                <c:pt idx="63">
                  <c:v>45626</c:v>
                </c:pt>
                <c:pt idx="64">
                  <c:v>45628</c:v>
                </c:pt>
                <c:pt idx="65">
                  <c:v>45629</c:v>
                </c:pt>
                <c:pt idx="66">
                  <c:v>45630</c:v>
                </c:pt>
                <c:pt idx="67">
                  <c:v>45631</c:v>
                </c:pt>
                <c:pt idx="68">
                  <c:v>45632</c:v>
                </c:pt>
                <c:pt idx="69">
                  <c:v>45638</c:v>
                </c:pt>
                <c:pt idx="70">
                  <c:v>45639</c:v>
                </c:pt>
                <c:pt idx="71">
                  <c:v>45642</c:v>
                </c:pt>
                <c:pt idx="72">
                  <c:v>45645</c:v>
                </c:pt>
                <c:pt idx="73">
                  <c:v>45646</c:v>
                </c:pt>
                <c:pt idx="74">
                  <c:v>45649</c:v>
                </c:pt>
                <c:pt idx="75">
                  <c:v>45650</c:v>
                </c:pt>
                <c:pt idx="76">
                  <c:v>45653</c:v>
                </c:pt>
                <c:pt idx="77">
                  <c:v>45659</c:v>
                </c:pt>
                <c:pt idx="78">
                  <c:v>45660</c:v>
                </c:pt>
                <c:pt idx="79">
                  <c:v>45663</c:v>
                </c:pt>
                <c:pt idx="80">
                  <c:v>45664</c:v>
                </c:pt>
                <c:pt idx="81">
                  <c:v>45666</c:v>
                </c:pt>
                <c:pt idx="82">
                  <c:v>45667</c:v>
                </c:pt>
                <c:pt idx="83">
                  <c:v>45670</c:v>
                </c:pt>
                <c:pt idx="84">
                  <c:v>45678</c:v>
                </c:pt>
                <c:pt idx="85">
                  <c:v>45679</c:v>
                </c:pt>
                <c:pt idx="86">
                  <c:v>45680</c:v>
                </c:pt>
                <c:pt idx="87">
                  <c:v>45681</c:v>
                </c:pt>
                <c:pt idx="88">
                  <c:v>45685</c:v>
                </c:pt>
                <c:pt idx="89">
                  <c:v>45686</c:v>
                </c:pt>
                <c:pt idx="90">
                  <c:v>45687</c:v>
                </c:pt>
                <c:pt idx="91">
                  <c:v>45692</c:v>
                </c:pt>
                <c:pt idx="92">
                  <c:v>45693</c:v>
                </c:pt>
                <c:pt idx="93">
                  <c:v>45695</c:v>
                </c:pt>
                <c:pt idx="94">
                  <c:v>45698</c:v>
                </c:pt>
                <c:pt idx="95">
                  <c:v>45699</c:v>
                </c:pt>
                <c:pt idx="96">
                  <c:v>45701</c:v>
                </c:pt>
                <c:pt idx="97">
                  <c:v>45702</c:v>
                </c:pt>
                <c:pt idx="98">
                  <c:v>45705</c:v>
                </c:pt>
                <c:pt idx="99">
                  <c:v>45706</c:v>
                </c:pt>
                <c:pt idx="100">
                  <c:v>45707</c:v>
                </c:pt>
                <c:pt idx="101">
                  <c:v>45708</c:v>
                </c:pt>
                <c:pt idx="102">
                  <c:v>45709</c:v>
                </c:pt>
                <c:pt idx="103">
                  <c:v>45716</c:v>
                </c:pt>
                <c:pt idx="104">
                  <c:v>45723</c:v>
                </c:pt>
                <c:pt idx="105">
                  <c:v>45726</c:v>
                </c:pt>
                <c:pt idx="106">
                  <c:v>45727</c:v>
                </c:pt>
                <c:pt idx="107">
                  <c:v>45729</c:v>
                </c:pt>
                <c:pt idx="108">
                  <c:v>45730</c:v>
                </c:pt>
                <c:pt idx="109">
                  <c:v>45733</c:v>
                </c:pt>
                <c:pt idx="110">
                  <c:v>45734</c:v>
                </c:pt>
                <c:pt idx="111">
                  <c:v>45737</c:v>
                </c:pt>
                <c:pt idx="112">
                  <c:v>45741</c:v>
                </c:pt>
                <c:pt idx="113">
                  <c:v>45742</c:v>
                </c:pt>
                <c:pt idx="114">
                  <c:v>45743</c:v>
                </c:pt>
                <c:pt idx="115">
                  <c:v>45744</c:v>
                </c:pt>
                <c:pt idx="116">
                  <c:v>45747</c:v>
                </c:pt>
                <c:pt idx="117">
                  <c:v>45749</c:v>
                </c:pt>
                <c:pt idx="118">
                  <c:v>45750</c:v>
                </c:pt>
                <c:pt idx="119">
                  <c:v>45751</c:v>
                </c:pt>
                <c:pt idx="120">
                  <c:v>45754</c:v>
                </c:pt>
                <c:pt idx="121">
                  <c:v>45755</c:v>
                </c:pt>
                <c:pt idx="122">
                  <c:v>45756</c:v>
                </c:pt>
                <c:pt idx="123">
                  <c:v>45757</c:v>
                </c:pt>
                <c:pt idx="124">
                  <c:v>45761</c:v>
                </c:pt>
                <c:pt idx="125">
                  <c:v>45762</c:v>
                </c:pt>
                <c:pt idx="126">
                  <c:v>45764</c:v>
                </c:pt>
                <c:pt idx="127">
                  <c:v>45765</c:v>
                </c:pt>
                <c:pt idx="128">
                  <c:v>45768</c:v>
                </c:pt>
                <c:pt idx="129">
                  <c:v>45769</c:v>
                </c:pt>
                <c:pt idx="130">
                  <c:v>45777</c:v>
                </c:pt>
                <c:pt idx="131">
                  <c:v>45782</c:v>
                </c:pt>
                <c:pt idx="132">
                  <c:v>45783</c:v>
                </c:pt>
                <c:pt idx="133">
                  <c:v>45784</c:v>
                </c:pt>
                <c:pt idx="134">
                  <c:v>45785</c:v>
                </c:pt>
                <c:pt idx="135">
                  <c:v>45786</c:v>
                </c:pt>
                <c:pt idx="136">
                  <c:v>45789</c:v>
                </c:pt>
                <c:pt idx="137">
                  <c:v>45791</c:v>
                </c:pt>
                <c:pt idx="138">
                  <c:v>45792</c:v>
                </c:pt>
              </c:numCache>
            </c:numRef>
          </c:cat>
          <c:val>
            <c:numRef>
              <c:f>Summary!$N$7:$N$145</c:f>
              <c:numCache>
                <c:formatCode>"$"#,##0.00</c:formatCode>
                <c:ptCount val="139"/>
                <c:pt idx="0">
                  <c:v>0</c:v>
                </c:pt>
                <c:pt idx="1">
                  <c:v>40.57</c:v>
                </c:pt>
                <c:pt idx="2">
                  <c:v>60.82</c:v>
                </c:pt>
                <c:pt idx="3">
                  <c:v>70.819999999999993</c:v>
                </c:pt>
                <c:pt idx="4">
                  <c:v>80.819999999999993</c:v>
                </c:pt>
                <c:pt idx="5">
                  <c:v>80.819999999999993</c:v>
                </c:pt>
                <c:pt idx="6">
                  <c:v>100.80999999999999</c:v>
                </c:pt>
                <c:pt idx="7">
                  <c:v>100.80999999999999</c:v>
                </c:pt>
                <c:pt idx="8">
                  <c:v>100.91999999999999</c:v>
                </c:pt>
                <c:pt idx="9">
                  <c:v>100.91999999999999</c:v>
                </c:pt>
                <c:pt idx="10">
                  <c:v>100.91999999999999</c:v>
                </c:pt>
                <c:pt idx="11">
                  <c:v>100.91999999999999</c:v>
                </c:pt>
                <c:pt idx="12">
                  <c:v>136.94999999999999</c:v>
                </c:pt>
                <c:pt idx="13">
                  <c:v>156.89999999999998</c:v>
                </c:pt>
                <c:pt idx="14">
                  <c:v>117.34999999999998</c:v>
                </c:pt>
                <c:pt idx="15">
                  <c:v>142.32999999999998</c:v>
                </c:pt>
                <c:pt idx="16">
                  <c:v>166.82</c:v>
                </c:pt>
                <c:pt idx="17">
                  <c:v>194.70999999999998</c:v>
                </c:pt>
                <c:pt idx="18">
                  <c:v>194.70999999999998</c:v>
                </c:pt>
                <c:pt idx="19">
                  <c:v>194.70999999999998</c:v>
                </c:pt>
                <c:pt idx="20">
                  <c:v>194.70999999999998</c:v>
                </c:pt>
                <c:pt idx="21">
                  <c:v>194.70999999999998</c:v>
                </c:pt>
                <c:pt idx="22">
                  <c:v>194.70999999999998</c:v>
                </c:pt>
                <c:pt idx="23">
                  <c:v>194.70999999999998</c:v>
                </c:pt>
                <c:pt idx="24">
                  <c:v>239.67999999999998</c:v>
                </c:pt>
                <c:pt idx="25">
                  <c:v>239.67999999999998</c:v>
                </c:pt>
                <c:pt idx="26">
                  <c:v>274.67999999999995</c:v>
                </c:pt>
                <c:pt idx="27">
                  <c:v>274.67999999999995</c:v>
                </c:pt>
                <c:pt idx="28">
                  <c:v>294.64999999999998</c:v>
                </c:pt>
                <c:pt idx="29">
                  <c:v>294.64999999999998</c:v>
                </c:pt>
                <c:pt idx="30">
                  <c:v>294.64999999999998</c:v>
                </c:pt>
                <c:pt idx="31">
                  <c:v>325.83</c:v>
                </c:pt>
                <c:pt idx="32">
                  <c:v>325.83</c:v>
                </c:pt>
                <c:pt idx="33">
                  <c:v>340.65999999999997</c:v>
                </c:pt>
                <c:pt idx="34">
                  <c:v>325.65999999999997</c:v>
                </c:pt>
                <c:pt idx="35">
                  <c:v>325.65999999999997</c:v>
                </c:pt>
                <c:pt idx="36">
                  <c:v>345.65999999999997</c:v>
                </c:pt>
                <c:pt idx="37">
                  <c:v>345.36999999999995</c:v>
                </c:pt>
                <c:pt idx="38">
                  <c:v>340.36999999999995</c:v>
                </c:pt>
                <c:pt idx="39">
                  <c:v>340.36999999999995</c:v>
                </c:pt>
                <c:pt idx="40">
                  <c:v>340.36999999999995</c:v>
                </c:pt>
                <c:pt idx="41">
                  <c:v>340.36999999999995</c:v>
                </c:pt>
                <c:pt idx="42">
                  <c:v>370.33999999999992</c:v>
                </c:pt>
                <c:pt idx="43">
                  <c:v>370.33999999999992</c:v>
                </c:pt>
                <c:pt idx="44">
                  <c:v>370.33999999999992</c:v>
                </c:pt>
                <c:pt idx="45">
                  <c:v>370.33999999999992</c:v>
                </c:pt>
                <c:pt idx="46">
                  <c:v>410.32999999999993</c:v>
                </c:pt>
                <c:pt idx="47">
                  <c:v>423.30999999999995</c:v>
                </c:pt>
                <c:pt idx="48">
                  <c:v>443.78999999999996</c:v>
                </c:pt>
                <c:pt idx="49">
                  <c:v>443.78999999999996</c:v>
                </c:pt>
                <c:pt idx="50">
                  <c:v>458.77</c:v>
                </c:pt>
                <c:pt idx="51">
                  <c:v>458.77</c:v>
                </c:pt>
                <c:pt idx="52">
                  <c:v>500.65999999999997</c:v>
                </c:pt>
                <c:pt idx="53">
                  <c:v>500.65999999999997</c:v>
                </c:pt>
                <c:pt idx="54">
                  <c:v>480.67999999999995</c:v>
                </c:pt>
                <c:pt idx="55">
                  <c:v>480.67999999999995</c:v>
                </c:pt>
                <c:pt idx="56">
                  <c:v>493.65999999999997</c:v>
                </c:pt>
                <c:pt idx="57">
                  <c:v>504.60999999999996</c:v>
                </c:pt>
                <c:pt idx="58">
                  <c:v>504.60999999999996</c:v>
                </c:pt>
                <c:pt idx="59">
                  <c:v>504.60999999999996</c:v>
                </c:pt>
                <c:pt idx="60">
                  <c:v>524.59999999999991</c:v>
                </c:pt>
                <c:pt idx="61">
                  <c:v>569.56999999999994</c:v>
                </c:pt>
                <c:pt idx="62">
                  <c:v>569.56999999999994</c:v>
                </c:pt>
                <c:pt idx="63">
                  <c:v>569.56999999999994</c:v>
                </c:pt>
                <c:pt idx="64">
                  <c:v>619.54</c:v>
                </c:pt>
                <c:pt idx="65">
                  <c:v>670.94999999999993</c:v>
                </c:pt>
                <c:pt idx="66">
                  <c:v>680.94999999999993</c:v>
                </c:pt>
                <c:pt idx="67">
                  <c:v>680.94999999999993</c:v>
                </c:pt>
                <c:pt idx="68">
                  <c:v>700.94999999999993</c:v>
                </c:pt>
                <c:pt idx="69">
                  <c:v>700.94999999999993</c:v>
                </c:pt>
                <c:pt idx="70">
                  <c:v>700.94999999999993</c:v>
                </c:pt>
                <c:pt idx="71">
                  <c:v>700.94999999999993</c:v>
                </c:pt>
                <c:pt idx="72">
                  <c:v>775.92</c:v>
                </c:pt>
                <c:pt idx="73">
                  <c:v>786.24</c:v>
                </c:pt>
                <c:pt idx="74">
                  <c:v>786.24</c:v>
                </c:pt>
                <c:pt idx="75">
                  <c:v>786.24</c:v>
                </c:pt>
                <c:pt idx="76">
                  <c:v>786.24</c:v>
                </c:pt>
                <c:pt idx="77">
                  <c:v>803.35</c:v>
                </c:pt>
                <c:pt idx="78">
                  <c:v>803.35</c:v>
                </c:pt>
                <c:pt idx="79">
                  <c:v>877.78</c:v>
                </c:pt>
                <c:pt idx="80">
                  <c:v>877.78</c:v>
                </c:pt>
                <c:pt idx="81">
                  <c:v>877.78</c:v>
                </c:pt>
                <c:pt idx="82">
                  <c:v>881.83999999999992</c:v>
                </c:pt>
                <c:pt idx="83">
                  <c:v>881.83999999999992</c:v>
                </c:pt>
                <c:pt idx="84">
                  <c:v>886.8599999999999</c:v>
                </c:pt>
                <c:pt idx="85">
                  <c:v>886.8599999999999</c:v>
                </c:pt>
                <c:pt idx="86">
                  <c:v>850.58999999999992</c:v>
                </c:pt>
                <c:pt idx="87">
                  <c:v>850.58999999999992</c:v>
                </c:pt>
                <c:pt idx="88">
                  <c:v>831.6099999999999</c:v>
                </c:pt>
                <c:pt idx="89">
                  <c:v>875.84999999999991</c:v>
                </c:pt>
                <c:pt idx="90">
                  <c:v>885.84999999999991</c:v>
                </c:pt>
                <c:pt idx="91">
                  <c:v>915.83999999999992</c:v>
                </c:pt>
                <c:pt idx="92">
                  <c:v>957.68</c:v>
                </c:pt>
                <c:pt idx="93">
                  <c:v>965.19999999999993</c:v>
                </c:pt>
                <c:pt idx="94">
                  <c:v>965.19999999999993</c:v>
                </c:pt>
                <c:pt idx="95">
                  <c:v>975.19999999999993</c:v>
                </c:pt>
                <c:pt idx="96">
                  <c:v>975.19999999999993</c:v>
                </c:pt>
                <c:pt idx="97">
                  <c:v>975.19999999999993</c:v>
                </c:pt>
                <c:pt idx="98">
                  <c:v>975.19999999999993</c:v>
                </c:pt>
                <c:pt idx="99">
                  <c:v>973.06999999999994</c:v>
                </c:pt>
                <c:pt idx="100">
                  <c:v>973.06999999999994</c:v>
                </c:pt>
                <c:pt idx="101">
                  <c:v>1048.02</c:v>
                </c:pt>
                <c:pt idx="102">
                  <c:v>1048.02</c:v>
                </c:pt>
                <c:pt idx="103">
                  <c:v>1142.48</c:v>
                </c:pt>
                <c:pt idx="104">
                  <c:v>1142.48</c:v>
                </c:pt>
                <c:pt idx="105">
                  <c:v>1142.48</c:v>
                </c:pt>
                <c:pt idx="106">
                  <c:v>1192.46</c:v>
                </c:pt>
                <c:pt idx="107">
                  <c:v>1192.46</c:v>
                </c:pt>
                <c:pt idx="108">
                  <c:v>1192.46</c:v>
                </c:pt>
                <c:pt idx="109">
                  <c:v>1192.46</c:v>
                </c:pt>
                <c:pt idx="110">
                  <c:v>1223.44</c:v>
                </c:pt>
                <c:pt idx="111">
                  <c:v>1223.44</c:v>
                </c:pt>
                <c:pt idx="112">
                  <c:v>1214.1100000000001</c:v>
                </c:pt>
                <c:pt idx="113">
                  <c:v>1209.5600000000002</c:v>
                </c:pt>
                <c:pt idx="114">
                  <c:v>1335.3200000000002</c:v>
                </c:pt>
                <c:pt idx="115">
                  <c:v>1350.3200000000002</c:v>
                </c:pt>
                <c:pt idx="116">
                  <c:v>1350.3200000000002</c:v>
                </c:pt>
                <c:pt idx="117">
                  <c:v>1350.3200000000002</c:v>
                </c:pt>
                <c:pt idx="118">
                  <c:v>1350.3200000000002</c:v>
                </c:pt>
                <c:pt idx="119">
                  <c:v>1519.43</c:v>
                </c:pt>
                <c:pt idx="120">
                  <c:v>1531.78</c:v>
                </c:pt>
                <c:pt idx="121">
                  <c:v>1551.75</c:v>
                </c:pt>
                <c:pt idx="122">
                  <c:v>1551.75</c:v>
                </c:pt>
                <c:pt idx="123">
                  <c:v>1551.75</c:v>
                </c:pt>
                <c:pt idx="124">
                  <c:v>1551.75</c:v>
                </c:pt>
                <c:pt idx="125">
                  <c:v>1551.75</c:v>
                </c:pt>
                <c:pt idx="126">
                  <c:v>1544.73</c:v>
                </c:pt>
                <c:pt idx="127">
                  <c:v>1544.73</c:v>
                </c:pt>
                <c:pt idx="128">
                  <c:v>1544.73</c:v>
                </c:pt>
                <c:pt idx="129">
                  <c:v>1544.73</c:v>
                </c:pt>
                <c:pt idx="130">
                  <c:v>1554.73</c:v>
                </c:pt>
                <c:pt idx="131">
                  <c:v>1462.26</c:v>
                </c:pt>
                <c:pt idx="132">
                  <c:v>1513.25</c:v>
                </c:pt>
                <c:pt idx="133">
                  <c:v>1486.89</c:v>
                </c:pt>
                <c:pt idx="134">
                  <c:v>1475.0500000000002</c:v>
                </c:pt>
                <c:pt idx="135">
                  <c:v>1475.0500000000002</c:v>
                </c:pt>
                <c:pt idx="136">
                  <c:v>1505.0400000000002</c:v>
                </c:pt>
                <c:pt idx="137">
                  <c:v>1444.41</c:v>
                </c:pt>
                <c:pt idx="138">
                  <c:v>1490.48</c:v>
                </c:pt>
              </c:numCache>
            </c:numRef>
          </c:val>
          <c:extLst>
            <c:ext xmlns:c16="http://schemas.microsoft.com/office/drawing/2014/chart" uri="{C3380CC4-5D6E-409C-BE32-E72D297353CC}">
              <c16:uniqueId val="{00000001-C8BC-43DE-A797-7CBDE919E3E3}"/>
            </c:ext>
          </c:extLst>
        </c:ser>
        <c:dLbls>
          <c:showLegendKey val="0"/>
          <c:showVal val="0"/>
          <c:showCatName val="0"/>
          <c:showSerName val="0"/>
          <c:showPercent val="0"/>
          <c:showBubbleSize val="0"/>
        </c:dLbls>
        <c:axId val="1764631776"/>
        <c:axId val="21022256"/>
        <c:extLst>
          <c:ext xmlns:c15="http://schemas.microsoft.com/office/drawing/2012/chart" uri="{02D57815-91ED-43cb-92C2-25804820EDAC}">
            <c15:filteredAreaSeries>
              <c15:ser>
                <c:idx val="0"/>
                <c:order val="0"/>
                <c:tx>
                  <c:strRef>
                    <c:extLst>
                      <c:ext uri="{02D57815-91ED-43cb-92C2-25804820EDAC}">
                        <c15:formulaRef>
                          <c15:sqref>Summary!$M$6</c15:sqref>
                        </c15:formulaRef>
                      </c:ext>
                    </c:extLst>
                    <c:strCache>
                      <c:ptCount val="1"/>
                      <c:pt idx="0">
                        <c:v>DEPOSIT BALANCE</c:v>
                      </c:pt>
                    </c:strCache>
                  </c:strRef>
                </c:tx>
                <c:spPr>
                  <a:solidFill>
                    <a:schemeClr val="accent1"/>
                  </a:solidFill>
                  <a:ln>
                    <a:noFill/>
                  </a:ln>
                  <a:effectLst/>
                </c:spPr>
                <c:cat>
                  <c:numRef>
                    <c:extLst>
                      <c:ext uri="{02D57815-91ED-43cb-92C2-25804820EDAC}">
                        <c15:formulaRef>
                          <c15:sqref>Summary!$L$7:$L$145</c15:sqref>
                        </c15:formulaRef>
                      </c:ext>
                    </c:extLst>
                    <c:numCache>
                      <c:formatCode>mm/yyyy</c:formatCode>
                      <c:ptCount val="139"/>
                      <c:pt idx="0">
                        <c:v>45443</c:v>
                      </c:pt>
                      <c:pt idx="1">
                        <c:v>45446</c:v>
                      </c:pt>
                      <c:pt idx="2">
                        <c:v>45448</c:v>
                      </c:pt>
                      <c:pt idx="3">
                        <c:v>45449</c:v>
                      </c:pt>
                      <c:pt idx="4">
                        <c:v>45453</c:v>
                      </c:pt>
                      <c:pt idx="5">
                        <c:v>45458</c:v>
                      </c:pt>
                      <c:pt idx="6">
                        <c:v>45460</c:v>
                      </c:pt>
                      <c:pt idx="7">
                        <c:v>45461</c:v>
                      </c:pt>
                      <c:pt idx="8">
                        <c:v>45464</c:v>
                      </c:pt>
                      <c:pt idx="9">
                        <c:v>45467</c:v>
                      </c:pt>
                      <c:pt idx="10">
                        <c:v>45471</c:v>
                      </c:pt>
                      <c:pt idx="11">
                        <c:v>45475</c:v>
                      </c:pt>
                      <c:pt idx="12">
                        <c:v>45476</c:v>
                      </c:pt>
                      <c:pt idx="13">
                        <c:v>45478</c:v>
                      </c:pt>
                      <c:pt idx="14">
                        <c:v>45481</c:v>
                      </c:pt>
                      <c:pt idx="15">
                        <c:v>45482</c:v>
                      </c:pt>
                      <c:pt idx="16">
                        <c:v>45483</c:v>
                      </c:pt>
                      <c:pt idx="17">
                        <c:v>45484</c:v>
                      </c:pt>
                      <c:pt idx="18">
                        <c:v>45485</c:v>
                      </c:pt>
                      <c:pt idx="19">
                        <c:v>45495</c:v>
                      </c:pt>
                      <c:pt idx="20">
                        <c:v>45496</c:v>
                      </c:pt>
                      <c:pt idx="21">
                        <c:v>45497</c:v>
                      </c:pt>
                      <c:pt idx="22">
                        <c:v>45504</c:v>
                      </c:pt>
                      <c:pt idx="23">
                        <c:v>45510</c:v>
                      </c:pt>
                      <c:pt idx="24">
                        <c:v>45511</c:v>
                      </c:pt>
                      <c:pt idx="25">
                        <c:v>45512</c:v>
                      </c:pt>
                      <c:pt idx="26">
                        <c:v>45518</c:v>
                      </c:pt>
                      <c:pt idx="27">
                        <c:v>45519</c:v>
                      </c:pt>
                      <c:pt idx="28">
                        <c:v>45523</c:v>
                      </c:pt>
                      <c:pt idx="29">
                        <c:v>45538</c:v>
                      </c:pt>
                      <c:pt idx="30">
                        <c:v>45539</c:v>
                      </c:pt>
                      <c:pt idx="31">
                        <c:v>45544</c:v>
                      </c:pt>
                      <c:pt idx="32">
                        <c:v>45547</c:v>
                      </c:pt>
                      <c:pt idx="33">
                        <c:v>45548</c:v>
                      </c:pt>
                      <c:pt idx="34">
                        <c:v>45551</c:v>
                      </c:pt>
                      <c:pt idx="35">
                        <c:v>45552</c:v>
                      </c:pt>
                      <c:pt idx="36">
                        <c:v>45553</c:v>
                      </c:pt>
                      <c:pt idx="37">
                        <c:v>45559</c:v>
                      </c:pt>
                      <c:pt idx="38">
                        <c:v>45560</c:v>
                      </c:pt>
                      <c:pt idx="39">
                        <c:v>45561</c:v>
                      </c:pt>
                      <c:pt idx="40">
                        <c:v>45562</c:v>
                      </c:pt>
                      <c:pt idx="41">
                        <c:v>45565</c:v>
                      </c:pt>
                      <c:pt idx="42">
                        <c:v>45568</c:v>
                      </c:pt>
                      <c:pt idx="43">
                        <c:v>45574</c:v>
                      </c:pt>
                      <c:pt idx="44">
                        <c:v>45575</c:v>
                      </c:pt>
                      <c:pt idx="45">
                        <c:v>45579</c:v>
                      </c:pt>
                      <c:pt idx="46">
                        <c:v>45580</c:v>
                      </c:pt>
                      <c:pt idx="47">
                        <c:v>45582</c:v>
                      </c:pt>
                      <c:pt idx="48">
                        <c:v>45583</c:v>
                      </c:pt>
                      <c:pt idx="49">
                        <c:v>45590</c:v>
                      </c:pt>
                      <c:pt idx="50">
                        <c:v>45593</c:v>
                      </c:pt>
                      <c:pt idx="51">
                        <c:v>45595</c:v>
                      </c:pt>
                      <c:pt idx="52">
                        <c:v>45597</c:v>
                      </c:pt>
                      <c:pt idx="53">
                        <c:v>45600</c:v>
                      </c:pt>
                      <c:pt idx="54">
                        <c:v>45603</c:v>
                      </c:pt>
                      <c:pt idx="55">
                        <c:v>45604</c:v>
                      </c:pt>
                      <c:pt idx="56">
                        <c:v>45608</c:v>
                      </c:pt>
                      <c:pt idx="57">
                        <c:v>45609</c:v>
                      </c:pt>
                      <c:pt idx="58">
                        <c:v>45610</c:v>
                      </c:pt>
                      <c:pt idx="59">
                        <c:v>45615</c:v>
                      </c:pt>
                      <c:pt idx="60">
                        <c:v>45621</c:v>
                      </c:pt>
                      <c:pt idx="61">
                        <c:v>45623</c:v>
                      </c:pt>
                      <c:pt idx="62">
                        <c:v>45624</c:v>
                      </c:pt>
                      <c:pt idx="63">
                        <c:v>45626</c:v>
                      </c:pt>
                      <c:pt idx="64">
                        <c:v>45628</c:v>
                      </c:pt>
                      <c:pt idx="65">
                        <c:v>45629</c:v>
                      </c:pt>
                      <c:pt idx="66">
                        <c:v>45630</c:v>
                      </c:pt>
                      <c:pt idx="67">
                        <c:v>45631</c:v>
                      </c:pt>
                      <c:pt idx="68">
                        <c:v>45632</c:v>
                      </c:pt>
                      <c:pt idx="69">
                        <c:v>45638</c:v>
                      </c:pt>
                      <c:pt idx="70">
                        <c:v>45639</c:v>
                      </c:pt>
                      <c:pt idx="71">
                        <c:v>45642</c:v>
                      </c:pt>
                      <c:pt idx="72">
                        <c:v>45645</c:v>
                      </c:pt>
                      <c:pt idx="73">
                        <c:v>45646</c:v>
                      </c:pt>
                      <c:pt idx="74">
                        <c:v>45649</c:v>
                      </c:pt>
                      <c:pt idx="75">
                        <c:v>45650</c:v>
                      </c:pt>
                      <c:pt idx="76">
                        <c:v>45653</c:v>
                      </c:pt>
                      <c:pt idx="77">
                        <c:v>45659</c:v>
                      </c:pt>
                      <c:pt idx="78">
                        <c:v>45660</c:v>
                      </c:pt>
                      <c:pt idx="79">
                        <c:v>45663</c:v>
                      </c:pt>
                      <c:pt idx="80">
                        <c:v>45664</c:v>
                      </c:pt>
                      <c:pt idx="81">
                        <c:v>45666</c:v>
                      </c:pt>
                      <c:pt idx="82">
                        <c:v>45667</c:v>
                      </c:pt>
                      <c:pt idx="83">
                        <c:v>45670</c:v>
                      </c:pt>
                      <c:pt idx="84">
                        <c:v>45678</c:v>
                      </c:pt>
                      <c:pt idx="85">
                        <c:v>45679</c:v>
                      </c:pt>
                      <c:pt idx="86">
                        <c:v>45680</c:v>
                      </c:pt>
                      <c:pt idx="87">
                        <c:v>45681</c:v>
                      </c:pt>
                      <c:pt idx="88">
                        <c:v>45685</c:v>
                      </c:pt>
                      <c:pt idx="89">
                        <c:v>45686</c:v>
                      </c:pt>
                      <c:pt idx="90">
                        <c:v>45687</c:v>
                      </c:pt>
                      <c:pt idx="91">
                        <c:v>45692</c:v>
                      </c:pt>
                      <c:pt idx="92">
                        <c:v>45693</c:v>
                      </c:pt>
                      <c:pt idx="93">
                        <c:v>45695</c:v>
                      </c:pt>
                      <c:pt idx="94">
                        <c:v>45698</c:v>
                      </c:pt>
                      <c:pt idx="95">
                        <c:v>45699</c:v>
                      </c:pt>
                      <c:pt idx="96">
                        <c:v>45701</c:v>
                      </c:pt>
                      <c:pt idx="97">
                        <c:v>45702</c:v>
                      </c:pt>
                      <c:pt idx="98">
                        <c:v>45705</c:v>
                      </c:pt>
                      <c:pt idx="99">
                        <c:v>45706</c:v>
                      </c:pt>
                      <c:pt idx="100">
                        <c:v>45707</c:v>
                      </c:pt>
                      <c:pt idx="101">
                        <c:v>45708</c:v>
                      </c:pt>
                      <c:pt idx="102">
                        <c:v>45709</c:v>
                      </c:pt>
                      <c:pt idx="103">
                        <c:v>45716</c:v>
                      </c:pt>
                      <c:pt idx="104">
                        <c:v>45723</c:v>
                      </c:pt>
                      <c:pt idx="105">
                        <c:v>45726</c:v>
                      </c:pt>
                      <c:pt idx="106">
                        <c:v>45727</c:v>
                      </c:pt>
                      <c:pt idx="107">
                        <c:v>45729</c:v>
                      </c:pt>
                      <c:pt idx="108">
                        <c:v>45730</c:v>
                      </c:pt>
                      <c:pt idx="109">
                        <c:v>45733</c:v>
                      </c:pt>
                      <c:pt idx="110">
                        <c:v>45734</c:v>
                      </c:pt>
                      <c:pt idx="111">
                        <c:v>45737</c:v>
                      </c:pt>
                      <c:pt idx="112">
                        <c:v>45741</c:v>
                      </c:pt>
                      <c:pt idx="113">
                        <c:v>45742</c:v>
                      </c:pt>
                      <c:pt idx="114">
                        <c:v>45743</c:v>
                      </c:pt>
                      <c:pt idx="115">
                        <c:v>45744</c:v>
                      </c:pt>
                      <c:pt idx="116">
                        <c:v>45747</c:v>
                      </c:pt>
                      <c:pt idx="117">
                        <c:v>45749</c:v>
                      </c:pt>
                      <c:pt idx="118">
                        <c:v>45750</c:v>
                      </c:pt>
                      <c:pt idx="119">
                        <c:v>45751</c:v>
                      </c:pt>
                      <c:pt idx="120">
                        <c:v>45754</c:v>
                      </c:pt>
                      <c:pt idx="121">
                        <c:v>45755</c:v>
                      </c:pt>
                      <c:pt idx="122">
                        <c:v>45756</c:v>
                      </c:pt>
                      <c:pt idx="123">
                        <c:v>45757</c:v>
                      </c:pt>
                      <c:pt idx="124">
                        <c:v>45761</c:v>
                      </c:pt>
                      <c:pt idx="125">
                        <c:v>45762</c:v>
                      </c:pt>
                      <c:pt idx="126">
                        <c:v>45764</c:v>
                      </c:pt>
                      <c:pt idx="127">
                        <c:v>45765</c:v>
                      </c:pt>
                      <c:pt idx="128">
                        <c:v>45768</c:v>
                      </c:pt>
                      <c:pt idx="129">
                        <c:v>45769</c:v>
                      </c:pt>
                      <c:pt idx="130">
                        <c:v>45777</c:v>
                      </c:pt>
                      <c:pt idx="131">
                        <c:v>45782</c:v>
                      </c:pt>
                      <c:pt idx="132">
                        <c:v>45783</c:v>
                      </c:pt>
                      <c:pt idx="133">
                        <c:v>45784</c:v>
                      </c:pt>
                      <c:pt idx="134">
                        <c:v>45785</c:v>
                      </c:pt>
                      <c:pt idx="135">
                        <c:v>45786</c:v>
                      </c:pt>
                      <c:pt idx="136">
                        <c:v>45789</c:v>
                      </c:pt>
                      <c:pt idx="137">
                        <c:v>45791</c:v>
                      </c:pt>
                      <c:pt idx="138">
                        <c:v>45792</c:v>
                      </c:pt>
                    </c:numCache>
                  </c:numRef>
                </c:cat>
                <c:val>
                  <c:numRef>
                    <c:extLst>
                      <c:ext uri="{02D57815-91ED-43cb-92C2-25804820EDAC}">
                        <c15:formulaRef>
                          <c15:sqref>Summary!$M$7:$M$138</c15:sqref>
                        </c15:formulaRef>
                      </c:ext>
                    </c:extLst>
                    <c:numCache>
                      <c:formatCode>"$"#,##0.00</c:formatCode>
                      <c:ptCount val="132"/>
                      <c:pt idx="0">
                        <c:v>100</c:v>
                      </c:pt>
                      <c:pt idx="1">
                        <c:v>100</c:v>
                      </c:pt>
                      <c:pt idx="2">
                        <c:v>100</c:v>
                      </c:pt>
                      <c:pt idx="3">
                        <c:v>100</c:v>
                      </c:pt>
                      <c:pt idx="4">
                        <c:v>100</c:v>
                      </c:pt>
                      <c:pt idx="5">
                        <c:v>150</c:v>
                      </c:pt>
                      <c:pt idx="6">
                        <c:v>150</c:v>
                      </c:pt>
                      <c:pt idx="7">
                        <c:v>150</c:v>
                      </c:pt>
                      <c:pt idx="8">
                        <c:v>150</c:v>
                      </c:pt>
                      <c:pt idx="9">
                        <c:v>150</c:v>
                      </c:pt>
                      <c:pt idx="10">
                        <c:v>150</c:v>
                      </c:pt>
                      <c:pt idx="11">
                        <c:v>200</c:v>
                      </c:pt>
                      <c:pt idx="12">
                        <c:v>200</c:v>
                      </c:pt>
                      <c:pt idx="13">
                        <c:v>200</c:v>
                      </c:pt>
                      <c:pt idx="14">
                        <c:v>200</c:v>
                      </c:pt>
                      <c:pt idx="15">
                        <c:v>200</c:v>
                      </c:pt>
                      <c:pt idx="16">
                        <c:v>200</c:v>
                      </c:pt>
                      <c:pt idx="17">
                        <c:v>200</c:v>
                      </c:pt>
                      <c:pt idx="18">
                        <c:v>200</c:v>
                      </c:pt>
                      <c:pt idx="19">
                        <c:v>250</c:v>
                      </c:pt>
                      <c:pt idx="20">
                        <c:v>250</c:v>
                      </c:pt>
                      <c:pt idx="21">
                        <c:v>250</c:v>
                      </c:pt>
                      <c:pt idx="22">
                        <c:v>250</c:v>
                      </c:pt>
                      <c:pt idx="23">
                        <c:v>300</c:v>
                      </c:pt>
                      <c:pt idx="24">
                        <c:v>300</c:v>
                      </c:pt>
                      <c:pt idx="25">
                        <c:v>300</c:v>
                      </c:pt>
                      <c:pt idx="26">
                        <c:v>350</c:v>
                      </c:pt>
                      <c:pt idx="27">
                        <c:v>350</c:v>
                      </c:pt>
                      <c:pt idx="28">
                        <c:v>350</c:v>
                      </c:pt>
                      <c:pt idx="29">
                        <c:v>350</c:v>
                      </c:pt>
                      <c:pt idx="30">
                        <c:v>400</c:v>
                      </c:pt>
                      <c:pt idx="31">
                        <c:v>400</c:v>
                      </c:pt>
                      <c:pt idx="32">
                        <c:v>400</c:v>
                      </c:pt>
                      <c:pt idx="33">
                        <c:v>400</c:v>
                      </c:pt>
                      <c:pt idx="34">
                        <c:v>400</c:v>
                      </c:pt>
                      <c:pt idx="35">
                        <c:v>400</c:v>
                      </c:pt>
                      <c:pt idx="36">
                        <c:v>400</c:v>
                      </c:pt>
                      <c:pt idx="37">
                        <c:v>450</c:v>
                      </c:pt>
                      <c:pt idx="38">
                        <c:v>450</c:v>
                      </c:pt>
                      <c:pt idx="39">
                        <c:v>450</c:v>
                      </c:pt>
                      <c:pt idx="40">
                        <c:v>450</c:v>
                      </c:pt>
                      <c:pt idx="41">
                        <c:v>450</c:v>
                      </c:pt>
                      <c:pt idx="42">
                        <c:v>450</c:v>
                      </c:pt>
                      <c:pt idx="43">
                        <c:v>500</c:v>
                      </c:pt>
                      <c:pt idx="44">
                        <c:v>500</c:v>
                      </c:pt>
                      <c:pt idx="45">
                        <c:v>500</c:v>
                      </c:pt>
                      <c:pt idx="46">
                        <c:v>500</c:v>
                      </c:pt>
                      <c:pt idx="47">
                        <c:v>550</c:v>
                      </c:pt>
                      <c:pt idx="48">
                        <c:v>550</c:v>
                      </c:pt>
                      <c:pt idx="49">
                        <c:v>550</c:v>
                      </c:pt>
                      <c:pt idx="50">
                        <c:v>550</c:v>
                      </c:pt>
                      <c:pt idx="51">
                        <c:v>550</c:v>
                      </c:pt>
                      <c:pt idx="52">
                        <c:v>600</c:v>
                      </c:pt>
                      <c:pt idx="53">
                        <c:v>600</c:v>
                      </c:pt>
                      <c:pt idx="54">
                        <c:v>600</c:v>
                      </c:pt>
                      <c:pt idx="55">
                        <c:v>600</c:v>
                      </c:pt>
                      <c:pt idx="56">
                        <c:v>600</c:v>
                      </c:pt>
                      <c:pt idx="57">
                        <c:v>600</c:v>
                      </c:pt>
                      <c:pt idx="58">
                        <c:v>600</c:v>
                      </c:pt>
                      <c:pt idx="59">
                        <c:v>600</c:v>
                      </c:pt>
                      <c:pt idx="60">
                        <c:v>600</c:v>
                      </c:pt>
                      <c:pt idx="61">
                        <c:v>685</c:v>
                      </c:pt>
                      <c:pt idx="62">
                        <c:v>685</c:v>
                      </c:pt>
                      <c:pt idx="63">
                        <c:v>770</c:v>
                      </c:pt>
                      <c:pt idx="64">
                        <c:v>770</c:v>
                      </c:pt>
                      <c:pt idx="65">
                        <c:v>770</c:v>
                      </c:pt>
                      <c:pt idx="66">
                        <c:v>770</c:v>
                      </c:pt>
                      <c:pt idx="67">
                        <c:v>770</c:v>
                      </c:pt>
                      <c:pt idx="68">
                        <c:v>770</c:v>
                      </c:pt>
                      <c:pt idx="69">
                        <c:v>770</c:v>
                      </c:pt>
                      <c:pt idx="70">
                        <c:v>770</c:v>
                      </c:pt>
                      <c:pt idx="71">
                        <c:v>770</c:v>
                      </c:pt>
                      <c:pt idx="72">
                        <c:v>855</c:v>
                      </c:pt>
                      <c:pt idx="73">
                        <c:v>855</c:v>
                      </c:pt>
                      <c:pt idx="74">
                        <c:v>855</c:v>
                      </c:pt>
                      <c:pt idx="75">
                        <c:v>855</c:v>
                      </c:pt>
                      <c:pt idx="76">
                        <c:v>855</c:v>
                      </c:pt>
                      <c:pt idx="77">
                        <c:v>855</c:v>
                      </c:pt>
                      <c:pt idx="78">
                        <c:v>855</c:v>
                      </c:pt>
                      <c:pt idx="79">
                        <c:v>940</c:v>
                      </c:pt>
                      <c:pt idx="80">
                        <c:v>940</c:v>
                      </c:pt>
                      <c:pt idx="81">
                        <c:v>940</c:v>
                      </c:pt>
                      <c:pt idx="82">
                        <c:v>940</c:v>
                      </c:pt>
                      <c:pt idx="83">
                        <c:v>940</c:v>
                      </c:pt>
                      <c:pt idx="84">
                        <c:v>940</c:v>
                      </c:pt>
                      <c:pt idx="85">
                        <c:v>940</c:v>
                      </c:pt>
                      <c:pt idx="86">
                        <c:v>940</c:v>
                      </c:pt>
                      <c:pt idx="87">
                        <c:v>940</c:v>
                      </c:pt>
                      <c:pt idx="88">
                        <c:v>940</c:v>
                      </c:pt>
                      <c:pt idx="89">
                        <c:v>940</c:v>
                      </c:pt>
                      <c:pt idx="90">
                        <c:v>940</c:v>
                      </c:pt>
                      <c:pt idx="91">
                        <c:v>1025</c:v>
                      </c:pt>
                      <c:pt idx="92">
                        <c:v>1025</c:v>
                      </c:pt>
                      <c:pt idx="93">
                        <c:v>1025</c:v>
                      </c:pt>
                      <c:pt idx="94">
                        <c:v>1025</c:v>
                      </c:pt>
                      <c:pt idx="95">
                        <c:v>1025</c:v>
                      </c:pt>
                      <c:pt idx="96">
                        <c:v>1025</c:v>
                      </c:pt>
                      <c:pt idx="97">
                        <c:v>1110</c:v>
                      </c:pt>
                      <c:pt idx="98">
                        <c:v>1110</c:v>
                      </c:pt>
                      <c:pt idx="99">
                        <c:v>1110</c:v>
                      </c:pt>
                      <c:pt idx="100">
                        <c:v>1110</c:v>
                      </c:pt>
                      <c:pt idx="101">
                        <c:v>1110</c:v>
                      </c:pt>
                      <c:pt idx="102">
                        <c:v>1110</c:v>
                      </c:pt>
                      <c:pt idx="103">
                        <c:v>1195</c:v>
                      </c:pt>
                      <c:pt idx="104">
                        <c:v>1195</c:v>
                      </c:pt>
                      <c:pt idx="105">
                        <c:v>1195</c:v>
                      </c:pt>
                      <c:pt idx="106">
                        <c:v>1195</c:v>
                      </c:pt>
                      <c:pt idx="107">
                        <c:v>1195</c:v>
                      </c:pt>
                      <c:pt idx="108">
                        <c:v>1280</c:v>
                      </c:pt>
                      <c:pt idx="109">
                        <c:v>1280</c:v>
                      </c:pt>
                      <c:pt idx="110">
                        <c:v>1280</c:v>
                      </c:pt>
                      <c:pt idx="111">
                        <c:v>1280</c:v>
                      </c:pt>
                      <c:pt idx="112">
                        <c:v>1280</c:v>
                      </c:pt>
                      <c:pt idx="113">
                        <c:v>1280</c:v>
                      </c:pt>
                      <c:pt idx="114">
                        <c:v>1365</c:v>
                      </c:pt>
                      <c:pt idx="115">
                        <c:v>1365</c:v>
                      </c:pt>
                      <c:pt idx="116">
                        <c:v>1365</c:v>
                      </c:pt>
                      <c:pt idx="117">
                        <c:v>1365</c:v>
                      </c:pt>
                      <c:pt idx="118">
                        <c:v>1365</c:v>
                      </c:pt>
                      <c:pt idx="119">
                        <c:v>1565</c:v>
                      </c:pt>
                      <c:pt idx="120">
                        <c:v>1565</c:v>
                      </c:pt>
                      <c:pt idx="121">
                        <c:v>1565</c:v>
                      </c:pt>
                      <c:pt idx="122">
                        <c:v>1565</c:v>
                      </c:pt>
                      <c:pt idx="123">
                        <c:v>1565</c:v>
                      </c:pt>
                      <c:pt idx="124">
                        <c:v>1565</c:v>
                      </c:pt>
                      <c:pt idx="125">
                        <c:v>1565</c:v>
                      </c:pt>
                      <c:pt idx="126">
                        <c:v>1565</c:v>
                      </c:pt>
                      <c:pt idx="127">
                        <c:v>1565</c:v>
                      </c:pt>
                      <c:pt idx="128">
                        <c:v>1565</c:v>
                      </c:pt>
                      <c:pt idx="129">
                        <c:v>1565</c:v>
                      </c:pt>
                      <c:pt idx="130">
                        <c:v>1565</c:v>
                      </c:pt>
                      <c:pt idx="131">
                        <c:v>1565</c:v>
                      </c:pt>
                    </c:numCache>
                  </c:numRef>
                </c:val>
                <c:extLst>
                  <c:ext xmlns:c16="http://schemas.microsoft.com/office/drawing/2014/chart" uri="{C3380CC4-5D6E-409C-BE32-E72D297353CC}">
                    <c16:uniqueId val="{00000004-C8BC-43DE-A797-7CBDE919E3E3}"/>
                  </c:ext>
                </c:extLst>
              </c15:ser>
            </c15:filteredAreaSeries>
            <c15:filteredAreaSeries>
              <c15:ser>
                <c:idx val="2"/>
                <c:order val="2"/>
                <c:tx>
                  <c:strRef>
                    <c:extLst xmlns:c15="http://schemas.microsoft.com/office/drawing/2012/chart">
                      <c:ext xmlns:c15="http://schemas.microsoft.com/office/drawing/2012/chart" uri="{02D57815-91ED-43cb-92C2-25804820EDAC}">
                        <c15:formulaRef>
                          <c15:sqref>Summary!$O$6</c15:sqref>
                        </c15:formulaRef>
                      </c:ext>
                    </c:extLst>
                    <c:strCache>
                      <c:ptCount val="1"/>
                      <c:pt idx="0">
                        <c:v>Net Income</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Summary!$L$7:$L$145</c15:sqref>
                        </c15:formulaRef>
                      </c:ext>
                    </c:extLst>
                    <c:numCache>
                      <c:formatCode>mm/yyyy</c:formatCode>
                      <c:ptCount val="139"/>
                      <c:pt idx="0">
                        <c:v>45443</c:v>
                      </c:pt>
                      <c:pt idx="1">
                        <c:v>45446</c:v>
                      </c:pt>
                      <c:pt idx="2">
                        <c:v>45448</c:v>
                      </c:pt>
                      <c:pt idx="3">
                        <c:v>45449</c:v>
                      </c:pt>
                      <c:pt idx="4">
                        <c:v>45453</c:v>
                      </c:pt>
                      <c:pt idx="5">
                        <c:v>45458</c:v>
                      </c:pt>
                      <c:pt idx="6">
                        <c:v>45460</c:v>
                      </c:pt>
                      <c:pt idx="7">
                        <c:v>45461</c:v>
                      </c:pt>
                      <c:pt idx="8">
                        <c:v>45464</c:v>
                      </c:pt>
                      <c:pt idx="9">
                        <c:v>45467</c:v>
                      </c:pt>
                      <c:pt idx="10">
                        <c:v>45471</c:v>
                      </c:pt>
                      <c:pt idx="11">
                        <c:v>45475</c:v>
                      </c:pt>
                      <c:pt idx="12">
                        <c:v>45476</c:v>
                      </c:pt>
                      <c:pt idx="13">
                        <c:v>45478</c:v>
                      </c:pt>
                      <c:pt idx="14">
                        <c:v>45481</c:v>
                      </c:pt>
                      <c:pt idx="15">
                        <c:v>45482</c:v>
                      </c:pt>
                      <c:pt idx="16">
                        <c:v>45483</c:v>
                      </c:pt>
                      <c:pt idx="17">
                        <c:v>45484</c:v>
                      </c:pt>
                      <c:pt idx="18">
                        <c:v>45485</c:v>
                      </c:pt>
                      <c:pt idx="19">
                        <c:v>45495</c:v>
                      </c:pt>
                      <c:pt idx="20">
                        <c:v>45496</c:v>
                      </c:pt>
                      <c:pt idx="21">
                        <c:v>45497</c:v>
                      </c:pt>
                      <c:pt idx="22">
                        <c:v>45504</c:v>
                      </c:pt>
                      <c:pt idx="23">
                        <c:v>45510</c:v>
                      </c:pt>
                      <c:pt idx="24">
                        <c:v>45511</c:v>
                      </c:pt>
                      <c:pt idx="25">
                        <c:v>45512</c:v>
                      </c:pt>
                      <c:pt idx="26">
                        <c:v>45518</c:v>
                      </c:pt>
                      <c:pt idx="27">
                        <c:v>45519</c:v>
                      </c:pt>
                      <c:pt idx="28">
                        <c:v>45523</c:v>
                      </c:pt>
                      <c:pt idx="29">
                        <c:v>45538</c:v>
                      </c:pt>
                      <c:pt idx="30">
                        <c:v>45539</c:v>
                      </c:pt>
                      <c:pt idx="31">
                        <c:v>45544</c:v>
                      </c:pt>
                      <c:pt idx="32">
                        <c:v>45547</c:v>
                      </c:pt>
                      <c:pt idx="33">
                        <c:v>45548</c:v>
                      </c:pt>
                      <c:pt idx="34">
                        <c:v>45551</c:v>
                      </c:pt>
                      <c:pt idx="35">
                        <c:v>45552</c:v>
                      </c:pt>
                      <c:pt idx="36">
                        <c:v>45553</c:v>
                      </c:pt>
                      <c:pt idx="37">
                        <c:v>45559</c:v>
                      </c:pt>
                      <c:pt idx="38">
                        <c:v>45560</c:v>
                      </c:pt>
                      <c:pt idx="39">
                        <c:v>45561</c:v>
                      </c:pt>
                      <c:pt idx="40">
                        <c:v>45562</c:v>
                      </c:pt>
                      <c:pt idx="41">
                        <c:v>45565</c:v>
                      </c:pt>
                      <c:pt idx="42">
                        <c:v>45568</c:v>
                      </c:pt>
                      <c:pt idx="43">
                        <c:v>45574</c:v>
                      </c:pt>
                      <c:pt idx="44">
                        <c:v>45575</c:v>
                      </c:pt>
                      <c:pt idx="45">
                        <c:v>45579</c:v>
                      </c:pt>
                      <c:pt idx="46">
                        <c:v>45580</c:v>
                      </c:pt>
                      <c:pt idx="47">
                        <c:v>45582</c:v>
                      </c:pt>
                      <c:pt idx="48">
                        <c:v>45583</c:v>
                      </c:pt>
                      <c:pt idx="49">
                        <c:v>45590</c:v>
                      </c:pt>
                      <c:pt idx="50">
                        <c:v>45593</c:v>
                      </c:pt>
                      <c:pt idx="51">
                        <c:v>45595</c:v>
                      </c:pt>
                      <c:pt idx="52">
                        <c:v>45597</c:v>
                      </c:pt>
                      <c:pt idx="53">
                        <c:v>45600</c:v>
                      </c:pt>
                      <c:pt idx="54">
                        <c:v>45603</c:v>
                      </c:pt>
                      <c:pt idx="55">
                        <c:v>45604</c:v>
                      </c:pt>
                      <c:pt idx="56">
                        <c:v>45608</c:v>
                      </c:pt>
                      <c:pt idx="57">
                        <c:v>45609</c:v>
                      </c:pt>
                      <c:pt idx="58">
                        <c:v>45610</c:v>
                      </c:pt>
                      <c:pt idx="59">
                        <c:v>45615</c:v>
                      </c:pt>
                      <c:pt idx="60">
                        <c:v>45621</c:v>
                      </c:pt>
                      <c:pt idx="61">
                        <c:v>45623</c:v>
                      </c:pt>
                      <c:pt idx="62">
                        <c:v>45624</c:v>
                      </c:pt>
                      <c:pt idx="63">
                        <c:v>45626</c:v>
                      </c:pt>
                      <c:pt idx="64">
                        <c:v>45628</c:v>
                      </c:pt>
                      <c:pt idx="65">
                        <c:v>45629</c:v>
                      </c:pt>
                      <c:pt idx="66">
                        <c:v>45630</c:v>
                      </c:pt>
                      <c:pt idx="67">
                        <c:v>45631</c:v>
                      </c:pt>
                      <c:pt idx="68">
                        <c:v>45632</c:v>
                      </c:pt>
                      <c:pt idx="69">
                        <c:v>45638</c:v>
                      </c:pt>
                      <c:pt idx="70">
                        <c:v>45639</c:v>
                      </c:pt>
                      <c:pt idx="71">
                        <c:v>45642</c:v>
                      </c:pt>
                      <c:pt idx="72">
                        <c:v>45645</c:v>
                      </c:pt>
                      <c:pt idx="73">
                        <c:v>45646</c:v>
                      </c:pt>
                      <c:pt idx="74">
                        <c:v>45649</c:v>
                      </c:pt>
                      <c:pt idx="75">
                        <c:v>45650</c:v>
                      </c:pt>
                      <c:pt idx="76">
                        <c:v>45653</c:v>
                      </c:pt>
                      <c:pt idx="77">
                        <c:v>45659</c:v>
                      </c:pt>
                      <c:pt idx="78">
                        <c:v>45660</c:v>
                      </c:pt>
                      <c:pt idx="79">
                        <c:v>45663</c:v>
                      </c:pt>
                      <c:pt idx="80">
                        <c:v>45664</c:v>
                      </c:pt>
                      <c:pt idx="81">
                        <c:v>45666</c:v>
                      </c:pt>
                      <c:pt idx="82">
                        <c:v>45667</c:v>
                      </c:pt>
                      <c:pt idx="83">
                        <c:v>45670</c:v>
                      </c:pt>
                      <c:pt idx="84">
                        <c:v>45678</c:v>
                      </c:pt>
                      <c:pt idx="85">
                        <c:v>45679</c:v>
                      </c:pt>
                      <c:pt idx="86">
                        <c:v>45680</c:v>
                      </c:pt>
                      <c:pt idx="87">
                        <c:v>45681</c:v>
                      </c:pt>
                      <c:pt idx="88">
                        <c:v>45685</c:v>
                      </c:pt>
                      <c:pt idx="89">
                        <c:v>45686</c:v>
                      </c:pt>
                      <c:pt idx="90">
                        <c:v>45687</c:v>
                      </c:pt>
                      <c:pt idx="91">
                        <c:v>45692</c:v>
                      </c:pt>
                      <c:pt idx="92">
                        <c:v>45693</c:v>
                      </c:pt>
                      <c:pt idx="93">
                        <c:v>45695</c:v>
                      </c:pt>
                      <c:pt idx="94">
                        <c:v>45698</c:v>
                      </c:pt>
                      <c:pt idx="95">
                        <c:v>45699</c:v>
                      </c:pt>
                      <c:pt idx="96">
                        <c:v>45701</c:v>
                      </c:pt>
                      <c:pt idx="97">
                        <c:v>45702</c:v>
                      </c:pt>
                      <c:pt idx="98">
                        <c:v>45705</c:v>
                      </c:pt>
                      <c:pt idx="99">
                        <c:v>45706</c:v>
                      </c:pt>
                      <c:pt idx="100">
                        <c:v>45707</c:v>
                      </c:pt>
                      <c:pt idx="101">
                        <c:v>45708</c:v>
                      </c:pt>
                      <c:pt idx="102">
                        <c:v>45709</c:v>
                      </c:pt>
                      <c:pt idx="103">
                        <c:v>45716</c:v>
                      </c:pt>
                      <c:pt idx="104">
                        <c:v>45723</c:v>
                      </c:pt>
                      <c:pt idx="105">
                        <c:v>45726</c:v>
                      </c:pt>
                      <c:pt idx="106">
                        <c:v>45727</c:v>
                      </c:pt>
                      <c:pt idx="107">
                        <c:v>45729</c:v>
                      </c:pt>
                      <c:pt idx="108">
                        <c:v>45730</c:v>
                      </c:pt>
                      <c:pt idx="109">
                        <c:v>45733</c:v>
                      </c:pt>
                      <c:pt idx="110">
                        <c:v>45734</c:v>
                      </c:pt>
                      <c:pt idx="111">
                        <c:v>45737</c:v>
                      </c:pt>
                      <c:pt idx="112">
                        <c:v>45741</c:v>
                      </c:pt>
                      <c:pt idx="113">
                        <c:v>45742</c:v>
                      </c:pt>
                      <c:pt idx="114">
                        <c:v>45743</c:v>
                      </c:pt>
                      <c:pt idx="115">
                        <c:v>45744</c:v>
                      </c:pt>
                      <c:pt idx="116">
                        <c:v>45747</c:v>
                      </c:pt>
                      <c:pt idx="117">
                        <c:v>45749</c:v>
                      </c:pt>
                      <c:pt idx="118">
                        <c:v>45750</c:v>
                      </c:pt>
                      <c:pt idx="119">
                        <c:v>45751</c:v>
                      </c:pt>
                      <c:pt idx="120">
                        <c:v>45754</c:v>
                      </c:pt>
                      <c:pt idx="121">
                        <c:v>45755</c:v>
                      </c:pt>
                      <c:pt idx="122">
                        <c:v>45756</c:v>
                      </c:pt>
                      <c:pt idx="123">
                        <c:v>45757</c:v>
                      </c:pt>
                      <c:pt idx="124">
                        <c:v>45761</c:v>
                      </c:pt>
                      <c:pt idx="125">
                        <c:v>45762</c:v>
                      </c:pt>
                      <c:pt idx="126">
                        <c:v>45764</c:v>
                      </c:pt>
                      <c:pt idx="127">
                        <c:v>45765</c:v>
                      </c:pt>
                      <c:pt idx="128">
                        <c:v>45768</c:v>
                      </c:pt>
                      <c:pt idx="129">
                        <c:v>45769</c:v>
                      </c:pt>
                      <c:pt idx="130">
                        <c:v>45777</c:v>
                      </c:pt>
                      <c:pt idx="131">
                        <c:v>45782</c:v>
                      </c:pt>
                      <c:pt idx="132">
                        <c:v>45783</c:v>
                      </c:pt>
                      <c:pt idx="133">
                        <c:v>45784</c:v>
                      </c:pt>
                      <c:pt idx="134">
                        <c:v>45785</c:v>
                      </c:pt>
                      <c:pt idx="135">
                        <c:v>45786</c:v>
                      </c:pt>
                      <c:pt idx="136">
                        <c:v>45789</c:v>
                      </c:pt>
                      <c:pt idx="137">
                        <c:v>45791</c:v>
                      </c:pt>
                      <c:pt idx="138">
                        <c:v>45792</c:v>
                      </c:pt>
                    </c:numCache>
                  </c:numRef>
                </c:cat>
                <c:val>
                  <c:numRef>
                    <c:extLst xmlns:c15="http://schemas.microsoft.com/office/drawing/2012/chart">
                      <c:ext xmlns:c15="http://schemas.microsoft.com/office/drawing/2012/chart" uri="{02D57815-91ED-43cb-92C2-25804820EDAC}">
                        <c15:formulaRef>
                          <c15:sqref>Summary!$O$7:$O$138</c15:sqref>
                        </c15:formulaRef>
                      </c:ext>
                    </c:extLst>
                    <c:numCache>
                      <c:formatCode>"$"#,##0.00</c:formatCode>
                      <c:ptCount val="132"/>
                      <c:pt idx="0">
                        <c:v>0</c:v>
                      </c:pt>
                      <c:pt idx="1">
                        <c:v>0</c:v>
                      </c:pt>
                      <c:pt idx="2">
                        <c:v>0</c:v>
                      </c:pt>
                      <c:pt idx="3">
                        <c:v>0</c:v>
                      </c:pt>
                      <c:pt idx="4">
                        <c:v>0</c:v>
                      </c:pt>
                      <c:pt idx="5">
                        <c:v>0</c:v>
                      </c:pt>
                      <c:pt idx="6">
                        <c:v>0</c:v>
                      </c:pt>
                      <c:pt idx="7">
                        <c:v>0</c:v>
                      </c:pt>
                      <c:pt idx="8">
                        <c:v>2.02</c:v>
                      </c:pt>
                      <c:pt idx="9">
                        <c:v>2.02</c:v>
                      </c:pt>
                      <c:pt idx="10">
                        <c:v>2.02</c:v>
                      </c:pt>
                      <c:pt idx="11">
                        <c:v>2.02</c:v>
                      </c:pt>
                      <c:pt idx="12">
                        <c:v>2.02</c:v>
                      </c:pt>
                      <c:pt idx="13">
                        <c:v>5.7200000000000006</c:v>
                      </c:pt>
                      <c:pt idx="14">
                        <c:v>6.370000000000001</c:v>
                      </c:pt>
                      <c:pt idx="15">
                        <c:v>6.0600000000000005</c:v>
                      </c:pt>
                      <c:pt idx="16">
                        <c:v>6.0600000000000005</c:v>
                      </c:pt>
                      <c:pt idx="17">
                        <c:v>6.8400000000000007</c:v>
                      </c:pt>
                      <c:pt idx="18">
                        <c:v>6.8400000000000007</c:v>
                      </c:pt>
                      <c:pt idx="19">
                        <c:v>6.8400000000000007</c:v>
                      </c:pt>
                      <c:pt idx="20">
                        <c:v>6.8400000000000007</c:v>
                      </c:pt>
                      <c:pt idx="21">
                        <c:v>6.8400000000000007</c:v>
                      </c:pt>
                      <c:pt idx="22">
                        <c:v>6.8400000000000007</c:v>
                      </c:pt>
                      <c:pt idx="23">
                        <c:v>6.8400000000000007</c:v>
                      </c:pt>
                      <c:pt idx="24">
                        <c:v>6.8400000000000007</c:v>
                      </c:pt>
                      <c:pt idx="25">
                        <c:v>6.8400000000000007</c:v>
                      </c:pt>
                      <c:pt idx="26">
                        <c:v>6.8400000000000007</c:v>
                      </c:pt>
                      <c:pt idx="27">
                        <c:v>6.8500000000000005</c:v>
                      </c:pt>
                      <c:pt idx="28">
                        <c:v>6.8500000000000005</c:v>
                      </c:pt>
                      <c:pt idx="29">
                        <c:v>6.87</c:v>
                      </c:pt>
                      <c:pt idx="30">
                        <c:v>6.87</c:v>
                      </c:pt>
                      <c:pt idx="31">
                        <c:v>6.87</c:v>
                      </c:pt>
                      <c:pt idx="32">
                        <c:v>6.9</c:v>
                      </c:pt>
                      <c:pt idx="33">
                        <c:v>6.9</c:v>
                      </c:pt>
                      <c:pt idx="34">
                        <c:v>8.68</c:v>
                      </c:pt>
                      <c:pt idx="35">
                        <c:v>8.68</c:v>
                      </c:pt>
                      <c:pt idx="36">
                        <c:v>8.68</c:v>
                      </c:pt>
                      <c:pt idx="37">
                        <c:v>4.7299999999999995</c:v>
                      </c:pt>
                      <c:pt idx="38">
                        <c:v>0.94999999999999973</c:v>
                      </c:pt>
                      <c:pt idx="39">
                        <c:v>1.0299999999999998</c:v>
                      </c:pt>
                      <c:pt idx="40">
                        <c:v>1.0299999999999998</c:v>
                      </c:pt>
                      <c:pt idx="41">
                        <c:v>1.1399999999999999</c:v>
                      </c:pt>
                      <c:pt idx="42">
                        <c:v>1.1399999999999999</c:v>
                      </c:pt>
                      <c:pt idx="43">
                        <c:v>1.2</c:v>
                      </c:pt>
                      <c:pt idx="44">
                        <c:v>1.69</c:v>
                      </c:pt>
                      <c:pt idx="45">
                        <c:v>1.69</c:v>
                      </c:pt>
                      <c:pt idx="46">
                        <c:v>1.69</c:v>
                      </c:pt>
                      <c:pt idx="47">
                        <c:v>1.69</c:v>
                      </c:pt>
                      <c:pt idx="48">
                        <c:v>1.69</c:v>
                      </c:pt>
                      <c:pt idx="49">
                        <c:v>1.69</c:v>
                      </c:pt>
                      <c:pt idx="50">
                        <c:v>1.69</c:v>
                      </c:pt>
                      <c:pt idx="51">
                        <c:v>1.69</c:v>
                      </c:pt>
                      <c:pt idx="52">
                        <c:v>1.69</c:v>
                      </c:pt>
                      <c:pt idx="53">
                        <c:v>1.69</c:v>
                      </c:pt>
                      <c:pt idx="54">
                        <c:v>4.29</c:v>
                      </c:pt>
                      <c:pt idx="55">
                        <c:v>4.3</c:v>
                      </c:pt>
                      <c:pt idx="56">
                        <c:v>4.3</c:v>
                      </c:pt>
                      <c:pt idx="57">
                        <c:v>4.3</c:v>
                      </c:pt>
                      <c:pt idx="58">
                        <c:v>4.33</c:v>
                      </c:pt>
                      <c:pt idx="59">
                        <c:v>4.33</c:v>
                      </c:pt>
                      <c:pt idx="60">
                        <c:v>4.33</c:v>
                      </c:pt>
                      <c:pt idx="61">
                        <c:v>4.33</c:v>
                      </c:pt>
                      <c:pt idx="62">
                        <c:v>4.33</c:v>
                      </c:pt>
                      <c:pt idx="63">
                        <c:v>4.33</c:v>
                      </c:pt>
                      <c:pt idx="64">
                        <c:v>4.3899999999999997</c:v>
                      </c:pt>
                      <c:pt idx="65">
                        <c:v>4.3899999999999997</c:v>
                      </c:pt>
                      <c:pt idx="66">
                        <c:v>4.3899999999999997</c:v>
                      </c:pt>
                      <c:pt idx="67">
                        <c:v>4.3899999999999997</c:v>
                      </c:pt>
                      <c:pt idx="68">
                        <c:v>4.3899999999999997</c:v>
                      </c:pt>
                      <c:pt idx="69">
                        <c:v>4.46</c:v>
                      </c:pt>
                      <c:pt idx="70">
                        <c:v>4.54</c:v>
                      </c:pt>
                      <c:pt idx="71">
                        <c:v>4.62</c:v>
                      </c:pt>
                      <c:pt idx="72">
                        <c:v>4.74</c:v>
                      </c:pt>
                      <c:pt idx="73">
                        <c:v>4.74</c:v>
                      </c:pt>
                      <c:pt idx="74">
                        <c:v>4.74</c:v>
                      </c:pt>
                      <c:pt idx="75">
                        <c:v>4.74</c:v>
                      </c:pt>
                      <c:pt idx="76">
                        <c:v>4.74</c:v>
                      </c:pt>
                      <c:pt idx="77">
                        <c:v>4.74</c:v>
                      </c:pt>
                      <c:pt idx="78">
                        <c:v>5.04</c:v>
                      </c:pt>
                      <c:pt idx="79">
                        <c:v>6.4700000000000006</c:v>
                      </c:pt>
                      <c:pt idx="80">
                        <c:v>6.4700000000000006</c:v>
                      </c:pt>
                      <c:pt idx="81">
                        <c:v>6.6400000000000006</c:v>
                      </c:pt>
                      <c:pt idx="82">
                        <c:v>3.2800000000000002</c:v>
                      </c:pt>
                      <c:pt idx="83">
                        <c:v>3.2700000000000005</c:v>
                      </c:pt>
                      <c:pt idx="84">
                        <c:v>7.1400000000000006</c:v>
                      </c:pt>
                      <c:pt idx="85">
                        <c:v>7.1400000000000006</c:v>
                      </c:pt>
                      <c:pt idx="86">
                        <c:v>4.0500000000000007</c:v>
                      </c:pt>
                      <c:pt idx="87">
                        <c:v>4.330000000000001</c:v>
                      </c:pt>
                      <c:pt idx="88">
                        <c:v>14.64</c:v>
                      </c:pt>
                      <c:pt idx="89">
                        <c:v>14.64</c:v>
                      </c:pt>
                      <c:pt idx="90">
                        <c:v>14.64</c:v>
                      </c:pt>
                      <c:pt idx="91">
                        <c:v>14.64</c:v>
                      </c:pt>
                      <c:pt idx="92">
                        <c:v>14.64</c:v>
                      </c:pt>
                      <c:pt idx="93">
                        <c:v>17.45</c:v>
                      </c:pt>
                      <c:pt idx="94">
                        <c:v>17.45</c:v>
                      </c:pt>
                      <c:pt idx="95">
                        <c:v>17.45</c:v>
                      </c:pt>
                      <c:pt idx="96">
                        <c:v>17.48</c:v>
                      </c:pt>
                      <c:pt idx="97">
                        <c:v>17.48</c:v>
                      </c:pt>
                      <c:pt idx="98">
                        <c:v>17.48</c:v>
                      </c:pt>
                      <c:pt idx="99">
                        <c:v>20.490000000000002</c:v>
                      </c:pt>
                      <c:pt idx="100">
                        <c:v>20.490000000000002</c:v>
                      </c:pt>
                      <c:pt idx="101">
                        <c:v>20.490000000000002</c:v>
                      </c:pt>
                      <c:pt idx="102">
                        <c:v>20.8</c:v>
                      </c:pt>
                      <c:pt idx="103">
                        <c:v>20.8</c:v>
                      </c:pt>
                      <c:pt idx="104">
                        <c:v>20.8</c:v>
                      </c:pt>
                      <c:pt idx="105">
                        <c:v>20.8</c:v>
                      </c:pt>
                      <c:pt idx="106">
                        <c:v>20.8</c:v>
                      </c:pt>
                      <c:pt idx="107">
                        <c:v>20.88</c:v>
                      </c:pt>
                      <c:pt idx="108">
                        <c:v>21.09</c:v>
                      </c:pt>
                      <c:pt idx="109">
                        <c:v>21.4</c:v>
                      </c:pt>
                      <c:pt idx="110">
                        <c:v>21.4</c:v>
                      </c:pt>
                      <c:pt idx="111">
                        <c:v>21.4</c:v>
                      </c:pt>
                      <c:pt idx="112">
                        <c:v>24.509999999999998</c:v>
                      </c:pt>
                      <c:pt idx="113">
                        <c:v>25.43</c:v>
                      </c:pt>
                      <c:pt idx="114">
                        <c:v>26.48</c:v>
                      </c:pt>
                      <c:pt idx="115">
                        <c:v>26.48</c:v>
                      </c:pt>
                      <c:pt idx="116">
                        <c:v>26.96</c:v>
                      </c:pt>
                      <c:pt idx="117">
                        <c:v>27.41</c:v>
                      </c:pt>
                      <c:pt idx="118">
                        <c:v>27.580000000000002</c:v>
                      </c:pt>
                      <c:pt idx="119">
                        <c:v>27.580000000000002</c:v>
                      </c:pt>
                      <c:pt idx="120">
                        <c:v>30.240000000000002</c:v>
                      </c:pt>
                      <c:pt idx="121">
                        <c:v>30.240000000000002</c:v>
                      </c:pt>
                      <c:pt idx="122">
                        <c:v>30.240000000000002</c:v>
                      </c:pt>
                      <c:pt idx="123">
                        <c:v>30.62</c:v>
                      </c:pt>
                      <c:pt idx="124">
                        <c:v>30.62</c:v>
                      </c:pt>
                      <c:pt idx="125">
                        <c:v>30.62</c:v>
                      </c:pt>
                      <c:pt idx="126">
                        <c:v>30.45</c:v>
                      </c:pt>
                      <c:pt idx="127">
                        <c:v>30.45</c:v>
                      </c:pt>
                      <c:pt idx="128">
                        <c:v>30.45</c:v>
                      </c:pt>
                      <c:pt idx="129">
                        <c:v>30.64</c:v>
                      </c:pt>
                      <c:pt idx="130">
                        <c:v>31.88</c:v>
                      </c:pt>
                      <c:pt idx="131">
                        <c:v>39.43</c:v>
                      </c:pt>
                    </c:numCache>
                  </c:numRef>
                </c:val>
                <c:extLst xmlns:c15="http://schemas.microsoft.com/office/drawing/2012/chart">
                  <c:ext xmlns:c16="http://schemas.microsoft.com/office/drawing/2014/chart" uri="{C3380CC4-5D6E-409C-BE32-E72D297353CC}">
                    <c16:uniqueId val="{00000005-C8BC-43DE-A797-7CBDE919E3E3}"/>
                  </c:ext>
                </c:extLst>
              </c15:ser>
            </c15:filteredAreaSeries>
          </c:ext>
        </c:extLst>
      </c:areaChart>
      <c:lineChart>
        <c:grouping val="standard"/>
        <c:varyColors val="0"/>
        <c:dLbls>
          <c:showLegendKey val="0"/>
          <c:showVal val="0"/>
          <c:showCatName val="0"/>
          <c:showSerName val="0"/>
          <c:showPercent val="0"/>
          <c:showBubbleSize val="0"/>
        </c:dLbls>
        <c:marker val="1"/>
        <c:smooth val="0"/>
        <c:axId val="1764631776"/>
        <c:axId val="21022256"/>
        <c:extLst>
          <c:ext xmlns:c15="http://schemas.microsoft.com/office/drawing/2012/chart" uri="{02D57815-91ED-43cb-92C2-25804820EDAC}">
            <c15:filteredLineSeries>
              <c15:ser>
                <c:idx val="3"/>
                <c:order val="3"/>
                <c:tx>
                  <c:strRef>
                    <c:extLst>
                      <c:ext uri="{02D57815-91ED-43cb-92C2-25804820EDAC}">
                        <c15:formulaRef>
                          <c15:sqref>Summary!$P$6</c15:sqref>
                        </c15:formulaRef>
                      </c:ext>
                    </c:extLst>
                    <c:strCache>
                      <c:ptCount val="1"/>
                      <c:pt idx="0">
                        <c:v>Net Income %</c:v>
                      </c:pt>
                    </c:strCache>
                  </c:strRef>
                </c:tx>
                <c:spPr>
                  <a:ln w="28575" cap="rnd">
                    <a:solidFill>
                      <a:schemeClr val="accent4"/>
                    </a:solidFill>
                    <a:round/>
                  </a:ln>
                  <a:effectLst/>
                </c:spPr>
                <c:marker>
                  <c:symbol val="none"/>
                </c:marker>
                <c:cat>
                  <c:numRef>
                    <c:extLst>
                      <c:ext uri="{02D57815-91ED-43cb-92C2-25804820EDAC}">
                        <c15:formulaRef>
                          <c15:sqref>Summary!$L$7:$L$138</c15:sqref>
                        </c15:formulaRef>
                      </c:ext>
                    </c:extLst>
                    <c:numCache>
                      <c:formatCode>mm/yyyy</c:formatCode>
                      <c:ptCount val="132"/>
                      <c:pt idx="0">
                        <c:v>45443</c:v>
                      </c:pt>
                      <c:pt idx="1">
                        <c:v>45446</c:v>
                      </c:pt>
                      <c:pt idx="2">
                        <c:v>45448</c:v>
                      </c:pt>
                      <c:pt idx="3">
                        <c:v>45449</c:v>
                      </c:pt>
                      <c:pt idx="4">
                        <c:v>45453</c:v>
                      </c:pt>
                      <c:pt idx="5">
                        <c:v>45458</c:v>
                      </c:pt>
                      <c:pt idx="6">
                        <c:v>45460</c:v>
                      </c:pt>
                      <c:pt idx="7">
                        <c:v>45461</c:v>
                      </c:pt>
                      <c:pt idx="8">
                        <c:v>45464</c:v>
                      </c:pt>
                      <c:pt idx="9">
                        <c:v>45467</c:v>
                      </c:pt>
                      <c:pt idx="10">
                        <c:v>45471</c:v>
                      </c:pt>
                      <c:pt idx="11">
                        <c:v>45475</c:v>
                      </c:pt>
                      <c:pt idx="12">
                        <c:v>45476</c:v>
                      </c:pt>
                      <c:pt idx="13">
                        <c:v>45478</c:v>
                      </c:pt>
                      <c:pt idx="14">
                        <c:v>45481</c:v>
                      </c:pt>
                      <c:pt idx="15">
                        <c:v>45482</c:v>
                      </c:pt>
                      <c:pt idx="16">
                        <c:v>45483</c:v>
                      </c:pt>
                      <c:pt idx="17">
                        <c:v>45484</c:v>
                      </c:pt>
                      <c:pt idx="18">
                        <c:v>45485</c:v>
                      </c:pt>
                      <c:pt idx="19">
                        <c:v>45495</c:v>
                      </c:pt>
                      <c:pt idx="20">
                        <c:v>45496</c:v>
                      </c:pt>
                      <c:pt idx="21">
                        <c:v>45497</c:v>
                      </c:pt>
                      <c:pt idx="22">
                        <c:v>45504</c:v>
                      </c:pt>
                      <c:pt idx="23">
                        <c:v>45510</c:v>
                      </c:pt>
                      <c:pt idx="24">
                        <c:v>45511</c:v>
                      </c:pt>
                      <c:pt idx="25">
                        <c:v>45512</c:v>
                      </c:pt>
                      <c:pt idx="26">
                        <c:v>45518</c:v>
                      </c:pt>
                      <c:pt idx="27">
                        <c:v>45519</c:v>
                      </c:pt>
                      <c:pt idx="28">
                        <c:v>45523</c:v>
                      </c:pt>
                      <c:pt idx="29">
                        <c:v>45538</c:v>
                      </c:pt>
                      <c:pt idx="30">
                        <c:v>45539</c:v>
                      </c:pt>
                      <c:pt idx="31">
                        <c:v>45544</c:v>
                      </c:pt>
                      <c:pt idx="32">
                        <c:v>45547</c:v>
                      </c:pt>
                      <c:pt idx="33">
                        <c:v>45548</c:v>
                      </c:pt>
                      <c:pt idx="34">
                        <c:v>45551</c:v>
                      </c:pt>
                      <c:pt idx="35">
                        <c:v>45552</c:v>
                      </c:pt>
                      <c:pt idx="36">
                        <c:v>45553</c:v>
                      </c:pt>
                      <c:pt idx="37">
                        <c:v>45559</c:v>
                      </c:pt>
                      <c:pt idx="38">
                        <c:v>45560</c:v>
                      </c:pt>
                      <c:pt idx="39">
                        <c:v>45561</c:v>
                      </c:pt>
                      <c:pt idx="40">
                        <c:v>45562</c:v>
                      </c:pt>
                      <c:pt idx="41">
                        <c:v>45565</c:v>
                      </c:pt>
                      <c:pt idx="42">
                        <c:v>45568</c:v>
                      </c:pt>
                      <c:pt idx="43">
                        <c:v>45574</c:v>
                      </c:pt>
                      <c:pt idx="44">
                        <c:v>45575</c:v>
                      </c:pt>
                      <c:pt idx="45">
                        <c:v>45579</c:v>
                      </c:pt>
                      <c:pt idx="46">
                        <c:v>45580</c:v>
                      </c:pt>
                      <c:pt idx="47">
                        <c:v>45582</c:v>
                      </c:pt>
                      <c:pt idx="48">
                        <c:v>45583</c:v>
                      </c:pt>
                      <c:pt idx="49">
                        <c:v>45590</c:v>
                      </c:pt>
                      <c:pt idx="50">
                        <c:v>45593</c:v>
                      </c:pt>
                      <c:pt idx="51">
                        <c:v>45595</c:v>
                      </c:pt>
                      <c:pt idx="52">
                        <c:v>45597</c:v>
                      </c:pt>
                      <c:pt idx="53">
                        <c:v>45600</c:v>
                      </c:pt>
                      <c:pt idx="54">
                        <c:v>45603</c:v>
                      </c:pt>
                      <c:pt idx="55">
                        <c:v>45604</c:v>
                      </c:pt>
                      <c:pt idx="56">
                        <c:v>45608</c:v>
                      </c:pt>
                      <c:pt idx="57">
                        <c:v>45609</c:v>
                      </c:pt>
                      <c:pt idx="58">
                        <c:v>45610</c:v>
                      </c:pt>
                      <c:pt idx="59">
                        <c:v>45615</c:v>
                      </c:pt>
                      <c:pt idx="60">
                        <c:v>45621</c:v>
                      </c:pt>
                      <c:pt idx="61">
                        <c:v>45623</c:v>
                      </c:pt>
                      <c:pt idx="62">
                        <c:v>45624</c:v>
                      </c:pt>
                      <c:pt idx="63">
                        <c:v>45626</c:v>
                      </c:pt>
                      <c:pt idx="64">
                        <c:v>45628</c:v>
                      </c:pt>
                      <c:pt idx="65">
                        <c:v>45629</c:v>
                      </c:pt>
                      <c:pt idx="66">
                        <c:v>45630</c:v>
                      </c:pt>
                      <c:pt idx="67">
                        <c:v>45631</c:v>
                      </c:pt>
                      <c:pt idx="68">
                        <c:v>45632</c:v>
                      </c:pt>
                      <c:pt idx="69">
                        <c:v>45638</c:v>
                      </c:pt>
                      <c:pt idx="70">
                        <c:v>45639</c:v>
                      </c:pt>
                      <c:pt idx="71">
                        <c:v>45642</c:v>
                      </c:pt>
                      <c:pt idx="72">
                        <c:v>45645</c:v>
                      </c:pt>
                      <c:pt idx="73">
                        <c:v>45646</c:v>
                      </c:pt>
                      <c:pt idx="74">
                        <c:v>45649</c:v>
                      </c:pt>
                      <c:pt idx="75">
                        <c:v>45650</c:v>
                      </c:pt>
                      <c:pt idx="76">
                        <c:v>45653</c:v>
                      </c:pt>
                      <c:pt idx="77">
                        <c:v>45659</c:v>
                      </c:pt>
                      <c:pt idx="78">
                        <c:v>45660</c:v>
                      </c:pt>
                      <c:pt idx="79">
                        <c:v>45663</c:v>
                      </c:pt>
                      <c:pt idx="80">
                        <c:v>45664</c:v>
                      </c:pt>
                      <c:pt idx="81">
                        <c:v>45666</c:v>
                      </c:pt>
                      <c:pt idx="82">
                        <c:v>45667</c:v>
                      </c:pt>
                      <c:pt idx="83">
                        <c:v>45670</c:v>
                      </c:pt>
                      <c:pt idx="84">
                        <c:v>45678</c:v>
                      </c:pt>
                      <c:pt idx="85">
                        <c:v>45679</c:v>
                      </c:pt>
                      <c:pt idx="86">
                        <c:v>45680</c:v>
                      </c:pt>
                      <c:pt idx="87">
                        <c:v>45681</c:v>
                      </c:pt>
                      <c:pt idx="88">
                        <c:v>45685</c:v>
                      </c:pt>
                      <c:pt idx="89">
                        <c:v>45686</c:v>
                      </c:pt>
                      <c:pt idx="90">
                        <c:v>45687</c:v>
                      </c:pt>
                      <c:pt idx="91">
                        <c:v>45692</c:v>
                      </c:pt>
                      <c:pt idx="92">
                        <c:v>45693</c:v>
                      </c:pt>
                      <c:pt idx="93">
                        <c:v>45695</c:v>
                      </c:pt>
                      <c:pt idx="94">
                        <c:v>45698</c:v>
                      </c:pt>
                      <c:pt idx="95">
                        <c:v>45699</c:v>
                      </c:pt>
                      <c:pt idx="96">
                        <c:v>45701</c:v>
                      </c:pt>
                      <c:pt idx="97">
                        <c:v>45702</c:v>
                      </c:pt>
                      <c:pt idx="98">
                        <c:v>45705</c:v>
                      </c:pt>
                      <c:pt idx="99">
                        <c:v>45706</c:v>
                      </c:pt>
                      <c:pt idx="100">
                        <c:v>45707</c:v>
                      </c:pt>
                      <c:pt idx="101">
                        <c:v>45708</c:v>
                      </c:pt>
                      <c:pt idx="102">
                        <c:v>45709</c:v>
                      </c:pt>
                      <c:pt idx="103">
                        <c:v>45716</c:v>
                      </c:pt>
                      <c:pt idx="104">
                        <c:v>45723</c:v>
                      </c:pt>
                      <c:pt idx="105">
                        <c:v>45726</c:v>
                      </c:pt>
                      <c:pt idx="106">
                        <c:v>45727</c:v>
                      </c:pt>
                      <c:pt idx="107">
                        <c:v>45729</c:v>
                      </c:pt>
                      <c:pt idx="108">
                        <c:v>45730</c:v>
                      </c:pt>
                      <c:pt idx="109">
                        <c:v>45733</c:v>
                      </c:pt>
                      <c:pt idx="110">
                        <c:v>45734</c:v>
                      </c:pt>
                      <c:pt idx="111">
                        <c:v>45737</c:v>
                      </c:pt>
                      <c:pt idx="112">
                        <c:v>45741</c:v>
                      </c:pt>
                      <c:pt idx="113">
                        <c:v>45742</c:v>
                      </c:pt>
                      <c:pt idx="114">
                        <c:v>45743</c:v>
                      </c:pt>
                      <c:pt idx="115">
                        <c:v>45744</c:v>
                      </c:pt>
                      <c:pt idx="116">
                        <c:v>45747</c:v>
                      </c:pt>
                      <c:pt idx="117">
                        <c:v>45749</c:v>
                      </c:pt>
                      <c:pt idx="118">
                        <c:v>45750</c:v>
                      </c:pt>
                      <c:pt idx="119">
                        <c:v>45751</c:v>
                      </c:pt>
                      <c:pt idx="120">
                        <c:v>45754</c:v>
                      </c:pt>
                      <c:pt idx="121">
                        <c:v>45755</c:v>
                      </c:pt>
                      <c:pt idx="122">
                        <c:v>45756</c:v>
                      </c:pt>
                      <c:pt idx="123">
                        <c:v>45757</c:v>
                      </c:pt>
                      <c:pt idx="124">
                        <c:v>45761</c:v>
                      </c:pt>
                      <c:pt idx="125">
                        <c:v>45762</c:v>
                      </c:pt>
                      <c:pt idx="126">
                        <c:v>45764</c:v>
                      </c:pt>
                      <c:pt idx="127">
                        <c:v>45765</c:v>
                      </c:pt>
                      <c:pt idx="128">
                        <c:v>45768</c:v>
                      </c:pt>
                      <c:pt idx="129">
                        <c:v>45769</c:v>
                      </c:pt>
                      <c:pt idx="130">
                        <c:v>45777</c:v>
                      </c:pt>
                      <c:pt idx="131">
                        <c:v>45782</c:v>
                      </c:pt>
                    </c:numCache>
                  </c:numRef>
                </c:cat>
                <c:val>
                  <c:numRef>
                    <c:extLst>
                      <c:ext uri="{02D57815-91ED-43cb-92C2-25804820EDAC}">
                        <c15:formulaRef>
                          <c15:sqref>Summary!$P$7:$P$138</c15:sqref>
                        </c15:formulaRef>
                      </c:ext>
                    </c:extLst>
                    <c:numCache>
                      <c:formatCode>0%</c:formatCode>
                      <c:ptCount val="132"/>
                      <c:pt idx="0">
                        <c:v>0</c:v>
                      </c:pt>
                      <c:pt idx="1">
                        <c:v>0</c:v>
                      </c:pt>
                      <c:pt idx="2">
                        <c:v>0</c:v>
                      </c:pt>
                      <c:pt idx="3">
                        <c:v>0</c:v>
                      </c:pt>
                      <c:pt idx="4">
                        <c:v>0</c:v>
                      </c:pt>
                      <c:pt idx="5">
                        <c:v>0</c:v>
                      </c:pt>
                      <c:pt idx="6">
                        <c:v>0</c:v>
                      </c:pt>
                      <c:pt idx="7">
                        <c:v>0</c:v>
                      </c:pt>
                      <c:pt idx="8">
                        <c:v>2.0015854141894572E-2</c:v>
                      </c:pt>
                      <c:pt idx="9">
                        <c:v>2.0015854141894572E-2</c:v>
                      </c:pt>
                      <c:pt idx="10">
                        <c:v>2.0015854141894572E-2</c:v>
                      </c:pt>
                      <c:pt idx="11">
                        <c:v>2.0015854141894572E-2</c:v>
                      </c:pt>
                      <c:pt idx="12">
                        <c:v>1.4749908725812342E-2</c:v>
                      </c:pt>
                      <c:pt idx="13">
                        <c:v>3.6456341618865531E-2</c:v>
                      </c:pt>
                      <c:pt idx="14">
                        <c:v>5.4282062207072879E-2</c:v>
                      </c:pt>
                      <c:pt idx="15">
                        <c:v>4.2577109534181139E-2</c:v>
                      </c:pt>
                      <c:pt idx="16">
                        <c:v>3.632657954681693E-2</c:v>
                      </c:pt>
                      <c:pt idx="17">
                        <c:v>3.5129166452673215E-2</c:v>
                      </c:pt>
                      <c:pt idx="18">
                        <c:v>3.5129166452673215E-2</c:v>
                      </c:pt>
                      <c:pt idx="19">
                        <c:v>3.5129166452673215E-2</c:v>
                      </c:pt>
                      <c:pt idx="20">
                        <c:v>3.5129166452673215E-2</c:v>
                      </c:pt>
                      <c:pt idx="21">
                        <c:v>3.5129166452673215E-2</c:v>
                      </c:pt>
                      <c:pt idx="22">
                        <c:v>3.5129166452673215E-2</c:v>
                      </c:pt>
                      <c:pt idx="23">
                        <c:v>3.5129166452673215E-2</c:v>
                      </c:pt>
                      <c:pt idx="24">
                        <c:v>2.8538050734312422E-2</c:v>
                      </c:pt>
                      <c:pt idx="25">
                        <c:v>2.8538050734312422E-2</c:v>
                      </c:pt>
                      <c:pt idx="26">
                        <c:v>2.4901703800786375E-2</c:v>
                      </c:pt>
                      <c:pt idx="27">
                        <c:v>2.4938109800495128E-2</c:v>
                      </c:pt>
                      <c:pt idx="28">
                        <c:v>2.3247921262514851E-2</c:v>
                      </c:pt>
                      <c:pt idx="29">
                        <c:v>2.3315798404887157E-2</c:v>
                      </c:pt>
                      <c:pt idx="30">
                        <c:v>2.3315798404887157E-2</c:v>
                      </c:pt>
                      <c:pt idx="31">
                        <c:v>2.1084614676364976E-2</c:v>
                      </c:pt>
                      <c:pt idx="32">
                        <c:v>2.1176687229536879E-2</c:v>
                      </c:pt>
                      <c:pt idx="33">
                        <c:v>2.0254799506839668E-2</c:v>
                      </c:pt>
                      <c:pt idx="34">
                        <c:v>2.6653565067862189E-2</c:v>
                      </c:pt>
                      <c:pt idx="35">
                        <c:v>2.6653565067862189E-2</c:v>
                      </c:pt>
                      <c:pt idx="36">
                        <c:v>2.511138112596193E-2</c:v>
                      </c:pt>
                      <c:pt idx="37">
                        <c:v>1.3695457046066539E-2</c:v>
                      </c:pt>
                      <c:pt idx="38">
                        <c:v>2.7910802949731171E-3</c:v>
                      </c:pt>
                      <c:pt idx="39">
                        <c:v>3.0261186356024326E-3</c:v>
                      </c:pt>
                      <c:pt idx="40">
                        <c:v>3.0261186356024326E-3</c:v>
                      </c:pt>
                      <c:pt idx="41">
                        <c:v>3.3492963539677413E-3</c:v>
                      </c:pt>
                      <c:pt idx="42">
                        <c:v>3.0782524166981695E-3</c:v>
                      </c:pt>
                      <c:pt idx="43">
                        <c:v>3.2402657017875473E-3</c:v>
                      </c:pt>
                      <c:pt idx="44">
                        <c:v>4.5633741966841293E-3</c:v>
                      </c:pt>
                      <c:pt idx="45">
                        <c:v>4.5633741966841293E-3</c:v>
                      </c:pt>
                      <c:pt idx="46">
                        <c:v>4.1186362196281049E-3</c:v>
                      </c:pt>
                      <c:pt idx="47">
                        <c:v>3.9923460348208172E-3</c:v>
                      </c:pt>
                      <c:pt idx="48">
                        <c:v>3.8081074382027538E-3</c:v>
                      </c:pt>
                      <c:pt idx="49">
                        <c:v>3.8081074382027538E-3</c:v>
                      </c:pt>
                      <c:pt idx="50">
                        <c:v>3.6837631056956645E-3</c:v>
                      </c:pt>
                      <c:pt idx="51">
                        <c:v>3.6837631056956645E-3</c:v>
                      </c:pt>
                      <c:pt idx="52">
                        <c:v>3.3755442815483561E-3</c:v>
                      </c:pt>
                      <c:pt idx="53">
                        <c:v>3.3755442815483561E-3</c:v>
                      </c:pt>
                      <c:pt idx="54">
                        <c:v>8.9248564533577438E-3</c:v>
                      </c:pt>
                      <c:pt idx="55">
                        <c:v>8.9456603145543819E-3</c:v>
                      </c:pt>
                      <c:pt idx="56">
                        <c:v>8.7104484868127871E-3</c:v>
                      </c:pt>
                      <c:pt idx="57">
                        <c:v>8.5214323933334654E-3</c:v>
                      </c:pt>
                      <c:pt idx="58">
                        <c:v>8.5808842472404438E-3</c:v>
                      </c:pt>
                      <c:pt idx="59">
                        <c:v>8.5808842472404438E-3</c:v>
                      </c:pt>
                      <c:pt idx="60">
                        <c:v>8.2539077392298904E-3</c:v>
                      </c:pt>
                      <c:pt idx="61">
                        <c:v>7.6022262408483605E-3</c:v>
                      </c:pt>
                      <c:pt idx="62">
                        <c:v>7.6022262408483605E-3</c:v>
                      </c:pt>
                      <c:pt idx="63">
                        <c:v>7.6022262408483605E-3</c:v>
                      </c:pt>
                      <c:pt idx="64">
                        <c:v>7.0859024437485872E-3</c:v>
                      </c:pt>
                      <c:pt idx="65">
                        <c:v>6.5429614725389376E-3</c:v>
                      </c:pt>
                      <c:pt idx="66">
                        <c:v>6.4468756883765332E-3</c:v>
                      </c:pt>
                      <c:pt idx="67">
                        <c:v>6.4468756883765332E-3</c:v>
                      </c:pt>
                      <c:pt idx="68">
                        <c:v>6.2629288822312577E-3</c:v>
                      </c:pt>
                      <c:pt idx="69">
                        <c:v>6.3627933518795926E-3</c:v>
                      </c:pt>
                      <c:pt idx="70">
                        <c:v>6.4769241743348324E-3</c:v>
                      </c:pt>
                      <c:pt idx="71">
                        <c:v>6.5910549967900713E-3</c:v>
                      </c:pt>
                      <c:pt idx="72">
                        <c:v>6.1088772038354472E-3</c:v>
                      </c:pt>
                      <c:pt idx="73">
                        <c:v>6.028693528693529E-3</c:v>
                      </c:pt>
                      <c:pt idx="74">
                        <c:v>6.028693528693529E-3</c:v>
                      </c:pt>
                      <c:pt idx="75">
                        <c:v>6.028693528693529E-3</c:v>
                      </c:pt>
                      <c:pt idx="76">
                        <c:v>6.028693528693529E-3</c:v>
                      </c:pt>
                      <c:pt idx="77">
                        <c:v>5.9002925250513476E-3</c:v>
                      </c:pt>
                      <c:pt idx="78">
                        <c:v>6.2737287608140907E-3</c:v>
                      </c:pt>
                      <c:pt idx="79">
                        <c:v>7.3708674155255312E-3</c:v>
                      </c:pt>
                      <c:pt idx="80">
                        <c:v>7.3708674155255312E-3</c:v>
                      </c:pt>
                      <c:pt idx="81">
                        <c:v>7.5645378112966814E-3</c:v>
                      </c:pt>
                      <c:pt idx="82">
                        <c:v>3.7194956001088638E-3</c:v>
                      </c:pt>
                      <c:pt idx="83">
                        <c:v>3.7081556744987761E-3</c:v>
                      </c:pt>
                      <c:pt idx="84">
                        <c:v>8.0508761247547536E-3</c:v>
                      </c:pt>
                      <c:pt idx="85">
                        <c:v>8.0508761247547536E-3</c:v>
                      </c:pt>
                      <c:pt idx="86">
                        <c:v>4.7614009099566194E-3</c:v>
                      </c:pt>
                      <c:pt idx="87">
                        <c:v>5.0905841827437442E-3</c:v>
                      </c:pt>
                      <c:pt idx="88">
                        <c:v>1.7604405911424828E-2</c:v>
                      </c:pt>
                      <c:pt idx="89">
                        <c:v>1.6715190957355713E-2</c:v>
                      </c:pt>
                      <c:pt idx="90">
                        <c:v>1.6526499971778519E-2</c:v>
                      </c:pt>
                      <c:pt idx="91">
                        <c:v>1.59853249475891E-2</c:v>
                      </c:pt>
                      <c:pt idx="92">
                        <c:v>1.528694344666277E-2</c:v>
                      </c:pt>
                      <c:pt idx="93">
                        <c:v>1.8079154579361791E-2</c:v>
                      </c:pt>
                      <c:pt idx="94">
                        <c:v>1.8079154579361791E-2</c:v>
                      </c:pt>
                      <c:pt idx="95">
                        <c:v>1.7893765381460213E-2</c:v>
                      </c:pt>
                      <c:pt idx="96">
                        <c:v>1.7924528301886795E-2</c:v>
                      </c:pt>
                      <c:pt idx="97">
                        <c:v>1.7924528301886795E-2</c:v>
                      </c:pt>
                      <c:pt idx="98">
                        <c:v>1.7924528301886795E-2</c:v>
                      </c:pt>
                      <c:pt idx="99">
                        <c:v>2.1057066809170976E-2</c:v>
                      </c:pt>
                      <c:pt idx="100">
                        <c:v>2.1057066809170976E-2</c:v>
                      </c:pt>
                      <c:pt idx="101">
                        <c:v>1.9551153603938859E-2</c:v>
                      </c:pt>
                      <c:pt idx="102">
                        <c:v>1.984694948569684E-2</c:v>
                      </c:pt>
                      <c:pt idx="103">
                        <c:v>1.8206007982634269E-2</c:v>
                      </c:pt>
                      <c:pt idx="104">
                        <c:v>1.8206007982634269E-2</c:v>
                      </c:pt>
                      <c:pt idx="105">
                        <c:v>1.8206007982634269E-2</c:v>
                      </c:pt>
                      <c:pt idx="106">
                        <c:v>1.7442933096288346E-2</c:v>
                      </c:pt>
                      <c:pt idx="107">
                        <c:v>1.7510021300504837E-2</c:v>
                      </c:pt>
                      <c:pt idx="108">
                        <c:v>1.7686127836573133E-2</c:v>
                      </c:pt>
                      <c:pt idx="109">
                        <c:v>1.7946094627912045E-2</c:v>
                      </c:pt>
                      <c:pt idx="110">
                        <c:v>1.7491662852285358E-2</c:v>
                      </c:pt>
                      <c:pt idx="111">
                        <c:v>1.7491662852285358E-2</c:v>
                      </c:pt>
                      <c:pt idx="112">
                        <c:v>2.01876271507524E-2</c:v>
                      </c:pt>
                      <c:pt idx="113">
                        <c:v>2.102417407983068E-2</c:v>
                      </c:pt>
                      <c:pt idx="114">
                        <c:v>1.9830452625587872E-2</c:v>
                      </c:pt>
                      <c:pt idx="115">
                        <c:v>1.9610166479056813E-2</c:v>
                      </c:pt>
                      <c:pt idx="116">
                        <c:v>1.9965637774749686E-2</c:v>
                      </c:pt>
                      <c:pt idx="117">
                        <c:v>2.0298892114461755E-2</c:v>
                      </c:pt>
                      <c:pt idx="118">
                        <c:v>2.0424788198352983E-2</c:v>
                      </c:pt>
                      <c:pt idx="119">
                        <c:v>1.815154367098188E-2</c:v>
                      </c:pt>
                      <c:pt idx="120">
                        <c:v>1.9741738369739782E-2</c:v>
                      </c:pt>
                      <c:pt idx="121">
                        <c:v>1.9487675205413245E-2</c:v>
                      </c:pt>
                      <c:pt idx="122">
                        <c:v>1.9487675205413245E-2</c:v>
                      </c:pt>
                      <c:pt idx="123">
                        <c:v>1.9732560012888676E-2</c:v>
                      </c:pt>
                      <c:pt idx="124">
                        <c:v>1.9732560012888676E-2</c:v>
                      </c:pt>
                      <c:pt idx="125">
                        <c:v>1.9732560012888676E-2</c:v>
                      </c:pt>
                      <c:pt idx="126">
                        <c:v>1.9712182711541824E-2</c:v>
                      </c:pt>
                      <c:pt idx="127">
                        <c:v>1.9712182711541824E-2</c:v>
                      </c:pt>
                      <c:pt idx="128">
                        <c:v>1.9712182711541824E-2</c:v>
                      </c:pt>
                      <c:pt idx="129">
                        <c:v>1.9835181552763266E-2</c:v>
                      </c:pt>
                      <c:pt idx="130">
                        <c:v>2.0505168099927317E-2</c:v>
                      </c:pt>
                      <c:pt idx="131">
                        <c:v>2.6965108804179832E-2</c:v>
                      </c:pt>
                    </c:numCache>
                  </c:numRef>
                </c:val>
                <c:smooth val="0"/>
                <c:extLst>
                  <c:ext xmlns:c16="http://schemas.microsoft.com/office/drawing/2014/chart" uri="{C3380CC4-5D6E-409C-BE32-E72D297353CC}">
                    <c16:uniqueId val="{00000006-C8BC-43DE-A797-7CBDE919E3E3}"/>
                  </c:ext>
                </c:extLst>
              </c15:ser>
            </c15:filteredLineSeries>
          </c:ext>
        </c:extLst>
      </c:lineChart>
      <c:lineChart>
        <c:grouping val="standard"/>
        <c:varyColors val="0"/>
        <c:ser>
          <c:idx val="4"/>
          <c:order val="4"/>
          <c:tx>
            <c:strRef>
              <c:f>Summary!$R$6</c:f>
              <c:strCache>
                <c:ptCount val="1"/>
                <c:pt idx="0">
                  <c:v>EXPOSITION %</c:v>
                </c:pt>
              </c:strCache>
            </c:strRef>
          </c:tx>
          <c:spPr>
            <a:ln w="28575" cap="rnd">
              <a:solidFill>
                <a:schemeClr val="accent5"/>
              </a:solidFill>
              <a:round/>
            </a:ln>
            <a:effectLst/>
          </c:spPr>
          <c:marker>
            <c:symbol val="none"/>
          </c:marker>
          <c:trendline>
            <c:spPr>
              <a:ln w="19050" cap="rnd">
                <a:solidFill>
                  <a:schemeClr val="accent5"/>
                </a:solidFill>
                <a:prstDash val="sysDot"/>
              </a:ln>
              <a:effectLst/>
            </c:spPr>
            <c:trendlineType val="movingAvg"/>
            <c:period val="10"/>
            <c:dispRSqr val="0"/>
            <c:dispEq val="0"/>
          </c:trendline>
          <c:cat>
            <c:numRef>
              <c:f>Summary!$L$7:$L$138</c:f>
              <c:numCache>
                <c:formatCode>mm/yyyy</c:formatCode>
                <c:ptCount val="132"/>
                <c:pt idx="0">
                  <c:v>45443</c:v>
                </c:pt>
                <c:pt idx="1">
                  <c:v>45446</c:v>
                </c:pt>
                <c:pt idx="2">
                  <c:v>45448</c:v>
                </c:pt>
                <c:pt idx="3">
                  <c:v>45449</c:v>
                </c:pt>
                <c:pt idx="4">
                  <c:v>45453</c:v>
                </c:pt>
                <c:pt idx="5">
                  <c:v>45458</c:v>
                </c:pt>
                <c:pt idx="6">
                  <c:v>45460</c:v>
                </c:pt>
                <c:pt idx="7">
                  <c:v>45461</c:v>
                </c:pt>
                <c:pt idx="8">
                  <c:v>45464</c:v>
                </c:pt>
                <c:pt idx="9">
                  <c:v>45467</c:v>
                </c:pt>
                <c:pt idx="10">
                  <c:v>45471</c:v>
                </c:pt>
                <c:pt idx="11">
                  <c:v>45475</c:v>
                </c:pt>
                <c:pt idx="12">
                  <c:v>45476</c:v>
                </c:pt>
                <c:pt idx="13">
                  <c:v>45478</c:v>
                </c:pt>
                <c:pt idx="14">
                  <c:v>45481</c:v>
                </c:pt>
                <c:pt idx="15">
                  <c:v>45482</c:v>
                </c:pt>
                <c:pt idx="16">
                  <c:v>45483</c:v>
                </c:pt>
                <c:pt idx="17">
                  <c:v>45484</c:v>
                </c:pt>
                <c:pt idx="18">
                  <c:v>45485</c:v>
                </c:pt>
                <c:pt idx="19">
                  <c:v>45495</c:v>
                </c:pt>
                <c:pt idx="20">
                  <c:v>45496</c:v>
                </c:pt>
                <c:pt idx="21">
                  <c:v>45497</c:v>
                </c:pt>
                <c:pt idx="22">
                  <c:v>45504</c:v>
                </c:pt>
                <c:pt idx="23">
                  <c:v>45510</c:v>
                </c:pt>
                <c:pt idx="24">
                  <c:v>45511</c:v>
                </c:pt>
                <c:pt idx="25">
                  <c:v>45512</c:v>
                </c:pt>
                <c:pt idx="26">
                  <c:v>45518</c:v>
                </c:pt>
                <c:pt idx="27">
                  <c:v>45519</c:v>
                </c:pt>
                <c:pt idx="28">
                  <c:v>45523</c:v>
                </c:pt>
                <c:pt idx="29">
                  <c:v>45538</c:v>
                </c:pt>
                <c:pt idx="30">
                  <c:v>45539</c:v>
                </c:pt>
                <c:pt idx="31">
                  <c:v>45544</c:v>
                </c:pt>
                <c:pt idx="32">
                  <c:v>45547</c:v>
                </c:pt>
                <c:pt idx="33">
                  <c:v>45548</c:v>
                </c:pt>
                <c:pt idx="34">
                  <c:v>45551</c:v>
                </c:pt>
                <c:pt idx="35">
                  <c:v>45552</c:v>
                </c:pt>
                <c:pt idx="36">
                  <c:v>45553</c:v>
                </c:pt>
                <c:pt idx="37">
                  <c:v>45559</c:v>
                </c:pt>
                <c:pt idx="38">
                  <c:v>45560</c:v>
                </c:pt>
                <c:pt idx="39">
                  <c:v>45561</c:v>
                </c:pt>
                <c:pt idx="40">
                  <c:v>45562</c:v>
                </c:pt>
                <c:pt idx="41">
                  <c:v>45565</c:v>
                </c:pt>
                <c:pt idx="42">
                  <c:v>45568</c:v>
                </c:pt>
                <c:pt idx="43">
                  <c:v>45574</c:v>
                </c:pt>
                <c:pt idx="44">
                  <c:v>45575</c:v>
                </c:pt>
                <c:pt idx="45">
                  <c:v>45579</c:v>
                </c:pt>
                <c:pt idx="46">
                  <c:v>45580</c:v>
                </c:pt>
                <c:pt idx="47">
                  <c:v>45582</c:v>
                </c:pt>
                <c:pt idx="48">
                  <c:v>45583</c:v>
                </c:pt>
                <c:pt idx="49">
                  <c:v>45590</c:v>
                </c:pt>
                <c:pt idx="50">
                  <c:v>45593</c:v>
                </c:pt>
                <c:pt idx="51">
                  <c:v>45595</c:v>
                </c:pt>
                <c:pt idx="52">
                  <c:v>45597</c:v>
                </c:pt>
                <c:pt idx="53">
                  <c:v>45600</c:v>
                </c:pt>
                <c:pt idx="54">
                  <c:v>45603</c:v>
                </c:pt>
                <c:pt idx="55">
                  <c:v>45604</c:v>
                </c:pt>
                <c:pt idx="56">
                  <c:v>45608</c:v>
                </c:pt>
                <c:pt idx="57">
                  <c:v>45609</c:v>
                </c:pt>
                <c:pt idx="58">
                  <c:v>45610</c:v>
                </c:pt>
                <c:pt idx="59">
                  <c:v>45615</c:v>
                </c:pt>
                <c:pt idx="60">
                  <c:v>45621</c:v>
                </c:pt>
                <c:pt idx="61">
                  <c:v>45623</c:v>
                </c:pt>
                <c:pt idx="62">
                  <c:v>45624</c:v>
                </c:pt>
                <c:pt idx="63">
                  <c:v>45626</c:v>
                </c:pt>
                <c:pt idx="64">
                  <c:v>45628</c:v>
                </c:pt>
                <c:pt idx="65">
                  <c:v>45629</c:v>
                </c:pt>
                <c:pt idx="66">
                  <c:v>45630</c:v>
                </c:pt>
                <c:pt idx="67">
                  <c:v>45631</c:v>
                </c:pt>
                <c:pt idx="68">
                  <c:v>45632</c:v>
                </c:pt>
                <c:pt idx="69">
                  <c:v>45638</c:v>
                </c:pt>
                <c:pt idx="70">
                  <c:v>45639</c:v>
                </c:pt>
                <c:pt idx="71">
                  <c:v>45642</c:v>
                </c:pt>
                <c:pt idx="72">
                  <c:v>45645</c:v>
                </c:pt>
                <c:pt idx="73">
                  <c:v>45646</c:v>
                </c:pt>
                <c:pt idx="74">
                  <c:v>45649</c:v>
                </c:pt>
                <c:pt idx="75">
                  <c:v>45650</c:v>
                </c:pt>
                <c:pt idx="76">
                  <c:v>45653</c:v>
                </c:pt>
                <c:pt idx="77">
                  <c:v>45659</c:v>
                </c:pt>
                <c:pt idx="78">
                  <c:v>45660</c:v>
                </c:pt>
                <c:pt idx="79">
                  <c:v>45663</c:v>
                </c:pt>
                <c:pt idx="80">
                  <c:v>45664</c:v>
                </c:pt>
                <c:pt idx="81">
                  <c:v>45666</c:v>
                </c:pt>
                <c:pt idx="82">
                  <c:v>45667</c:v>
                </c:pt>
                <c:pt idx="83">
                  <c:v>45670</c:v>
                </c:pt>
                <c:pt idx="84">
                  <c:v>45678</c:v>
                </c:pt>
                <c:pt idx="85">
                  <c:v>45679</c:v>
                </c:pt>
                <c:pt idx="86">
                  <c:v>45680</c:v>
                </c:pt>
                <c:pt idx="87">
                  <c:v>45681</c:v>
                </c:pt>
                <c:pt idx="88">
                  <c:v>45685</c:v>
                </c:pt>
                <c:pt idx="89">
                  <c:v>45686</c:v>
                </c:pt>
                <c:pt idx="90">
                  <c:v>45687</c:v>
                </c:pt>
                <c:pt idx="91">
                  <c:v>45692</c:v>
                </c:pt>
                <c:pt idx="92">
                  <c:v>45693</c:v>
                </c:pt>
                <c:pt idx="93">
                  <c:v>45695</c:v>
                </c:pt>
                <c:pt idx="94">
                  <c:v>45698</c:v>
                </c:pt>
                <c:pt idx="95">
                  <c:v>45699</c:v>
                </c:pt>
                <c:pt idx="96">
                  <c:v>45701</c:v>
                </c:pt>
                <c:pt idx="97">
                  <c:v>45702</c:v>
                </c:pt>
                <c:pt idx="98">
                  <c:v>45705</c:v>
                </c:pt>
                <c:pt idx="99">
                  <c:v>45706</c:v>
                </c:pt>
                <c:pt idx="100">
                  <c:v>45707</c:v>
                </c:pt>
                <c:pt idx="101">
                  <c:v>45708</c:v>
                </c:pt>
                <c:pt idx="102">
                  <c:v>45709</c:v>
                </c:pt>
                <c:pt idx="103">
                  <c:v>45716</c:v>
                </c:pt>
                <c:pt idx="104">
                  <c:v>45723</c:v>
                </c:pt>
                <c:pt idx="105">
                  <c:v>45726</c:v>
                </c:pt>
                <c:pt idx="106">
                  <c:v>45727</c:v>
                </c:pt>
                <c:pt idx="107">
                  <c:v>45729</c:v>
                </c:pt>
                <c:pt idx="108">
                  <c:v>45730</c:v>
                </c:pt>
                <c:pt idx="109">
                  <c:v>45733</c:v>
                </c:pt>
                <c:pt idx="110">
                  <c:v>45734</c:v>
                </c:pt>
                <c:pt idx="111">
                  <c:v>45737</c:v>
                </c:pt>
                <c:pt idx="112">
                  <c:v>45741</c:v>
                </c:pt>
                <c:pt idx="113">
                  <c:v>45742</c:v>
                </c:pt>
                <c:pt idx="114">
                  <c:v>45743</c:v>
                </c:pt>
                <c:pt idx="115">
                  <c:v>45744</c:v>
                </c:pt>
                <c:pt idx="116">
                  <c:v>45747</c:v>
                </c:pt>
                <c:pt idx="117">
                  <c:v>45749</c:v>
                </c:pt>
                <c:pt idx="118">
                  <c:v>45750</c:v>
                </c:pt>
                <c:pt idx="119">
                  <c:v>45751</c:v>
                </c:pt>
                <c:pt idx="120">
                  <c:v>45754</c:v>
                </c:pt>
                <c:pt idx="121">
                  <c:v>45755</c:v>
                </c:pt>
                <c:pt idx="122">
                  <c:v>45756</c:v>
                </c:pt>
                <c:pt idx="123">
                  <c:v>45757</c:v>
                </c:pt>
                <c:pt idx="124">
                  <c:v>45761</c:v>
                </c:pt>
                <c:pt idx="125">
                  <c:v>45762</c:v>
                </c:pt>
                <c:pt idx="126">
                  <c:v>45764</c:v>
                </c:pt>
                <c:pt idx="127">
                  <c:v>45765</c:v>
                </c:pt>
                <c:pt idx="128">
                  <c:v>45768</c:v>
                </c:pt>
                <c:pt idx="129">
                  <c:v>45769</c:v>
                </c:pt>
                <c:pt idx="130">
                  <c:v>45777</c:v>
                </c:pt>
                <c:pt idx="131">
                  <c:v>45782</c:v>
                </c:pt>
              </c:numCache>
            </c:numRef>
          </c:cat>
          <c:val>
            <c:numRef>
              <c:f>Summary!$R$7:$R$145</c:f>
              <c:numCache>
                <c:formatCode>0%</c:formatCode>
                <c:ptCount val="139"/>
                <c:pt idx="0">
                  <c:v>0</c:v>
                </c:pt>
                <c:pt idx="1">
                  <c:v>0.40570000000000001</c:v>
                </c:pt>
                <c:pt idx="2">
                  <c:v>0.60819999999999996</c:v>
                </c:pt>
                <c:pt idx="3">
                  <c:v>0.70819999999999994</c:v>
                </c:pt>
                <c:pt idx="4">
                  <c:v>0.80819999999999992</c:v>
                </c:pt>
                <c:pt idx="5">
                  <c:v>0.53879999999999995</c:v>
                </c:pt>
                <c:pt idx="6">
                  <c:v>0.67206666666666659</c:v>
                </c:pt>
                <c:pt idx="7">
                  <c:v>0.67206666666666659</c:v>
                </c:pt>
                <c:pt idx="8">
                  <c:v>0.67279999999999995</c:v>
                </c:pt>
                <c:pt idx="9">
                  <c:v>0.67279999999999995</c:v>
                </c:pt>
                <c:pt idx="10">
                  <c:v>0.67279999999999995</c:v>
                </c:pt>
                <c:pt idx="11">
                  <c:v>0.50459999999999994</c:v>
                </c:pt>
                <c:pt idx="12">
                  <c:v>0.68474999999999997</c:v>
                </c:pt>
                <c:pt idx="13">
                  <c:v>0.78449999999999986</c:v>
                </c:pt>
                <c:pt idx="14">
                  <c:v>0.58674999999999988</c:v>
                </c:pt>
                <c:pt idx="15">
                  <c:v>0.71164999999999989</c:v>
                </c:pt>
                <c:pt idx="16">
                  <c:v>0.83409999999999995</c:v>
                </c:pt>
                <c:pt idx="17">
                  <c:v>0.97354999999999992</c:v>
                </c:pt>
                <c:pt idx="18">
                  <c:v>0.97354999999999992</c:v>
                </c:pt>
                <c:pt idx="19">
                  <c:v>0.77883999999999987</c:v>
                </c:pt>
                <c:pt idx="20">
                  <c:v>0.77883999999999987</c:v>
                </c:pt>
                <c:pt idx="21">
                  <c:v>0.77883999999999987</c:v>
                </c:pt>
                <c:pt idx="22">
                  <c:v>0.77883999999999987</c:v>
                </c:pt>
                <c:pt idx="23">
                  <c:v>0.64903333333333324</c:v>
                </c:pt>
                <c:pt idx="24">
                  <c:v>0.79893333333333327</c:v>
                </c:pt>
                <c:pt idx="25">
                  <c:v>0.79893333333333327</c:v>
                </c:pt>
                <c:pt idx="26">
                  <c:v>0.78479999999999983</c:v>
                </c:pt>
                <c:pt idx="27">
                  <c:v>0.78479999999999983</c:v>
                </c:pt>
                <c:pt idx="28">
                  <c:v>0.84185714285714275</c:v>
                </c:pt>
                <c:pt idx="29">
                  <c:v>0.84185714285714275</c:v>
                </c:pt>
                <c:pt idx="30">
                  <c:v>0.73662499999999997</c:v>
                </c:pt>
                <c:pt idx="31">
                  <c:v>0.81457499999999994</c:v>
                </c:pt>
                <c:pt idx="32">
                  <c:v>0.81457499999999994</c:v>
                </c:pt>
                <c:pt idx="33">
                  <c:v>0.85164999999999991</c:v>
                </c:pt>
                <c:pt idx="34">
                  <c:v>0.81414999999999993</c:v>
                </c:pt>
                <c:pt idx="35">
                  <c:v>0.81414999999999993</c:v>
                </c:pt>
                <c:pt idx="36">
                  <c:v>0.86414999999999997</c:v>
                </c:pt>
                <c:pt idx="37">
                  <c:v>0.76748888888888878</c:v>
                </c:pt>
                <c:pt idx="38">
                  <c:v>0.7563777777777777</c:v>
                </c:pt>
                <c:pt idx="39">
                  <c:v>0.7563777777777777</c:v>
                </c:pt>
                <c:pt idx="40">
                  <c:v>0.7563777777777777</c:v>
                </c:pt>
                <c:pt idx="41">
                  <c:v>0.7563777777777777</c:v>
                </c:pt>
                <c:pt idx="42">
                  <c:v>0.82297777777777759</c:v>
                </c:pt>
                <c:pt idx="43">
                  <c:v>0.74067999999999978</c:v>
                </c:pt>
                <c:pt idx="44">
                  <c:v>0.74067999999999978</c:v>
                </c:pt>
                <c:pt idx="45">
                  <c:v>0.74067999999999978</c:v>
                </c:pt>
                <c:pt idx="46">
                  <c:v>0.82065999999999983</c:v>
                </c:pt>
                <c:pt idx="47">
                  <c:v>0.76965454545454537</c:v>
                </c:pt>
                <c:pt idx="48">
                  <c:v>0.80689090909090899</c:v>
                </c:pt>
                <c:pt idx="49">
                  <c:v>0.80689090909090899</c:v>
                </c:pt>
                <c:pt idx="50">
                  <c:v>0.83412727272727272</c:v>
                </c:pt>
                <c:pt idx="51">
                  <c:v>0.83412727272727272</c:v>
                </c:pt>
                <c:pt idx="52">
                  <c:v>0.83443333333333325</c:v>
                </c:pt>
                <c:pt idx="53">
                  <c:v>0.83443333333333325</c:v>
                </c:pt>
                <c:pt idx="54">
                  <c:v>0.80113333333333325</c:v>
                </c:pt>
                <c:pt idx="55">
                  <c:v>0.80113333333333325</c:v>
                </c:pt>
                <c:pt idx="56">
                  <c:v>0.82276666666666665</c:v>
                </c:pt>
                <c:pt idx="57">
                  <c:v>0.84101666666666663</c:v>
                </c:pt>
                <c:pt idx="58">
                  <c:v>0.84101666666666663</c:v>
                </c:pt>
                <c:pt idx="59">
                  <c:v>0.84101666666666663</c:v>
                </c:pt>
                <c:pt idx="60">
                  <c:v>0.87433333333333318</c:v>
                </c:pt>
                <c:pt idx="61">
                  <c:v>0.83148905109489046</c:v>
                </c:pt>
                <c:pt idx="62">
                  <c:v>0.83148905109489046</c:v>
                </c:pt>
                <c:pt idx="63">
                  <c:v>0.73970129870129864</c:v>
                </c:pt>
                <c:pt idx="64">
                  <c:v>0.80459740259740253</c:v>
                </c:pt>
                <c:pt idx="65">
                  <c:v>0.87136363636363623</c:v>
                </c:pt>
                <c:pt idx="66">
                  <c:v>0.88435064935064922</c:v>
                </c:pt>
                <c:pt idx="67">
                  <c:v>0.88435064935064922</c:v>
                </c:pt>
                <c:pt idx="68">
                  <c:v>0.9103246753246752</c:v>
                </c:pt>
                <c:pt idx="69">
                  <c:v>0.9103246753246752</c:v>
                </c:pt>
                <c:pt idx="70">
                  <c:v>0.9103246753246752</c:v>
                </c:pt>
                <c:pt idx="71">
                  <c:v>0.9103246753246752</c:v>
                </c:pt>
                <c:pt idx="72">
                  <c:v>0.90750877192982449</c:v>
                </c:pt>
                <c:pt idx="73">
                  <c:v>0.91957894736842105</c:v>
                </c:pt>
                <c:pt idx="74">
                  <c:v>0.91957894736842105</c:v>
                </c:pt>
                <c:pt idx="75">
                  <c:v>0.91957894736842105</c:v>
                </c:pt>
                <c:pt idx="76">
                  <c:v>0.91957894736842105</c:v>
                </c:pt>
                <c:pt idx="77">
                  <c:v>0.93959064327485387</c:v>
                </c:pt>
                <c:pt idx="78">
                  <c:v>0.93959064327485387</c:v>
                </c:pt>
                <c:pt idx="79">
                  <c:v>0.93380851063829784</c:v>
                </c:pt>
                <c:pt idx="80">
                  <c:v>0.93380851063829784</c:v>
                </c:pt>
                <c:pt idx="81">
                  <c:v>0.93380851063829784</c:v>
                </c:pt>
                <c:pt idx="82">
                  <c:v>0.93812765957446798</c:v>
                </c:pt>
                <c:pt idx="83">
                  <c:v>0.93812765957446798</c:v>
                </c:pt>
                <c:pt idx="84">
                  <c:v>0.94346808510638291</c:v>
                </c:pt>
                <c:pt idx="85">
                  <c:v>0.94346808510638291</c:v>
                </c:pt>
                <c:pt idx="86">
                  <c:v>0.90488297872340417</c:v>
                </c:pt>
                <c:pt idx="87">
                  <c:v>0.90488297872340417</c:v>
                </c:pt>
                <c:pt idx="88">
                  <c:v>0.88469148936170205</c:v>
                </c:pt>
                <c:pt idx="89">
                  <c:v>0.93175531914893606</c:v>
                </c:pt>
                <c:pt idx="90">
                  <c:v>0.94239361702127655</c:v>
                </c:pt>
                <c:pt idx="91">
                  <c:v>0.89350243902439019</c:v>
                </c:pt>
                <c:pt idx="92">
                  <c:v>0.93432195121951211</c:v>
                </c:pt>
                <c:pt idx="93">
                  <c:v>0.9416585365853658</c:v>
                </c:pt>
                <c:pt idx="94">
                  <c:v>0.9416585365853658</c:v>
                </c:pt>
                <c:pt idx="95">
                  <c:v>0.95141463414634142</c:v>
                </c:pt>
                <c:pt idx="96">
                  <c:v>0.95141463414634142</c:v>
                </c:pt>
                <c:pt idx="97">
                  <c:v>0.87855855855855847</c:v>
                </c:pt>
                <c:pt idx="98">
                  <c:v>0.87855855855855847</c:v>
                </c:pt>
                <c:pt idx="99">
                  <c:v>0.87663963963963953</c:v>
                </c:pt>
                <c:pt idx="100">
                  <c:v>0.87663963963963953</c:v>
                </c:pt>
                <c:pt idx="101">
                  <c:v>0.9441621621621622</c:v>
                </c:pt>
                <c:pt idx="102">
                  <c:v>0.9441621621621622</c:v>
                </c:pt>
                <c:pt idx="103">
                  <c:v>0.95605020920502093</c:v>
                </c:pt>
                <c:pt idx="104">
                  <c:v>0.95605020920502093</c:v>
                </c:pt>
                <c:pt idx="105">
                  <c:v>0.95605020920502093</c:v>
                </c:pt>
                <c:pt idx="106">
                  <c:v>0.99787447698744769</c:v>
                </c:pt>
                <c:pt idx="107">
                  <c:v>0.99787447698744769</c:v>
                </c:pt>
                <c:pt idx="108">
                  <c:v>0.93160937500000007</c:v>
                </c:pt>
                <c:pt idx="109">
                  <c:v>0.93160937500000007</c:v>
                </c:pt>
                <c:pt idx="110">
                  <c:v>0.95581250000000006</c:v>
                </c:pt>
                <c:pt idx="111">
                  <c:v>0.95581250000000006</c:v>
                </c:pt>
                <c:pt idx="112">
                  <c:v>0.94852343750000012</c:v>
                </c:pt>
                <c:pt idx="113">
                  <c:v>0.94496875000000014</c:v>
                </c:pt>
                <c:pt idx="114">
                  <c:v>0.97825641025641041</c:v>
                </c:pt>
                <c:pt idx="115">
                  <c:v>0.98924542124542136</c:v>
                </c:pt>
                <c:pt idx="116">
                  <c:v>0.98924542124542136</c:v>
                </c:pt>
                <c:pt idx="117">
                  <c:v>0.98924542124542136</c:v>
                </c:pt>
                <c:pt idx="118">
                  <c:v>0.98924542124542136</c:v>
                </c:pt>
                <c:pt idx="119">
                  <c:v>0.97088178913738021</c:v>
                </c:pt>
                <c:pt idx="120">
                  <c:v>0.97877316293929706</c:v>
                </c:pt>
                <c:pt idx="121">
                  <c:v>0.99153354632587865</c:v>
                </c:pt>
                <c:pt idx="122">
                  <c:v>0.99153354632587865</c:v>
                </c:pt>
                <c:pt idx="123">
                  <c:v>0.99153354632587865</c:v>
                </c:pt>
                <c:pt idx="124">
                  <c:v>0.99153354632587865</c:v>
                </c:pt>
                <c:pt idx="125">
                  <c:v>0.99153354632587865</c:v>
                </c:pt>
                <c:pt idx="126">
                  <c:v>0.98704792332268376</c:v>
                </c:pt>
                <c:pt idx="127">
                  <c:v>0.98704792332268376</c:v>
                </c:pt>
                <c:pt idx="128">
                  <c:v>0.98704792332268376</c:v>
                </c:pt>
                <c:pt idx="129">
                  <c:v>0.98704792332268376</c:v>
                </c:pt>
                <c:pt idx="130">
                  <c:v>0.99343769968051121</c:v>
                </c:pt>
                <c:pt idx="131">
                  <c:v>0.93435143769968054</c:v>
                </c:pt>
                <c:pt idx="132">
                  <c:v>0.96693290734824278</c:v>
                </c:pt>
                <c:pt idx="133">
                  <c:v>0.9500894568690097</c:v>
                </c:pt>
                <c:pt idx="134">
                  <c:v>0.942523961661342</c:v>
                </c:pt>
                <c:pt idx="135">
                  <c:v>0.942523961661342</c:v>
                </c:pt>
                <c:pt idx="136">
                  <c:v>0.96168690095846654</c:v>
                </c:pt>
                <c:pt idx="137">
                  <c:v>0.92294568690095857</c:v>
                </c:pt>
                <c:pt idx="138">
                  <c:v>0.9523833865814697</c:v>
                </c:pt>
              </c:numCache>
            </c:numRef>
          </c:val>
          <c:smooth val="0"/>
          <c:extLst>
            <c:ext xmlns:c16="http://schemas.microsoft.com/office/drawing/2014/chart" uri="{C3380CC4-5D6E-409C-BE32-E72D297353CC}">
              <c16:uniqueId val="{00000003-C8BC-43DE-A797-7CBDE919E3E3}"/>
            </c:ext>
          </c:extLst>
        </c:ser>
        <c:dLbls>
          <c:showLegendKey val="0"/>
          <c:showVal val="0"/>
          <c:showCatName val="0"/>
          <c:showSerName val="0"/>
          <c:showPercent val="0"/>
          <c:showBubbleSize val="0"/>
        </c:dLbls>
        <c:marker val="1"/>
        <c:smooth val="0"/>
        <c:axId val="1362350608"/>
        <c:axId val="1362349168"/>
      </c:lineChart>
      <c:dateAx>
        <c:axId val="1764631776"/>
        <c:scaling>
          <c:orientation val="minMax"/>
        </c:scaling>
        <c:delete val="0"/>
        <c:axPos val="b"/>
        <c:numFmt formatCode="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2256"/>
        <c:crosses val="autoZero"/>
        <c:auto val="1"/>
        <c:lblOffset val="100"/>
        <c:baseTimeUnit val="days"/>
      </c:dateAx>
      <c:valAx>
        <c:axId val="21022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31776"/>
        <c:crosses val="autoZero"/>
        <c:crossBetween val="between"/>
      </c:valAx>
      <c:valAx>
        <c:axId val="136234916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50608"/>
        <c:crosses val="max"/>
        <c:crossBetween val="between"/>
      </c:valAx>
      <c:dateAx>
        <c:axId val="1362350608"/>
        <c:scaling>
          <c:orientation val="minMax"/>
        </c:scaling>
        <c:delete val="1"/>
        <c:axPos val="b"/>
        <c:numFmt formatCode="mm/yyyy" sourceLinked="1"/>
        <c:majorTickMark val="out"/>
        <c:minorTickMark val="none"/>
        <c:tickLblPos val="nextTo"/>
        <c:crossAx val="1362349168"/>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57149</xdr:colOff>
      <xdr:row>0</xdr:row>
      <xdr:rowOff>180975</xdr:rowOff>
    </xdr:from>
    <xdr:to>
      <xdr:col>6</xdr:col>
      <xdr:colOff>180975</xdr:colOff>
      <xdr:row>7</xdr:row>
      <xdr:rowOff>152400</xdr:rowOff>
    </xdr:to>
    <mc:AlternateContent xmlns:mc="http://schemas.openxmlformats.org/markup-compatibility/2006" xmlns:a14="http://schemas.microsoft.com/office/drawing/2010/main">
      <mc:Choice Requires="a14">
        <xdr:graphicFrame macro="">
          <xdr:nvGraphicFramePr>
            <xdr:cNvPr id="3" name="Chapter">
              <a:extLst>
                <a:ext uri="{FF2B5EF4-FFF2-40B4-BE49-F238E27FC236}">
                  <a16:creationId xmlns:a16="http://schemas.microsoft.com/office/drawing/2014/main" id="{EF648E67-FF02-4A42-8207-A5636C085286}"/>
                </a:ext>
              </a:extLst>
            </xdr:cNvPr>
            <xdr:cNvGraphicFramePr/>
          </xdr:nvGraphicFramePr>
          <xdr:xfrm>
            <a:off x="0" y="0"/>
            <a:ext cx="0" cy="0"/>
          </xdr:xfrm>
          <a:graphic>
            <a:graphicData uri="http://schemas.microsoft.com/office/drawing/2010/slicer">
              <sle:slicer xmlns:sle="http://schemas.microsoft.com/office/drawing/2010/slicer" name="Chapter"/>
            </a:graphicData>
          </a:graphic>
        </xdr:graphicFrame>
      </mc:Choice>
      <mc:Fallback xmlns="">
        <xdr:sp macro="" textlink="">
          <xdr:nvSpPr>
            <xdr:cNvPr id="0" name=""/>
            <xdr:cNvSpPr>
              <a:spLocks noTextEdit="1"/>
            </xdr:cNvSpPr>
          </xdr:nvSpPr>
          <xdr:spPr>
            <a:xfrm>
              <a:off x="666749" y="180975"/>
              <a:ext cx="4800601"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19049</xdr:colOff>
      <xdr:row>0</xdr:row>
      <xdr:rowOff>142875</xdr:rowOff>
    </xdr:from>
    <xdr:to>
      <xdr:col>13</xdr:col>
      <xdr:colOff>200024</xdr:colOff>
      <xdr:row>8</xdr:row>
      <xdr:rowOff>133350</xdr:rowOff>
    </xdr:to>
    <mc:AlternateContent xmlns:mc="http://schemas.openxmlformats.org/markup-compatibility/2006" xmlns:a14="http://schemas.microsoft.com/office/drawing/2010/main">
      <mc:Choice Requires="a14">
        <xdr:graphicFrame macro="">
          <xdr:nvGraphicFramePr>
            <xdr:cNvPr id="4" name="Chapter 1">
              <a:extLst>
                <a:ext uri="{FF2B5EF4-FFF2-40B4-BE49-F238E27FC236}">
                  <a16:creationId xmlns:a16="http://schemas.microsoft.com/office/drawing/2014/main" id="{4B374890-6E47-4770-AC60-6C512217B40F}"/>
                </a:ext>
              </a:extLst>
            </xdr:cNvPr>
            <xdr:cNvGraphicFramePr/>
          </xdr:nvGraphicFramePr>
          <xdr:xfrm>
            <a:off x="0" y="0"/>
            <a:ext cx="0" cy="0"/>
          </xdr:xfrm>
          <a:graphic>
            <a:graphicData uri="http://schemas.microsoft.com/office/drawing/2010/slicer">
              <sle:slicer xmlns:sle="http://schemas.microsoft.com/office/drawing/2010/slicer" name="Chapter 1"/>
            </a:graphicData>
          </a:graphic>
        </xdr:graphicFrame>
      </mc:Choice>
      <mc:Fallback xmlns="">
        <xdr:sp macro="" textlink="">
          <xdr:nvSpPr>
            <xdr:cNvPr id="0" name=""/>
            <xdr:cNvSpPr>
              <a:spLocks noTextEdit="1"/>
            </xdr:cNvSpPr>
          </xdr:nvSpPr>
          <xdr:spPr>
            <a:xfrm>
              <a:off x="5915024" y="142875"/>
              <a:ext cx="5019675"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1095375</xdr:colOff>
      <xdr:row>0</xdr:row>
      <xdr:rowOff>161925</xdr:rowOff>
    </xdr:from>
    <xdr:to>
      <xdr:col>19</xdr:col>
      <xdr:colOff>28575</xdr:colOff>
      <xdr:row>9</xdr:row>
      <xdr:rowOff>76200</xdr:rowOff>
    </xdr:to>
    <mc:AlternateContent xmlns:mc="http://schemas.openxmlformats.org/markup-compatibility/2006" xmlns:a14="http://schemas.microsoft.com/office/drawing/2010/main">
      <mc:Choice Requires="a14">
        <xdr:graphicFrame macro="">
          <xdr:nvGraphicFramePr>
            <xdr:cNvPr id="6" name="Chapter 2">
              <a:extLst>
                <a:ext uri="{FF2B5EF4-FFF2-40B4-BE49-F238E27FC236}">
                  <a16:creationId xmlns:a16="http://schemas.microsoft.com/office/drawing/2014/main" id="{C84F39B9-AFB5-5734-3372-BB270B66146F}"/>
                </a:ext>
              </a:extLst>
            </xdr:cNvPr>
            <xdr:cNvGraphicFramePr/>
          </xdr:nvGraphicFramePr>
          <xdr:xfrm>
            <a:off x="0" y="0"/>
            <a:ext cx="0" cy="0"/>
          </xdr:xfrm>
          <a:graphic>
            <a:graphicData uri="http://schemas.microsoft.com/office/drawing/2010/slicer">
              <sle:slicer xmlns:sle="http://schemas.microsoft.com/office/drawing/2010/slicer" name="Chapter 2"/>
            </a:graphicData>
          </a:graphic>
        </xdr:graphicFrame>
      </mc:Choice>
      <mc:Fallback xmlns="">
        <xdr:sp macro="" textlink="">
          <xdr:nvSpPr>
            <xdr:cNvPr id="0" name=""/>
            <xdr:cNvSpPr>
              <a:spLocks noTextEdit="1"/>
            </xdr:cNvSpPr>
          </xdr:nvSpPr>
          <xdr:spPr>
            <a:xfrm>
              <a:off x="11811000" y="161925"/>
              <a:ext cx="4057650" cy="1628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26</xdr:col>
      <xdr:colOff>100852</xdr:colOff>
      <xdr:row>35</xdr:row>
      <xdr:rowOff>74519</xdr:rowOff>
    </xdr:from>
    <xdr:to>
      <xdr:col>35</xdr:col>
      <xdr:colOff>246529</xdr:colOff>
      <xdr:row>43</xdr:row>
      <xdr:rowOff>100853</xdr:rowOff>
    </xdr:to>
    <mc:AlternateContent xmlns:mc="http://schemas.openxmlformats.org/markup-compatibility/2006" xmlns:a14="http://schemas.microsoft.com/office/drawing/2010/main">
      <mc:Choice Requires="a14">
        <xdr:graphicFrame macro="">
          <xdr:nvGraphicFramePr>
            <xdr:cNvPr id="2" name="Chapter 3">
              <a:extLst>
                <a:ext uri="{FF2B5EF4-FFF2-40B4-BE49-F238E27FC236}">
                  <a16:creationId xmlns:a16="http://schemas.microsoft.com/office/drawing/2014/main" id="{FBAB58BA-F064-4152-BF9E-D3B2BECA976B}"/>
                </a:ext>
              </a:extLst>
            </xdr:cNvPr>
            <xdr:cNvGraphicFramePr/>
          </xdr:nvGraphicFramePr>
          <xdr:xfrm>
            <a:off x="0" y="0"/>
            <a:ext cx="0" cy="0"/>
          </xdr:xfrm>
          <a:graphic>
            <a:graphicData uri="http://schemas.microsoft.com/office/drawing/2010/slicer">
              <sle:slicer xmlns:sle="http://schemas.microsoft.com/office/drawing/2010/slicer" name="Chapter 3"/>
            </a:graphicData>
          </a:graphic>
        </xdr:graphicFrame>
      </mc:Choice>
      <mc:Fallback xmlns="">
        <xdr:sp macro="" textlink="">
          <xdr:nvSpPr>
            <xdr:cNvPr id="0" name=""/>
            <xdr:cNvSpPr>
              <a:spLocks noTextEdit="1"/>
            </xdr:cNvSpPr>
          </xdr:nvSpPr>
          <xdr:spPr>
            <a:xfrm>
              <a:off x="22803970" y="6932519"/>
              <a:ext cx="5591735" cy="1550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82363</xdr:colOff>
      <xdr:row>44</xdr:row>
      <xdr:rowOff>14007</xdr:rowOff>
    </xdr:from>
    <xdr:to>
      <xdr:col>35</xdr:col>
      <xdr:colOff>246530</xdr:colOff>
      <xdr:row>52</xdr:row>
      <xdr:rowOff>145676</xdr:rowOff>
    </xdr:to>
    <mc:AlternateContent xmlns:mc="http://schemas.openxmlformats.org/markup-compatibility/2006" xmlns:a14="http://schemas.microsoft.com/office/drawing/2010/main">
      <mc:Choice Requires="a14">
        <xdr:graphicFrame macro="">
          <xdr:nvGraphicFramePr>
            <xdr:cNvPr id="3" name="Chapter 4">
              <a:extLst>
                <a:ext uri="{FF2B5EF4-FFF2-40B4-BE49-F238E27FC236}">
                  <a16:creationId xmlns:a16="http://schemas.microsoft.com/office/drawing/2014/main" id="{BA6A0305-3A84-427D-AF9B-2A6C275F1483}"/>
                </a:ext>
              </a:extLst>
            </xdr:cNvPr>
            <xdr:cNvGraphicFramePr/>
          </xdr:nvGraphicFramePr>
          <xdr:xfrm>
            <a:off x="0" y="0"/>
            <a:ext cx="0" cy="0"/>
          </xdr:xfrm>
          <a:graphic>
            <a:graphicData uri="http://schemas.microsoft.com/office/drawing/2010/slicer">
              <sle:slicer xmlns:sle="http://schemas.microsoft.com/office/drawing/2010/slicer" name="Chapter 4"/>
            </a:graphicData>
          </a:graphic>
        </xdr:graphicFrame>
      </mc:Choice>
      <mc:Fallback xmlns="">
        <xdr:sp macro="" textlink="">
          <xdr:nvSpPr>
            <xdr:cNvPr id="0" name=""/>
            <xdr:cNvSpPr>
              <a:spLocks noTextEdit="1"/>
            </xdr:cNvSpPr>
          </xdr:nvSpPr>
          <xdr:spPr>
            <a:xfrm>
              <a:off x="22785481" y="8586507"/>
              <a:ext cx="5610225" cy="1655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99733</xdr:colOff>
      <xdr:row>53</xdr:row>
      <xdr:rowOff>123263</xdr:rowOff>
    </xdr:from>
    <xdr:to>
      <xdr:col>35</xdr:col>
      <xdr:colOff>324971</xdr:colOff>
      <xdr:row>63</xdr:row>
      <xdr:rowOff>22412</xdr:rowOff>
    </xdr:to>
    <mc:AlternateContent xmlns:mc="http://schemas.openxmlformats.org/markup-compatibility/2006" xmlns:a14="http://schemas.microsoft.com/office/drawing/2010/main">
      <mc:Choice Requires="a14">
        <xdr:graphicFrame macro="">
          <xdr:nvGraphicFramePr>
            <xdr:cNvPr id="4" name="Chapter 5">
              <a:extLst>
                <a:ext uri="{FF2B5EF4-FFF2-40B4-BE49-F238E27FC236}">
                  <a16:creationId xmlns:a16="http://schemas.microsoft.com/office/drawing/2014/main" id="{7B8DE005-CAC0-4CCD-BF02-4A18D778D609}"/>
                </a:ext>
              </a:extLst>
            </xdr:cNvPr>
            <xdr:cNvGraphicFramePr/>
          </xdr:nvGraphicFramePr>
          <xdr:xfrm>
            <a:off x="0" y="0"/>
            <a:ext cx="0" cy="0"/>
          </xdr:xfrm>
          <a:graphic>
            <a:graphicData uri="http://schemas.microsoft.com/office/drawing/2010/slicer">
              <sle:slicer xmlns:sle="http://schemas.microsoft.com/office/drawing/2010/slicer" name="Chapter 5"/>
            </a:graphicData>
          </a:graphic>
        </xdr:graphicFrame>
      </mc:Choice>
      <mc:Fallback xmlns="">
        <xdr:sp macro="" textlink="">
          <xdr:nvSpPr>
            <xdr:cNvPr id="0" name=""/>
            <xdr:cNvSpPr>
              <a:spLocks noTextEdit="1"/>
            </xdr:cNvSpPr>
          </xdr:nvSpPr>
          <xdr:spPr>
            <a:xfrm>
              <a:off x="22802851" y="10410263"/>
              <a:ext cx="5671296" cy="1804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78439</xdr:colOff>
      <xdr:row>20</xdr:row>
      <xdr:rowOff>22411</xdr:rowOff>
    </xdr:from>
    <xdr:to>
      <xdr:col>36</xdr:col>
      <xdr:colOff>481852</xdr:colOff>
      <xdr:row>34</xdr:row>
      <xdr:rowOff>98611</xdr:rowOff>
    </xdr:to>
    <xdr:graphicFrame macro="">
      <xdr:nvGraphicFramePr>
        <xdr:cNvPr id="5" name="Chart 4">
          <a:extLst>
            <a:ext uri="{FF2B5EF4-FFF2-40B4-BE49-F238E27FC236}">
              <a16:creationId xmlns:a16="http://schemas.microsoft.com/office/drawing/2014/main" id="{15745220-C844-40FB-A439-53AC6828E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89646</xdr:colOff>
      <xdr:row>7</xdr:row>
      <xdr:rowOff>112058</xdr:rowOff>
    </xdr:from>
    <xdr:to>
      <xdr:col>36</xdr:col>
      <xdr:colOff>437030</xdr:colOff>
      <xdr:row>19</xdr:row>
      <xdr:rowOff>154642</xdr:rowOff>
    </xdr:to>
    <xdr:graphicFrame macro="">
      <xdr:nvGraphicFramePr>
        <xdr:cNvPr id="6" name="Chart 5">
          <a:extLst>
            <a:ext uri="{FF2B5EF4-FFF2-40B4-BE49-F238E27FC236}">
              <a16:creationId xmlns:a16="http://schemas.microsoft.com/office/drawing/2014/main" id="{08902A36-86C1-40C5-9B1C-C4CD6B04B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19049</xdr:colOff>
      <xdr:row>1</xdr:row>
      <xdr:rowOff>142875</xdr:rowOff>
    </xdr:from>
    <xdr:to>
      <xdr:col>5</xdr:col>
      <xdr:colOff>380999</xdr:colOff>
      <xdr:row>9</xdr:row>
      <xdr:rowOff>133350</xdr:rowOff>
    </xdr:to>
    <mc:AlternateContent xmlns:mc="http://schemas.openxmlformats.org/markup-compatibility/2006" xmlns:a14="http://schemas.microsoft.com/office/drawing/2010/main">
      <mc:Choice Requires="a14">
        <xdr:graphicFrame macro="">
          <xdr:nvGraphicFramePr>
            <xdr:cNvPr id="2" name="Chapter 6">
              <a:extLst>
                <a:ext uri="{FF2B5EF4-FFF2-40B4-BE49-F238E27FC236}">
                  <a16:creationId xmlns:a16="http://schemas.microsoft.com/office/drawing/2014/main" id="{C72BE10E-6C1D-4C01-9C0C-9B73FFEF28F4}"/>
                </a:ext>
              </a:extLst>
            </xdr:cNvPr>
            <xdr:cNvGraphicFramePr/>
          </xdr:nvGraphicFramePr>
          <xdr:xfrm>
            <a:off x="0" y="0"/>
            <a:ext cx="0" cy="0"/>
          </xdr:xfrm>
          <a:graphic>
            <a:graphicData uri="http://schemas.microsoft.com/office/drawing/2010/slicer">
              <sle:slicer xmlns:sle="http://schemas.microsoft.com/office/drawing/2010/slicer" name="Chapter 6"/>
            </a:graphicData>
          </a:graphic>
        </xdr:graphicFrame>
      </mc:Choice>
      <mc:Fallback xmlns="">
        <xdr:sp macro="" textlink="">
          <xdr:nvSpPr>
            <xdr:cNvPr id="0" name=""/>
            <xdr:cNvSpPr>
              <a:spLocks noTextEdit="1"/>
            </xdr:cNvSpPr>
          </xdr:nvSpPr>
          <xdr:spPr>
            <a:xfrm>
              <a:off x="628649" y="333375"/>
              <a:ext cx="5019675"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25</xdr:col>
      <xdr:colOff>0</xdr:colOff>
      <xdr:row>0</xdr:row>
      <xdr:rowOff>0</xdr:rowOff>
    </xdr:from>
    <xdr:to>
      <xdr:col>25</xdr:col>
      <xdr:colOff>424589</xdr:colOff>
      <xdr:row>1</xdr:row>
      <xdr:rowOff>253492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1</xdr:col>
      <xdr:colOff>0</xdr:colOff>
      <xdr:row>1</xdr:row>
      <xdr:rowOff>0</xdr:rowOff>
    </xdr:from>
    <xdr:to>
      <xdr:col>1</xdr:col>
      <xdr:colOff>913771</xdr:colOff>
      <xdr:row>2</xdr:row>
      <xdr:rowOff>92811</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24</xdr:col>
      <xdr:colOff>0</xdr:colOff>
      <xdr:row>9</xdr:row>
      <xdr:rowOff>0</xdr:rowOff>
    </xdr:from>
    <xdr:to>
      <xdr:col>24</xdr:col>
      <xdr:colOff>1560403</xdr:colOff>
      <xdr:row>9</xdr:row>
      <xdr:rowOff>546100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twoCellAnchor>
    <xdr:from>
      <xdr:col>25</xdr:col>
      <xdr:colOff>0</xdr:colOff>
      <xdr:row>0</xdr:row>
      <xdr:rowOff>0</xdr:rowOff>
    </xdr:from>
    <xdr:to>
      <xdr:col>25</xdr:col>
      <xdr:colOff>424589</xdr:colOff>
      <xdr:row>1</xdr:row>
      <xdr:rowOff>253492</xdr:rowOff>
    </xdr:to>
    <xdr:pic>
      <xdr:nvPicPr>
        <xdr:cNvPr id="5" name="Picture 4">
          <a:extLst>
            <a:ext uri="{FF2B5EF4-FFF2-40B4-BE49-F238E27FC236}">
              <a16:creationId xmlns:a16="http://schemas.microsoft.com/office/drawing/2014/main" id="{131BAA63-1B6F-491D-8948-F42C65E0A05D}"/>
            </a:ext>
          </a:extLst>
        </xdr:cNvPr>
        <xdr:cNvPicPr/>
      </xdr:nvPicPr>
      <xdr:blipFill>
        <a:blip xmlns:r="http://schemas.openxmlformats.org/officeDocument/2006/relationships" r:embed="rId1" cstate="print"/>
        <a:stretch>
          <a:fillRect/>
        </a:stretch>
      </xdr:blipFill>
      <xdr:spPr>
        <a:xfrm>
          <a:off x="21793200" y="0"/>
          <a:ext cx="424589" cy="396367"/>
        </a:xfrm>
        <a:prstGeom prst="rect">
          <a:avLst/>
        </a:prstGeom>
      </xdr:spPr>
    </xdr:pic>
    <xdr:clientData/>
  </xdr:twoCellAnchor>
  <xdr:twoCellAnchor>
    <xdr:from>
      <xdr:col>1</xdr:col>
      <xdr:colOff>0</xdr:colOff>
      <xdr:row>1</xdr:row>
      <xdr:rowOff>0</xdr:rowOff>
    </xdr:from>
    <xdr:to>
      <xdr:col>1</xdr:col>
      <xdr:colOff>913771</xdr:colOff>
      <xdr:row>2</xdr:row>
      <xdr:rowOff>92811</xdr:rowOff>
    </xdr:to>
    <xdr:pic>
      <xdr:nvPicPr>
        <xdr:cNvPr id="6" name="Picture 5">
          <a:extLst>
            <a:ext uri="{FF2B5EF4-FFF2-40B4-BE49-F238E27FC236}">
              <a16:creationId xmlns:a16="http://schemas.microsoft.com/office/drawing/2014/main" id="{BBB98C90-B76F-4924-B9DB-7311EBA806A0}"/>
            </a:ext>
          </a:extLst>
        </xdr:cNvPr>
        <xdr:cNvPicPr/>
      </xdr:nvPicPr>
      <xdr:blipFill>
        <a:blip xmlns:r="http://schemas.openxmlformats.org/officeDocument/2006/relationships" r:embed="rId2" cstate="print"/>
        <a:stretch>
          <a:fillRect/>
        </a:stretch>
      </xdr:blipFill>
      <xdr:spPr>
        <a:xfrm>
          <a:off x="133350" y="142875"/>
          <a:ext cx="913771" cy="349986"/>
        </a:xfrm>
        <a:prstGeom prst="rect">
          <a:avLst/>
        </a:prstGeom>
      </xdr:spPr>
    </xdr:pic>
    <xdr:clientData/>
  </xdr:twoCellAnchor>
  <xdr:twoCellAnchor>
    <xdr:from>
      <xdr:col>24</xdr:col>
      <xdr:colOff>0</xdr:colOff>
      <xdr:row>9</xdr:row>
      <xdr:rowOff>0</xdr:rowOff>
    </xdr:from>
    <xdr:to>
      <xdr:col>24</xdr:col>
      <xdr:colOff>1560403</xdr:colOff>
      <xdr:row>9</xdr:row>
      <xdr:rowOff>546100</xdr:rowOff>
    </xdr:to>
    <xdr:pic>
      <xdr:nvPicPr>
        <xdr:cNvPr id="7" name="Picture 6">
          <a:extLst>
            <a:ext uri="{FF2B5EF4-FFF2-40B4-BE49-F238E27FC236}">
              <a16:creationId xmlns:a16="http://schemas.microsoft.com/office/drawing/2014/main" id="{0852DBEB-9EE2-461E-8C93-70E8C74116FB}"/>
            </a:ext>
          </a:extLst>
        </xdr:cNvPr>
        <xdr:cNvPicPr/>
      </xdr:nvPicPr>
      <xdr:blipFill>
        <a:blip xmlns:r="http://schemas.openxmlformats.org/officeDocument/2006/relationships" r:embed="rId3" cstate="print"/>
        <a:stretch>
          <a:fillRect/>
        </a:stretch>
      </xdr:blipFill>
      <xdr:spPr>
        <a:xfrm>
          <a:off x="19926300" y="1371600"/>
          <a:ext cx="1560403" cy="546100"/>
        </a:xfrm>
        <a:prstGeom prst="rect">
          <a:avLst/>
        </a:prstGeom>
      </xdr:spPr>
    </xdr:pic>
    <xdr:clientData/>
  </xdr:twoCellAnchor>
  <xdr:twoCellAnchor>
    <xdr:from>
      <xdr:col>25</xdr:col>
      <xdr:colOff>0</xdr:colOff>
      <xdr:row>0</xdr:row>
      <xdr:rowOff>0</xdr:rowOff>
    </xdr:from>
    <xdr:to>
      <xdr:col>25</xdr:col>
      <xdr:colOff>424589</xdr:colOff>
      <xdr:row>1</xdr:row>
      <xdr:rowOff>253492</xdr:rowOff>
    </xdr:to>
    <xdr:pic>
      <xdr:nvPicPr>
        <xdr:cNvPr id="8" name="Picture 7">
          <a:extLst>
            <a:ext uri="{FF2B5EF4-FFF2-40B4-BE49-F238E27FC236}">
              <a16:creationId xmlns:a16="http://schemas.microsoft.com/office/drawing/2014/main" id="{862910C9-F85A-4BE9-82F8-87E6E06E44A1}"/>
            </a:ext>
          </a:extLst>
        </xdr:cNvPr>
        <xdr:cNvPicPr/>
      </xdr:nvPicPr>
      <xdr:blipFill>
        <a:blip xmlns:r="http://schemas.openxmlformats.org/officeDocument/2006/relationships" r:embed="rId1" cstate="print"/>
        <a:stretch>
          <a:fillRect/>
        </a:stretch>
      </xdr:blipFill>
      <xdr:spPr>
        <a:xfrm>
          <a:off x="21793200" y="0"/>
          <a:ext cx="424589" cy="396367"/>
        </a:xfrm>
        <a:prstGeom prst="rect">
          <a:avLst/>
        </a:prstGeom>
      </xdr:spPr>
    </xdr:pic>
    <xdr:clientData/>
  </xdr:twoCellAnchor>
  <xdr:twoCellAnchor>
    <xdr:from>
      <xdr:col>1</xdr:col>
      <xdr:colOff>0</xdr:colOff>
      <xdr:row>1</xdr:row>
      <xdr:rowOff>0</xdr:rowOff>
    </xdr:from>
    <xdr:to>
      <xdr:col>1</xdr:col>
      <xdr:colOff>913771</xdr:colOff>
      <xdr:row>2</xdr:row>
      <xdr:rowOff>92811</xdr:rowOff>
    </xdr:to>
    <xdr:pic>
      <xdr:nvPicPr>
        <xdr:cNvPr id="9" name="Picture 8">
          <a:extLst>
            <a:ext uri="{FF2B5EF4-FFF2-40B4-BE49-F238E27FC236}">
              <a16:creationId xmlns:a16="http://schemas.microsoft.com/office/drawing/2014/main" id="{1C7100BD-E936-4E02-9A9C-D0B92664C1C8}"/>
            </a:ext>
          </a:extLst>
        </xdr:cNvPr>
        <xdr:cNvPicPr/>
      </xdr:nvPicPr>
      <xdr:blipFill>
        <a:blip xmlns:r="http://schemas.openxmlformats.org/officeDocument/2006/relationships" r:embed="rId2" cstate="print"/>
        <a:stretch>
          <a:fillRect/>
        </a:stretch>
      </xdr:blipFill>
      <xdr:spPr>
        <a:xfrm>
          <a:off x="133350" y="142875"/>
          <a:ext cx="913771" cy="349986"/>
        </a:xfrm>
        <a:prstGeom prst="rect">
          <a:avLst/>
        </a:prstGeom>
      </xdr:spPr>
    </xdr:pic>
    <xdr:clientData/>
  </xdr:twoCellAnchor>
  <xdr:twoCellAnchor>
    <xdr:from>
      <xdr:col>24</xdr:col>
      <xdr:colOff>0</xdr:colOff>
      <xdr:row>9</xdr:row>
      <xdr:rowOff>0</xdr:rowOff>
    </xdr:from>
    <xdr:to>
      <xdr:col>24</xdr:col>
      <xdr:colOff>1560403</xdr:colOff>
      <xdr:row>9</xdr:row>
      <xdr:rowOff>546100</xdr:rowOff>
    </xdr:to>
    <xdr:pic>
      <xdr:nvPicPr>
        <xdr:cNvPr id="10" name="Picture 9">
          <a:extLst>
            <a:ext uri="{FF2B5EF4-FFF2-40B4-BE49-F238E27FC236}">
              <a16:creationId xmlns:a16="http://schemas.microsoft.com/office/drawing/2014/main" id="{34DF55D7-7B1B-4446-9EA7-8BA645F57622}"/>
            </a:ext>
          </a:extLst>
        </xdr:cNvPr>
        <xdr:cNvPicPr/>
      </xdr:nvPicPr>
      <xdr:blipFill>
        <a:blip xmlns:r="http://schemas.openxmlformats.org/officeDocument/2006/relationships" r:embed="rId3" cstate="print"/>
        <a:stretch>
          <a:fillRect/>
        </a:stretch>
      </xdr:blipFill>
      <xdr:spPr>
        <a:xfrm>
          <a:off x="19926300" y="1371600"/>
          <a:ext cx="1560403" cy="546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22</xdr:col>
      <xdr:colOff>0</xdr:colOff>
      <xdr:row>0</xdr:row>
      <xdr:rowOff>0</xdr:rowOff>
    </xdr:from>
    <xdr:to>
      <xdr:col>22</xdr:col>
      <xdr:colOff>424589</xdr:colOff>
      <xdr:row>1</xdr:row>
      <xdr:rowOff>253492</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1</xdr:col>
      <xdr:colOff>0</xdr:colOff>
      <xdr:row>1</xdr:row>
      <xdr:rowOff>0</xdr:rowOff>
    </xdr:from>
    <xdr:to>
      <xdr:col>1</xdr:col>
      <xdr:colOff>913771</xdr:colOff>
      <xdr:row>2</xdr:row>
      <xdr:rowOff>92811</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19</xdr:col>
      <xdr:colOff>0</xdr:colOff>
      <xdr:row>8</xdr:row>
      <xdr:rowOff>0</xdr:rowOff>
    </xdr:from>
    <xdr:to>
      <xdr:col>19</xdr:col>
      <xdr:colOff>1558400</xdr:colOff>
      <xdr:row>8</xdr:row>
      <xdr:rowOff>546100</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twoCellAnchor>
    <xdr:from>
      <xdr:col>22</xdr:col>
      <xdr:colOff>0</xdr:colOff>
      <xdr:row>0</xdr:row>
      <xdr:rowOff>0</xdr:rowOff>
    </xdr:from>
    <xdr:to>
      <xdr:col>22</xdr:col>
      <xdr:colOff>424589</xdr:colOff>
      <xdr:row>1</xdr:row>
      <xdr:rowOff>253492</xdr:rowOff>
    </xdr:to>
    <xdr:pic>
      <xdr:nvPicPr>
        <xdr:cNvPr id="5" name="Picture 4">
          <a:extLst>
            <a:ext uri="{FF2B5EF4-FFF2-40B4-BE49-F238E27FC236}">
              <a16:creationId xmlns:a16="http://schemas.microsoft.com/office/drawing/2014/main" id="{7BC1810E-239A-4373-9063-DF498C0C70F8}"/>
            </a:ext>
          </a:extLst>
        </xdr:cNvPr>
        <xdr:cNvPicPr/>
      </xdr:nvPicPr>
      <xdr:blipFill>
        <a:blip xmlns:r="http://schemas.openxmlformats.org/officeDocument/2006/relationships" r:embed="rId1" cstate="print"/>
        <a:stretch>
          <a:fillRect/>
        </a:stretch>
      </xdr:blipFill>
      <xdr:spPr>
        <a:xfrm>
          <a:off x="21059775" y="0"/>
          <a:ext cx="424589" cy="396367"/>
        </a:xfrm>
        <a:prstGeom prst="rect">
          <a:avLst/>
        </a:prstGeom>
      </xdr:spPr>
    </xdr:pic>
    <xdr:clientData/>
  </xdr:twoCellAnchor>
  <xdr:twoCellAnchor>
    <xdr:from>
      <xdr:col>1</xdr:col>
      <xdr:colOff>0</xdr:colOff>
      <xdr:row>1</xdr:row>
      <xdr:rowOff>0</xdr:rowOff>
    </xdr:from>
    <xdr:to>
      <xdr:col>1</xdr:col>
      <xdr:colOff>913771</xdr:colOff>
      <xdr:row>2</xdr:row>
      <xdr:rowOff>92811</xdr:rowOff>
    </xdr:to>
    <xdr:pic>
      <xdr:nvPicPr>
        <xdr:cNvPr id="6" name="Picture 5">
          <a:extLst>
            <a:ext uri="{FF2B5EF4-FFF2-40B4-BE49-F238E27FC236}">
              <a16:creationId xmlns:a16="http://schemas.microsoft.com/office/drawing/2014/main" id="{B1C0FEF9-C436-4B70-B73D-9BC19C660205}"/>
            </a:ext>
          </a:extLst>
        </xdr:cNvPr>
        <xdr:cNvPicPr/>
      </xdr:nvPicPr>
      <xdr:blipFill>
        <a:blip xmlns:r="http://schemas.openxmlformats.org/officeDocument/2006/relationships" r:embed="rId2" cstate="print"/>
        <a:stretch>
          <a:fillRect/>
        </a:stretch>
      </xdr:blipFill>
      <xdr:spPr>
        <a:xfrm>
          <a:off x="133350" y="142875"/>
          <a:ext cx="913771" cy="349986"/>
        </a:xfrm>
        <a:prstGeom prst="rect">
          <a:avLst/>
        </a:prstGeom>
      </xdr:spPr>
    </xdr:pic>
    <xdr:clientData/>
  </xdr:twoCellAnchor>
  <xdr:twoCellAnchor>
    <xdr:from>
      <xdr:col>19</xdr:col>
      <xdr:colOff>0</xdr:colOff>
      <xdr:row>8</xdr:row>
      <xdr:rowOff>0</xdr:rowOff>
    </xdr:from>
    <xdr:to>
      <xdr:col>19</xdr:col>
      <xdr:colOff>1558400</xdr:colOff>
      <xdr:row>8</xdr:row>
      <xdr:rowOff>546100</xdr:rowOff>
    </xdr:to>
    <xdr:pic>
      <xdr:nvPicPr>
        <xdr:cNvPr id="7" name="Picture 6">
          <a:extLst>
            <a:ext uri="{FF2B5EF4-FFF2-40B4-BE49-F238E27FC236}">
              <a16:creationId xmlns:a16="http://schemas.microsoft.com/office/drawing/2014/main" id="{7645CBCF-11FA-4DB7-9957-E710E3329BF6}"/>
            </a:ext>
          </a:extLst>
        </xdr:cNvPr>
        <xdr:cNvPicPr/>
      </xdr:nvPicPr>
      <xdr:blipFill>
        <a:blip xmlns:r="http://schemas.openxmlformats.org/officeDocument/2006/relationships" r:embed="rId3" cstate="print"/>
        <a:stretch>
          <a:fillRect/>
        </a:stretch>
      </xdr:blipFill>
      <xdr:spPr>
        <a:xfrm>
          <a:off x="16935450" y="2486025"/>
          <a:ext cx="1558400" cy="546100"/>
        </a:xfrm>
        <a:prstGeom prst="rect">
          <a:avLst/>
        </a:prstGeom>
      </xdr:spPr>
    </xdr:pic>
    <xdr:clientData/>
  </xdr:twoCellAnchor>
  <xdr:twoCellAnchor>
    <xdr:from>
      <xdr:col>22</xdr:col>
      <xdr:colOff>0</xdr:colOff>
      <xdr:row>0</xdr:row>
      <xdr:rowOff>0</xdr:rowOff>
    </xdr:from>
    <xdr:to>
      <xdr:col>22</xdr:col>
      <xdr:colOff>424589</xdr:colOff>
      <xdr:row>1</xdr:row>
      <xdr:rowOff>253492</xdr:rowOff>
    </xdr:to>
    <xdr:pic>
      <xdr:nvPicPr>
        <xdr:cNvPr id="8" name="Picture 7">
          <a:extLst>
            <a:ext uri="{FF2B5EF4-FFF2-40B4-BE49-F238E27FC236}">
              <a16:creationId xmlns:a16="http://schemas.microsoft.com/office/drawing/2014/main" id="{5528507C-36D2-4847-A00D-B9FFCD2D2D87}"/>
            </a:ext>
          </a:extLst>
        </xdr:cNvPr>
        <xdr:cNvPicPr/>
      </xdr:nvPicPr>
      <xdr:blipFill>
        <a:blip xmlns:r="http://schemas.openxmlformats.org/officeDocument/2006/relationships" r:embed="rId1" cstate="print"/>
        <a:stretch>
          <a:fillRect/>
        </a:stretch>
      </xdr:blipFill>
      <xdr:spPr>
        <a:xfrm>
          <a:off x="21059775" y="0"/>
          <a:ext cx="424589" cy="396367"/>
        </a:xfrm>
        <a:prstGeom prst="rect">
          <a:avLst/>
        </a:prstGeom>
      </xdr:spPr>
    </xdr:pic>
    <xdr:clientData/>
  </xdr:twoCellAnchor>
  <xdr:twoCellAnchor>
    <xdr:from>
      <xdr:col>1</xdr:col>
      <xdr:colOff>0</xdr:colOff>
      <xdr:row>1</xdr:row>
      <xdr:rowOff>0</xdr:rowOff>
    </xdr:from>
    <xdr:to>
      <xdr:col>1</xdr:col>
      <xdr:colOff>913771</xdr:colOff>
      <xdr:row>2</xdr:row>
      <xdr:rowOff>92811</xdr:rowOff>
    </xdr:to>
    <xdr:pic>
      <xdr:nvPicPr>
        <xdr:cNvPr id="9" name="Picture 8">
          <a:extLst>
            <a:ext uri="{FF2B5EF4-FFF2-40B4-BE49-F238E27FC236}">
              <a16:creationId xmlns:a16="http://schemas.microsoft.com/office/drawing/2014/main" id="{F54E538F-EF2B-4BA0-BE67-0F1CF58C5C70}"/>
            </a:ext>
          </a:extLst>
        </xdr:cNvPr>
        <xdr:cNvPicPr/>
      </xdr:nvPicPr>
      <xdr:blipFill>
        <a:blip xmlns:r="http://schemas.openxmlformats.org/officeDocument/2006/relationships" r:embed="rId2" cstate="print"/>
        <a:stretch>
          <a:fillRect/>
        </a:stretch>
      </xdr:blipFill>
      <xdr:spPr>
        <a:xfrm>
          <a:off x="133350" y="142875"/>
          <a:ext cx="913771" cy="349986"/>
        </a:xfrm>
        <a:prstGeom prst="rect">
          <a:avLst/>
        </a:prstGeom>
      </xdr:spPr>
    </xdr:pic>
    <xdr:clientData/>
  </xdr:twoCellAnchor>
  <xdr:twoCellAnchor>
    <xdr:from>
      <xdr:col>19</xdr:col>
      <xdr:colOff>0</xdr:colOff>
      <xdr:row>8</xdr:row>
      <xdr:rowOff>0</xdr:rowOff>
    </xdr:from>
    <xdr:to>
      <xdr:col>19</xdr:col>
      <xdr:colOff>1558400</xdr:colOff>
      <xdr:row>8</xdr:row>
      <xdr:rowOff>546100</xdr:rowOff>
    </xdr:to>
    <xdr:pic>
      <xdr:nvPicPr>
        <xdr:cNvPr id="10" name="Picture 9">
          <a:extLst>
            <a:ext uri="{FF2B5EF4-FFF2-40B4-BE49-F238E27FC236}">
              <a16:creationId xmlns:a16="http://schemas.microsoft.com/office/drawing/2014/main" id="{65862387-A62B-4097-8996-4B71C9379914}"/>
            </a:ext>
          </a:extLst>
        </xdr:cNvPr>
        <xdr:cNvPicPr/>
      </xdr:nvPicPr>
      <xdr:blipFill>
        <a:blip xmlns:r="http://schemas.openxmlformats.org/officeDocument/2006/relationships" r:embed="rId3" cstate="print"/>
        <a:stretch>
          <a:fillRect/>
        </a:stretch>
      </xdr:blipFill>
      <xdr:spPr>
        <a:xfrm>
          <a:off x="16935450" y="2486025"/>
          <a:ext cx="1558400" cy="5461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15</xdr:col>
      <xdr:colOff>0</xdr:colOff>
      <xdr:row>0</xdr:row>
      <xdr:rowOff>0</xdr:rowOff>
    </xdr:from>
    <xdr:to>
      <xdr:col>15</xdr:col>
      <xdr:colOff>424589</xdr:colOff>
      <xdr:row>1</xdr:row>
      <xdr:rowOff>253492</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1</xdr:col>
      <xdr:colOff>0</xdr:colOff>
      <xdr:row>1</xdr:row>
      <xdr:rowOff>0</xdr:rowOff>
    </xdr:from>
    <xdr:to>
      <xdr:col>1</xdr:col>
      <xdr:colOff>913771</xdr:colOff>
      <xdr:row>2</xdr:row>
      <xdr:rowOff>92811</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12</xdr:col>
      <xdr:colOff>0</xdr:colOff>
      <xdr:row>8</xdr:row>
      <xdr:rowOff>0</xdr:rowOff>
    </xdr:from>
    <xdr:to>
      <xdr:col>12</xdr:col>
      <xdr:colOff>1556688</xdr:colOff>
      <xdr:row>8</xdr:row>
      <xdr:rowOff>546100</xdr:rowOff>
    </xdr:to>
    <xdr:pic>
      <xdr:nvPicPr>
        <xdr:cNvPr id="4" name="Picture 3">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13</xdr:col>
      <xdr:colOff>0</xdr:colOff>
      <xdr:row>0</xdr:row>
      <xdr:rowOff>0</xdr:rowOff>
    </xdr:from>
    <xdr:to>
      <xdr:col>13</xdr:col>
      <xdr:colOff>424589</xdr:colOff>
      <xdr:row>1</xdr:row>
      <xdr:rowOff>253492</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1</xdr:col>
      <xdr:colOff>0</xdr:colOff>
      <xdr:row>1</xdr:row>
      <xdr:rowOff>0</xdr:rowOff>
    </xdr:from>
    <xdr:to>
      <xdr:col>1</xdr:col>
      <xdr:colOff>913771</xdr:colOff>
      <xdr:row>2</xdr:row>
      <xdr:rowOff>92811</xdr:rowOff>
    </xdr:to>
    <xdr:pic>
      <xdr:nvPicPr>
        <xdr:cNvPr id="3" name="Picture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10</xdr:col>
      <xdr:colOff>0</xdr:colOff>
      <xdr:row>8</xdr:row>
      <xdr:rowOff>0</xdr:rowOff>
    </xdr:from>
    <xdr:to>
      <xdr:col>10</xdr:col>
      <xdr:colOff>1473200</xdr:colOff>
      <xdr:row>8</xdr:row>
      <xdr:rowOff>515761</xdr:rowOff>
    </xdr:to>
    <xdr:pic>
      <xdr:nvPicPr>
        <xdr:cNvPr id="4" name="Picture 3">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twoCellAnchor>
    <xdr:from>
      <xdr:col>13</xdr:col>
      <xdr:colOff>0</xdr:colOff>
      <xdr:row>0</xdr:row>
      <xdr:rowOff>0</xdr:rowOff>
    </xdr:from>
    <xdr:to>
      <xdr:col>13</xdr:col>
      <xdr:colOff>424589</xdr:colOff>
      <xdr:row>1</xdr:row>
      <xdr:rowOff>253492</xdr:rowOff>
    </xdr:to>
    <xdr:pic>
      <xdr:nvPicPr>
        <xdr:cNvPr id="5" name="Picture 4">
          <a:extLst>
            <a:ext uri="{FF2B5EF4-FFF2-40B4-BE49-F238E27FC236}">
              <a16:creationId xmlns:a16="http://schemas.microsoft.com/office/drawing/2014/main" id="{1D9F185B-050B-4BB7-B96B-6B941E3D818A}"/>
            </a:ext>
          </a:extLst>
        </xdr:cNvPr>
        <xdr:cNvPicPr/>
      </xdr:nvPicPr>
      <xdr:blipFill>
        <a:blip xmlns:r="http://schemas.openxmlformats.org/officeDocument/2006/relationships" r:embed="rId1" cstate="print"/>
        <a:stretch>
          <a:fillRect/>
        </a:stretch>
      </xdr:blipFill>
      <xdr:spPr>
        <a:xfrm>
          <a:off x="24269700" y="0"/>
          <a:ext cx="424589" cy="396367"/>
        </a:xfrm>
        <a:prstGeom prst="rect">
          <a:avLst/>
        </a:prstGeom>
      </xdr:spPr>
    </xdr:pic>
    <xdr:clientData/>
  </xdr:twoCellAnchor>
  <xdr:twoCellAnchor>
    <xdr:from>
      <xdr:col>1</xdr:col>
      <xdr:colOff>0</xdr:colOff>
      <xdr:row>1</xdr:row>
      <xdr:rowOff>0</xdr:rowOff>
    </xdr:from>
    <xdr:to>
      <xdr:col>1</xdr:col>
      <xdr:colOff>913771</xdr:colOff>
      <xdr:row>2</xdr:row>
      <xdr:rowOff>92811</xdr:rowOff>
    </xdr:to>
    <xdr:pic>
      <xdr:nvPicPr>
        <xdr:cNvPr id="6" name="Picture 5">
          <a:extLst>
            <a:ext uri="{FF2B5EF4-FFF2-40B4-BE49-F238E27FC236}">
              <a16:creationId xmlns:a16="http://schemas.microsoft.com/office/drawing/2014/main" id="{E888AC6E-03B4-4800-A120-335931CB8C08}"/>
            </a:ext>
          </a:extLst>
        </xdr:cNvPr>
        <xdr:cNvPicPr/>
      </xdr:nvPicPr>
      <xdr:blipFill>
        <a:blip xmlns:r="http://schemas.openxmlformats.org/officeDocument/2006/relationships" r:embed="rId2" cstate="print"/>
        <a:stretch>
          <a:fillRect/>
        </a:stretch>
      </xdr:blipFill>
      <xdr:spPr>
        <a:xfrm>
          <a:off x="133350" y="142875"/>
          <a:ext cx="913771" cy="349986"/>
        </a:xfrm>
        <a:prstGeom prst="rect">
          <a:avLst/>
        </a:prstGeom>
      </xdr:spPr>
    </xdr:pic>
    <xdr:clientData/>
  </xdr:twoCellAnchor>
  <xdr:twoCellAnchor>
    <xdr:from>
      <xdr:col>10</xdr:col>
      <xdr:colOff>0</xdr:colOff>
      <xdr:row>8</xdr:row>
      <xdr:rowOff>0</xdr:rowOff>
    </xdr:from>
    <xdr:to>
      <xdr:col>10</xdr:col>
      <xdr:colOff>1473200</xdr:colOff>
      <xdr:row>8</xdr:row>
      <xdr:rowOff>515761</xdr:rowOff>
    </xdr:to>
    <xdr:pic>
      <xdr:nvPicPr>
        <xdr:cNvPr id="7" name="Picture 6">
          <a:extLst>
            <a:ext uri="{FF2B5EF4-FFF2-40B4-BE49-F238E27FC236}">
              <a16:creationId xmlns:a16="http://schemas.microsoft.com/office/drawing/2014/main" id="{1292C27F-FD9C-411D-B278-71A3E6728C53}"/>
            </a:ext>
          </a:extLst>
        </xdr:cNvPr>
        <xdr:cNvPicPr/>
      </xdr:nvPicPr>
      <xdr:blipFill>
        <a:blip xmlns:r="http://schemas.openxmlformats.org/officeDocument/2006/relationships" r:embed="rId3" cstate="print"/>
        <a:stretch>
          <a:fillRect/>
        </a:stretch>
      </xdr:blipFill>
      <xdr:spPr>
        <a:xfrm>
          <a:off x="16373475" y="2486025"/>
          <a:ext cx="1473200" cy="515761"/>
        </a:xfrm>
        <a:prstGeom prst="rect">
          <a:avLst/>
        </a:prstGeom>
      </xdr:spPr>
    </xdr:pic>
    <xdr:clientData/>
  </xdr:twoCellAnchor>
  <xdr:twoCellAnchor>
    <xdr:from>
      <xdr:col>13</xdr:col>
      <xdr:colOff>0</xdr:colOff>
      <xdr:row>0</xdr:row>
      <xdr:rowOff>0</xdr:rowOff>
    </xdr:from>
    <xdr:to>
      <xdr:col>13</xdr:col>
      <xdr:colOff>424589</xdr:colOff>
      <xdr:row>1</xdr:row>
      <xdr:rowOff>253492</xdr:rowOff>
    </xdr:to>
    <xdr:pic>
      <xdr:nvPicPr>
        <xdr:cNvPr id="8" name="Picture 7">
          <a:extLst>
            <a:ext uri="{FF2B5EF4-FFF2-40B4-BE49-F238E27FC236}">
              <a16:creationId xmlns:a16="http://schemas.microsoft.com/office/drawing/2014/main" id="{52A6BBC5-E119-4325-92CF-40C4BEADC359}"/>
            </a:ext>
          </a:extLst>
        </xdr:cNvPr>
        <xdr:cNvPicPr/>
      </xdr:nvPicPr>
      <xdr:blipFill>
        <a:blip xmlns:r="http://schemas.openxmlformats.org/officeDocument/2006/relationships" r:embed="rId1" cstate="print"/>
        <a:stretch>
          <a:fillRect/>
        </a:stretch>
      </xdr:blipFill>
      <xdr:spPr>
        <a:xfrm>
          <a:off x="24269700" y="0"/>
          <a:ext cx="424589" cy="396367"/>
        </a:xfrm>
        <a:prstGeom prst="rect">
          <a:avLst/>
        </a:prstGeom>
      </xdr:spPr>
    </xdr:pic>
    <xdr:clientData/>
  </xdr:twoCellAnchor>
  <xdr:twoCellAnchor>
    <xdr:from>
      <xdr:col>1</xdr:col>
      <xdr:colOff>0</xdr:colOff>
      <xdr:row>1</xdr:row>
      <xdr:rowOff>0</xdr:rowOff>
    </xdr:from>
    <xdr:to>
      <xdr:col>1</xdr:col>
      <xdr:colOff>913771</xdr:colOff>
      <xdr:row>2</xdr:row>
      <xdr:rowOff>92811</xdr:rowOff>
    </xdr:to>
    <xdr:pic>
      <xdr:nvPicPr>
        <xdr:cNvPr id="9" name="Picture 8">
          <a:extLst>
            <a:ext uri="{FF2B5EF4-FFF2-40B4-BE49-F238E27FC236}">
              <a16:creationId xmlns:a16="http://schemas.microsoft.com/office/drawing/2014/main" id="{A431E093-F9CD-4431-B936-70C2F25E0E21}"/>
            </a:ext>
          </a:extLst>
        </xdr:cNvPr>
        <xdr:cNvPicPr/>
      </xdr:nvPicPr>
      <xdr:blipFill>
        <a:blip xmlns:r="http://schemas.openxmlformats.org/officeDocument/2006/relationships" r:embed="rId2" cstate="print"/>
        <a:stretch>
          <a:fillRect/>
        </a:stretch>
      </xdr:blipFill>
      <xdr:spPr>
        <a:xfrm>
          <a:off x="133350" y="142875"/>
          <a:ext cx="913771" cy="349986"/>
        </a:xfrm>
        <a:prstGeom prst="rect">
          <a:avLst/>
        </a:prstGeom>
      </xdr:spPr>
    </xdr:pic>
    <xdr:clientData/>
  </xdr:twoCellAnchor>
  <xdr:twoCellAnchor>
    <xdr:from>
      <xdr:col>10</xdr:col>
      <xdr:colOff>0</xdr:colOff>
      <xdr:row>8</xdr:row>
      <xdr:rowOff>0</xdr:rowOff>
    </xdr:from>
    <xdr:to>
      <xdr:col>10</xdr:col>
      <xdr:colOff>1473200</xdr:colOff>
      <xdr:row>8</xdr:row>
      <xdr:rowOff>515761</xdr:rowOff>
    </xdr:to>
    <xdr:pic>
      <xdr:nvPicPr>
        <xdr:cNvPr id="10" name="Picture 9">
          <a:extLst>
            <a:ext uri="{FF2B5EF4-FFF2-40B4-BE49-F238E27FC236}">
              <a16:creationId xmlns:a16="http://schemas.microsoft.com/office/drawing/2014/main" id="{40705DA2-BC56-4569-842D-F8A84AF8C4EB}"/>
            </a:ext>
          </a:extLst>
        </xdr:cNvPr>
        <xdr:cNvPicPr/>
      </xdr:nvPicPr>
      <xdr:blipFill>
        <a:blip xmlns:r="http://schemas.openxmlformats.org/officeDocument/2006/relationships" r:embed="rId3" cstate="print"/>
        <a:stretch>
          <a:fillRect/>
        </a:stretch>
      </xdr:blipFill>
      <xdr:spPr>
        <a:xfrm>
          <a:off x="16373475" y="2486025"/>
          <a:ext cx="1473200" cy="51576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23</xdr:col>
      <xdr:colOff>0</xdr:colOff>
      <xdr:row>0</xdr:row>
      <xdr:rowOff>0</xdr:rowOff>
    </xdr:from>
    <xdr:to>
      <xdr:col>23</xdr:col>
      <xdr:colOff>424589</xdr:colOff>
      <xdr:row>1</xdr:row>
      <xdr:rowOff>253492</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2</xdr:col>
      <xdr:colOff>0</xdr:colOff>
      <xdr:row>1</xdr:row>
      <xdr:rowOff>0</xdr:rowOff>
    </xdr:from>
    <xdr:to>
      <xdr:col>3</xdr:col>
      <xdr:colOff>12192</xdr:colOff>
      <xdr:row>2</xdr:row>
      <xdr:rowOff>92811</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22</xdr:col>
      <xdr:colOff>0</xdr:colOff>
      <xdr:row>8</xdr:row>
      <xdr:rowOff>0</xdr:rowOff>
    </xdr:from>
    <xdr:to>
      <xdr:col>22</xdr:col>
      <xdr:colOff>1557781</xdr:colOff>
      <xdr:row>8</xdr:row>
      <xdr:rowOff>546100</xdr:rowOff>
    </xdr:to>
    <xdr:pic>
      <xdr:nvPicPr>
        <xdr:cNvPr id="4" name="Picture 3">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10</xdr:col>
      <xdr:colOff>0</xdr:colOff>
      <xdr:row>0</xdr:row>
      <xdr:rowOff>0</xdr:rowOff>
    </xdr:from>
    <xdr:to>
      <xdr:col>10</xdr:col>
      <xdr:colOff>424589</xdr:colOff>
      <xdr:row>1</xdr:row>
      <xdr:rowOff>253492</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1</xdr:col>
      <xdr:colOff>0</xdr:colOff>
      <xdr:row>1</xdr:row>
      <xdr:rowOff>0</xdr:rowOff>
    </xdr:from>
    <xdr:to>
      <xdr:col>1</xdr:col>
      <xdr:colOff>913771</xdr:colOff>
      <xdr:row>2</xdr:row>
      <xdr:rowOff>92811</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7</xdr:col>
      <xdr:colOff>0</xdr:colOff>
      <xdr:row>8</xdr:row>
      <xdr:rowOff>0</xdr:rowOff>
    </xdr:from>
    <xdr:to>
      <xdr:col>7</xdr:col>
      <xdr:colOff>1473200</xdr:colOff>
      <xdr:row>8</xdr:row>
      <xdr:rowOff>515761</xdr:rowOff>
    </xdr:to>
    <xdr:pic>
      <xdr:nvPicPr>
        <xdr:cNvPr id="4" name="Picture 3">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Professional_WorkTools\Github\StockSillines\Open%20Positions.xlsx" TargetMode="External"/><Relationship Id="rId1" Type="http://schemas.openxmlformats.org/officeDocument/2006/relationships/externalLinkPath" Target="Open%20Posi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sitions"/>
      <sheetName val="PVT"/>
      <sheetName val="Sheet3"/>
      <sheetName val="Sheet1"/>
    </sheetNames>
    <sheetDataSet>
      <sheetData sheetId="0">
        <row r="1">
          <cell r="A1" t="str">
            <v>Chapter</v>
          </cell>
          <cell r="C1" t="str">
            <v>Ticker</v>
          </cell>
        </row>
        <row r="2">
          <cell r="A2" t="str">
            <v>Technology</v>
          </cell>
          <cell r="C2" t="str">
            <v>TSM</v>
          </cell>
        </row>
        <row r="3">
          <cell r="A3" t="str">
            <v>ETF</v>
          </cell>
          <cell r="C3" t="str">
            <v>BND</v>
          </cell>
        </row>
        <row r="4">
          <cell r="A4" t="str">
            <v>ETF</v>
          </cell>
          <cell r="C4" t="str">
            <v>VWO</v>
          </cell>
        </row>
        <row r="5">
          <cell r="A5" t="str">
            <v>Energy &amp; Utilities</v>
          </cell>
          <cell r="C5" t="str">
            <v>APA</v>
          </cell>
        </row>
        <row r="6">
          <cell r="A6" t="str">
            <v>Energy &amp; Utilities</v>
          </cell>
          <cell r="C6" t="str">
            <v>FSLR</v>
          </cell>
        </row>
        <row r="7">
          <cell r="A7" t="str">
            <v>ETF</v>
          </cell>
          <cell r="C7" t="str">
            <v>VBTC.DE</v>
          </cell>
        </row>
        <row r="8">
          <cell r="A8" t="str">
            <v>Consumer Defensive</v>
          </cell>
          <cell r="C8" t="str">
            <v>MO</v>
          </cell>
        </row>
        <row r="9">
          <cell r="A9" t="str">
            <v>Consumer Defensive</v>
          </cell>
          <cell r="C9" t="str">
            <v>PEP</v>
          </cell>
        </row>
        <row r="10">
          <cell r="A10" t="str">
            <v>Energy &amp; Utilities</v>
          </cell>
          <cell r="C10" t="str">
            <v>YPF</v>
          </cell>
        </row>
        <row r="11">
          <cell r="A11" t="str">
            <v>Technology</v>
          </cell>
          <cell r="C11" t="str">
            <v>MSFT</v>
          </cell>
        </row>
        <row r="12">
          <cell r="A12" t="str">
            <v>Financial Services</v>
          </cell>
          <cell r="C12" t="str">
            <v>ING</v>
          </cell>
        </row>
        <row r="13">
          <cell r="A13" t="str">
            <v>Consumer Defensive</v>
          </cell>
          <cell r="C13" t="str">
            <v>ACI</v>
          </cell>
        </row>
        <row r="14">
          <cell r="A14" t="str">
            <v>Financial Services</v>
          </cell>
          <cell r="C14" t="str">
            <v>MA</v>
          </cell>
        </row>
        <row r="15">
          <cell r="A15" t="str">
            <v>Energy &amp; Utilities</v>
          </cell>
          <cell r="C15" t="str">
            <v>NEE</v>
          </cell>
        </row>
        <row r="16">
          <cell r="A16" t="str">
            <v>Consumer Defensive</v>
          </cell>
          <cell r="C16" t="str">
            <v>KMB</v>
          </cell>
        </row>
        <row r="17">
          <cell r="A17" t="str">
            <v>Consumer Defensive</v>
          </cell>
          <cell r="C17" t="str">
            <v>INGR</v>
          </cell>
        </row>
        <row r="18">
          <cell r="A18" t="str">
            <v>ETF</v>
          </cell>
          <cell r="C18" t="str">
            <v>BOTZ.UK</v>
          </cell>
        </row>
        <row r="19">
          <cell r="A19" t="str">
            <v>ETF</v>
          </cell>
          <cell r="C19" t="str">
            <v>BATT.NL</v>
          </cell>
        </row>
        <row r="20">
          <cell r="A20" t="str">
            <v>Technology</v>
          </cell>
          <cell r="C20" t="str">
            <v>GOOGL</v>
          </cell>
        </row>
        <row r="21">
          <cell r="A21" t="str">
            <v>Healthcare</v>
          </cell>
          <cell r="C21" t="str">
            <v>AGIO</v>
          </cell>
        </row>
        <row r="22">
          <cell r="A22" t="str">
            <v>Financial Services</v>
          </cell>
          <cell r="C22" t="str">
            <v>BCS</v>
          </cell>
        </row>
        <row r="23">
          <cell r="A23" t="str">
            <v>Financial Services</v>
          </cell>
          <cell r="C23" t="str">
            <v>V</v>
          </cell>
        </row>
        <row r="24">
          <cell r="A24" t="str">
            <v>Consumer Defensive</v>
          </cell>
          <cell r="C24" t="str">
            <v>DAR</v>
          </cell>
        </row>
        <row r="25">
          <cell r="A25" t="str">
            <v>Consumer Cyclical</v>
          </cell>
          <cell r="C25" t="str">
            <v>YUM</v>
          </cell>
        </row>
        <row r="26">
          <cell r="A26" t="str">
            <v>Technology</v>
          </cell>
          <cell r="C26" t="str">
            <v>AAPL</v>
          </cell>
        </row>
        <row r="27">
          <cell r="A27" t="str">
            <v>Energy &amp; Utilities</v>
          </cell>
          <cell r="C27" t="str">
            <v>EXC</v>
          </cell>
        </row>
        <row r="28">
          <cell r="A28" t="str">
            <v>FOREX</v>
          </cell>
          <cell r="C28" t="str">
            <v>GC=F</v>
          </cell>
        </row>
        <row r="29">
          <cell r="A29" t="str">
            <v>Technology</v>
          </cell>
          <cell r="C29" t="str">
            <v>ASML</v>
          </cell>
        </row>
        <row r="30">
          <cell r="A30" t="str">
            <v>Consumer Cyclical</v>
          </cell>
          <cell r="C30" t="str">
            <v>MC.PA</v>
          </cell>
        </row>
        <row r="31">
          <cell r="A31" t="str">
            <v>Healthcare</v>
          </cell>
          <cell r="C31" t="str">
            <v>HCA</v>
          </cell>
        </row>
        <row r="32">
          <cell r="A32" t="str">
            <v>Technology</v>
          </cell>
          <cell r="C32" t="str">
            <v>QCOM</v>
          </cell>
        </row>
        <row r="33">
          <cell r="A33" t="str">
            <v>Technology</v>
          </cell>
          <cell r="C33" t="str">
            <v>AMAT</v>
          </cell>
        </row>
        <row r="34">
          <cell r="A34" t="str">
            <v>FOREX</v>
          </cell>
          <cell r="C34" t="str">
            <v>USDJPY=X</v>
          </cell>
        </row>
        <row r="35">
          <cell r="A35" t="str">
            <v>Technology</v>
          </cell>
          <cell r="C35" t="str">
            <v>NVDA</v>
          </cell>
        </row>
        <row r="36">
          <cell r="A36" t="str">
            <v>Industrials</v>
          </cell>
          <cell r="C36" t="str">
            <v>MMM</v>
          </cell>
        </row>
        <row r="37">
          <cell r="A37" t="str">
            <v>Energy &amp; Utilities</v>
          </cell>
          <cell r="C37" t="str">
            <v>DUK</v>
          </cell>
        </row>
        <row r="38">
          <cell r="A38" t="str">
            <v>Consumer Defensive</v>
          </cell>
          <cell r="C38" t="str">
            <v>WMT</v>
          </cell>
        </row>
        <row r="39">
          <cell r="A39" t="str">
            <v>Technology</v>
          </cell>
          <cell r="C39" t="str">
            <v>PLTR</v>
          </cell>
        </row>
        <row r="40">
          <cell r="A40" t="str">
            <v>Consumer Cyclical</v>
          </cell>
          <cell r="C40" t="str">
            <v>APTV</v>
          </cell>
        </row>
        <row r="41">
          <cell r="A41" t="str">
            <v>Consumer Cyclical</v>
          </cell>
          <cell r="C41" t="str">
            <v>YUMC</v>
          </cell>
        </row>
        <row r="42">
          <cell r="A42" t="str">
            <v>Energy &amp; Utilities</v>
          </cell>
          <cell r="C42" t="str">
            <v>PCG</v>
          </cell>
        </row>
        <row r="43">
          <cell r="A43" t="str">
            <v>Technology</v>
          </cell>
          <cell r="C43" t="str">
            <v>JKS</v>
          </cell>
        </row>
        <row r="44">
          <cell r="A44" t="str">
            <v>FOREX</v>
          </cell>
          <cell r="C44" t="str">
            <v>USDMXN=X</v>
          </cell>
        </row>
        <row r="45">
          <cell r="A45" t="str">
            <v>Energy &amp; Utilities</v>
          </cell>
          <cell r="C45" t="str">
            <v>SWI.US</v>
          </cell>
        </row>
        <row r="46">
          <cell r="A46" t="str">
            <v>Technology</v>
          </cell>
          <cell r="C46" t="str">
            <v>CSIQ</v>
          </cell>
        </row>
        <row r="47">
          <cell r="A47" t="str">
            <v>Technology</v>
          </cell>
          <cell r="C47" t="str">
            <v>MAXN</v>
          </cell>
        </row>
        <row r="48">
          <cell r="A48" t="str">
            <v>Financial Services</v>
          </cell>
          <cell r="C48" t="str">
            <v>BBVA.ES</v>
          </cell>
        </row>
        <row r="49">
          <cell r="A49" t="str">
            <v>Financial Services</v>
          </cell>
          <cell r="C49" t="str">
            <v>CIB</v>
          </cell>
        </row>
        <row r="50">
          <cell r="A50" t="str">
            <v>MISC</v>
          </cell>
          <cell r="C50" t="str">
            <v>AEP</v>
          </cell>
        </row>
        <row r="51">
          <cell r="A51" t="str">
            <v>MISC</v>
          </cell>
          <cell r="C51" t="str">
            <v>AVGO</v>
          </cell>
        </row>
        <row r="52">
          <cell r="A52" t="str">
            <v>MISC</v>
          </cell>
          <cell r="C52" t="str">
            <v>FLOA.UK</v>
          </cell>
        </row>
        <row r="53">
          <cell r="A53" t="str">
            <v>MISC</v>
          </cell>
          <cell r="C53" t="str">
            <v>GILD</v>
          </cell>
        </row>
        <row r="54">
          <cell r="A54" t="str">
            <v>MISC</v>
          </cell>
          <cell r="C54" t="str">
            <v>LEVI</v>
          </cell>
        </row>
        <row r="55">
          <cell r="A55" t="str">
            <v>MISC</v>
          </cell>
          <cell r="C55" t="str">
            <v>MC.FR</v>
          </cell>
        </row>
        <row r="56">
          <cell r="A56" t="str">
            <v>MISC</v>
          </cell>
          <cell r="C56" t="str">
            <v>PANW</v>
          </cell>
        </row>
        <row r="57">
          <cell r="A57" t="str">
            <v>MISC</v>
          </cell>
          <cell r="C57" t="str">
            <v>SDIA.UK</v>
          </cell>
        </row>
        <row r="58">
          <cell r="A58" t="str">
            <v>MISC</v>
          </cell>
          <cell r="C58" t="str">
            <v>SHELL.NL</v>
          </cell>
        </row>
        <row r="59">
          <cell r="A59" t="str">
            <v>MISC</v>
          </cell>
          <cell r="C59" t="str">
            <v>SMFG</v>
          </cell>
        </row>
        <row r="60">
          <cell r="A60" t="str">
            <v>MISC</v>
          </cell>
          <cell r="C60" t="str">
            <v>SQM</v>
          </cell>
        </row>
        <row r="61">
          <cell r="A61" t="str">
            <v>MISC</v>
          </cell>
          <cell r="C61" t="str">
            <v>VHYD.UK</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Walton" refreshedDate="45792.732894675923" createdVersion="8" refreshedVersion="8" minRefreshableVersion="3" recordCount="158" xr:uid="{45065A0C-342E-4D65-8F78-340DB828CC60}">
  <cacheSource type="worksheet">
    <worksheetSource ref="B13:X1048576" sheet="CLOSED POSITION HISTORY"/>
  </cacheSource>
  <cacheFields count="23">
    <cacheField name="Position" numFmtId="0">
      <sharedItems containsBlank="1" containsMixedTypes="1" containsNumber="1" containsInteger="1" minValue="1342063955" maxValue="1781449563"/>
    </cacheField>
    <cacheField name="Symbol" numFmtId="0">
      <sharedItems containsBlank="1" count="42">
        <s v="NVDA"/>
        <s v="FLOA.UK"/>
        <s v="SDIA.UK"/>
        <s v="SHELL.NL"/>
        <s v="US30"/>
        <s v="PEP"/>
        <s v="SMFG"/>
        <s v="VHYD.UK"/>
        <s v="QCOM"/>
        <s v="AVGO"/>
        <s v="GILD"/>
        <s v="TSM"/>
        <s v="WMT"/>
        <s v="DUK"/>
        <s v="NEE"/>
        <s v="GOOGL"/>
        <s v="LEVI"/>
        <s v="AEP"/>
        <s v="SQM"/>
        <s v="MSFT"/>
        <s v="PANW"/>
        <s v="V"/>
        <s v="AMAT"/>
        <s v="USDMXN"/>
        <s v="GOLD"/>
        <s v="VIX"/>
        <s v="USDJPY"/>
        <s v="MC.FR"/>
        <s v="ASML"/>
        <s v="MAXN"/>
        <s v="YUM"/>
        <s v="AAPL"/>
        <s v="ING"/>
        <s v="MA"/>
        <s v="KMB"/>
        <s v="MO"/>
        <s v="EXC"/>
        <s v="US500"/>
        <s v="VBTC.DE"/>
        <s v="FSLR"/>
        <s v=""/>
        <m/>
      </sharedItems>
    </cacheField>
    <cacheField name="Chapter" numFmtId="0">
      <sharedItems containsBlank="1" count="11">
        <s v="Technology"/>
        <s v="MISC"/>
        <s v="Other"/>
        <s v="Consumer Defensive"/>
        <s v="Energy &amp; Utilities"/>
        <s v="Financial Services"/>
        <s v="Consumer Cyclical"/>
        <s v="ETF"/>
        <m/>
        <s v="Utilities" u="1"/>
        <s v="Communication Services" u="1"/>
      </sharedItems>
    </cacheField>
    <cacheField name="ToM" numFmtId="0">
      <sharedItems containsBlank="1" containsMixedTypes="1" containsNumber="1" minValue="1.3527623091473199E-5" maxValue="10.10222483872122"/>
    </cacheField>
    <cacheField name="Type" numFmtId="0">
      <sharedItems containsBlank="1" count="3">
        <s v="Stock Holding"/>
        <s v="SWAP Contract"/>
        <m/>
      </sharedItems>
    </cacheField>
    <cacheField name="InReport" numFmtId="0">
      <sharedItems containsBlank="1" count="3">
        <b v="1"/>
        <b v="0"/>
        <m/>
      </sharedItems>
    </cacheField>
    <cacheField name="Type2" numFmtId="0">
      <sharedItems containsBlank="1"/>
    </cacheField>
    <cacheField name="Volume" numFmtId="0">
      <sharedItems containsBlank="1" containsMixedTypes="1" containsNumber="1" minValue="1E-4" maxValue="1.4632000000000001"/>
    </cacheField>
    <cacheField name="Open time" numFmtId="0">
      <sharedItems containsDate="1" containsBlank="1" containsMixedTypes="1" minDate="2024-06-03T09:00:30" maxDate="2025-04-22T17:42:55"/>
    </cacheField>
    <cacheField name="Open price" numFmtId="0">
      <sharedItems containsBlank="1" containsMixedTypes="1" containsNumber="1" minValue="1.65" maxValue="38900"/>
    </cacheField>
    <cacheField name="Close time" numFmtId="0">
      <sharedItems containsDate="1" containsBlank="1" containsMixedTypes="1" minDate="2024-06-09T11:53:14" maxDate="2025-05-15T15:32:51"/>
    </cacheField>
    <cacheField name="Close price" numFmtId="0">
      <sharedItems containsBlank="1" containsMixedTypes="1" containsNumber="1" minValue="5.8010000000000002" maxValue="38869"/>
    </cacheField>
    <cacheField name="Open origin" numFmtId="0">
      <sharedItems containsBlank="1"/>
    </cacheField>
    <cacheField name="Close origin" numFmtId="0">
      <sharedItems containsBlank="1"/>
    </cacheField>
    <cacheField name="Purchase value" numFmtId="0">
      <sharedItems containsBlank="1" containsMixedTypes="1" containsNumber="1" minValue="0.01" maxValue="51.41"/>
    </cacheField>
    <cacheField name="Sale value" numFmtId="0">
      <sharedItems containsBlank="1" containsMixedTypes="1" containsNumber="1" minValue="0.01" maxValue="49.84"/>
    </cacheField>
    <cacheField name="SL" numFmtId="0">
      <sharedItems containsBlank="1" containsMixedTypes="1" containsNumber="1" minValue="19.95" maxValue="38874"/>
    </cacheField>
    <cacheField name="TP" numFmtId="0">
      <sharedItems containsBlank="1" containsMixedTypes="1" containsNumber="1" minValue="20.021899999999999" maxValue="38933"/>
    </cacheField>
    <cacheField name="Margin" numFmtId="0">
      <sharedItems containsBlank="1" containsMixedTypes="1" containsNumber="1" minValue="5" maxValue="20"/>
    </cacheField>
    <cacheField name="Commission" numFmtId="0">
      <sharedItems containsString="0" containsBlank="1" containsNumber="1" containsInteger="1" minValue="0" maxValue="0"/>
    </cacheField>
    <cacheField name="Swap" numFmtId="0">
      <sharedItems containsString="0" containsBlank="1" containsNumber="1" minValue="-2.3199999999999998" maxValue="0"/>
    </cacheField>
    <cacheField name="Rollover" numFmtId="0">
      <sharedItems containsString="0" containsBlank="1" containsNumber="1" containsInteger="1" minValue="0" maxValue="0"/>
    </cacheField>
    <cacheField name="Gross P/L" numFmtId="0">
      <sharedItems containsString="0" containsBlank="1" containsNumber="1" minValue="-18" maxValue="31.62"/>
    </cacheField>
  </cacheFields>
  <extLst>
    <ext xmlns:x14="http://schemas.microsoft.com/office/spreadsheetml/2009/9/main" uri="{725AE2AE-9491-48be-B2B4-4EB974FC3084}">
      <x14:pivotCacheDefinition pivotCacheId="19705861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Walton" refreshedDate="45792.733844444447" createdVersion="8" refreshedVersion="8" minRefreshableVersion="3" recordCount="722" xr:uid="{1D1E7A7A-CA81-4F4C-B36C-98CA0B66F2D2}">
  <cacheSource type="worksheet">
    <worksheetSource ref="B11:J1048576" sheet="CASH OPERATION HISTORY"/>
  </cacheSource>
  <cacheFields count="12">
    <cacheField name="ID" numFmtId="0">
      <sharedItems containsBlank="1" containsMixedTypes="1" containsNumber="1" containsInteger="1" minValue="556516261" maxValue="812644050"/>
    </cacheField>
    <cacheField name="Type" numFmtId="0">
      <sharedItems containsBlank="1" count="14">
        <s v="Stock purchase"/>
        <s v="close trade"/>
        <s v="Stock sale"/>
        <s v="Subaccount Transfer"/>
        <s v="DIVIDENT"/>
        <s v="Withholding Tax"/>
        <s v="deposit"/>
        <s v="Sec Fee"/>
        <s v="swap"/>
        <s v="correction"/>
        <s v="commission"/>
        <s v="tax IFTT"/>
        <s v=""/>
        <m/>
      </sharedItems>
      <fieldGroup par="9"/>
    </cacheField>
    <cacheField name="Time" numFmtId="0">
      <sharedItems containsDate="1" containsBlank="1" containsMixedTypes="1" minDate="2024-05-31T15:00:27" maxDate="2025-05-15T18:15:45" count="423">
        <d v="2025-05-12T15:32:56"/>
        <d v="2025-03-10T09:00:37"/>
        <d v="2025-03-10T09:00:43"/>
        <d v="2025-03-10T09:01:30"/>
        <d v="2025-03-10T10:22:32"/>
        <d v="2025-03-11T09:16:24"/>
        <d v="2025-03-11T09:16:25"/>
        <d v="2024-07-22T22:12:51"/>
        <d v="2024-07-23T09:00:59"/>
        <d v="2024-07-23T09:00:57"/>
        <d v="2024-07-23T09:03:40"/>
        <d v="2024-07-23T09:05:34"/>
        <d v="2024-07-23T14:49:36"/>
        <d v="2024-07-23T14:49:34"/>
        <d v="2024-07-24T15:42:06"/>
        <d v="2025-05-12T15:33:59"/>
        <d v="2024-07-24T16:15:27"/>
        <d v="2024-07-31T15:15:13"/>
        <d v="2025-03-17T11:29:01"/>
        <d v="2024-07-31T15:23:53"/>
        <d v="2024-07-31T15:25:55"/>
        <d v="2024-07-31T15:25:56"/>
        <d v="2024-09-25T12:00:22"/>
        <d v="2024-09-25T12:00:23"/>
        <d v="2024-09-25T12:00:24"/>
        <d v="2025-03-17T11:39:20"/>
        <d v="2024-12-27T12:35:01"/>
        <d v="2025-03-13T11:57:26"/>
        <d v="2024-12-27T12:35:02"/>
        <d v="2024-12-27T12:35:03"/>
        <d v="2025-02-28T20:24:21"/>
        <d v="2024-12-27T12:35:04"/>
        <d v="2025-02-28T20:32:09"/>
        <d v="2025-02-28T20:34:09"/>
        <d v="2025-03-13T11:57:27"/>
        <d v="2025-02-28T20:33:12"/>
        <d v="2025-03-13T11:57:31"/>
        <d v="2025-03-13T11:57:30"/>
        <d v="2025-05-14T15:35:40"/>
        <d v="2025-05-15T10:53:12"/>
        <d v="2025-03-14T11:34:00"/>
        <d v="2025-01-23T17:25:13"/>
        <d v="2025-05-15T15:31:02"/>
        <d v="2025-05-15T15:31:53"/>
        <d v="2025-05-15T15:31:43"/>
        <d v="2025-05-15T15:32:09"/>
        <d v="2025-05-15T15:32:51"/>
        <d v="2025-05-15T15:33:12"/>
        <d v="2025-05-15T15:59:30"/>
        <d v="2025-03-14T20:44:56"/>
        <d v="2025-05-15T18:15:33"/>
        <d v="2025-05-15T18:15:45"/>
        <d v="2025-03-18T20:31:03"/>
        <d v="2025-03-18T20:32:18"/>
        <d v="2025-03-21T02:43:16"/>
        <d v="2025-03-25T10:15:01"/>
        <d v="2025-03-07T11:49:00"/>
        <d v="2025-03-25T20:55:21"/>
        <d v="2025-03-26T14:26:55"/>
        <d v="2025-03-26T18:37:23"/>
        <d v="2025-03-27T00:21:13"/>
        <d v="2025-03-27T14:52:06"/>
        <d v="2025-03-27T18:23:31"/>
        <d v="2025-03-27T18:23:53"/>
        <d v="2025-03-27T18:25:29"/>
        <d v="2025-03-27T18:15:56"/>
        <d v="2025-03-27T18:16:55"/>
        <d v="2025-03-27T18:23:02"/>
        <d v="2025-03-27T18:34:25"/>
        <d v="2025-03-28T15:13:56"/>
        <d v="2025-03-28T15:15:49"/>
        <d v="2025-03-28T15:11:36"/>
        <d v="2025-03-28T17:07:18"/>
        <d v="2025-03-31T11:36:03"/>
        <d v="2025-03-31T11:36:06"/>
        <d v="2025-03-31T11:36:07"/>
        <d v="2025-03-31T11:36:09"/>
        <d v="2025-03-11T20:55:13"/>
        <d v="2025-03-11T20:55:43"/>
        <d v="2025-03-11T20:55:53"/>
        <d v="2025-04-02T11:58:00"/>
        <d v="2025-01-24T11:53:01"/>
        <d v="2025-04-03T11:05:09"/>
        <d v="2025-04-04T17:21:22"/>
        <d v="2025-04-04T17:35:30"/>
        <d v="2025-04-04T17:52:49"/>
        <d v="2025-04-04T17:53:18"/>
        <d v="2025-04-04T17:44:32"/>
        <d v="2025-04-04T17:48:56"/>
        <d v="2025-04-04T17:48:55"/>
        <d v="2025-01-24T16:35:48"/>
        <d v="2025-04-07T13:54:21"/>
        <d v="2025-04-07T15:32:35"/>
        <d v="2025-04-07T15:39:09"/>
        <d v="2025-04-08T20:50:02"/>
        <d v="2025-04-08T21:07:34"/>
        <d v="2025-04-08T21:08:00"/>
        <d v="2025-04-09T15:35:06"/>
        <d v="2025-04-09T15:38:40"/>
        <d v="2025-04-10T07:56:03"/>
        <d v="2025-04-10T07:56:05"/>
        <d v="2025-04-10T07:56:04"/>
        <d v="2025-04-10T07:56:08"/>
        <d v="2025-04-14T16:04:19"/>
        <d v="2025-04-14T18:34:09"/>
        <d v="2025-04-15T14:41:39"/>
        <d v="2025-04-17T20:24:25"/>
        <d v="2025-04-17T20:26:34"/>
        <d v="2025-04-17T20:30:30"/>
        <d v="2025-04-18T17:47:13"/>
        <d v="2025-04-18T17:49:36"/>
        <d v="2025-04-21T03:11:37"/>
        <d v="2025-04-22T11:57:00"/>
        <d v="2025-04-22T18:15:37"/>
        <d v="2024-05-31T15:00:27"/>
        <d v="2024-06-03T09:00:30"/>
        <d v="2024-06-03T15:30:03"/>
        <d v="2024-06-03T21:26:52"/>
        <d v="2024-06-03T21:41:55"/>
        <d v="2024-06-05T15:30:03"/>
        <d v="2024-06-06T20:49:21"/>
        <d v="2024-06-10T15:55:35"/>
        <d v="2024-06-10T21:50:00"/>
        <d v="2024-06-10T21:55:13"/>
        <d v="2024-06-15T02:39:36"/>
        <d v="2024-06-17T15:30:16"/>
        <d v="2024-06-17T15:32:38"/>
        <d v="2024-06-17T16:27:14"/>
        <d v="2024-06-17T17:43:24"/>
        <d v="2024-06-17T21:14:49"/>
        <d v="2024-06-17T21:14:28"/>
        <d v="2024-06-18T17:01:56"/>
        <d v="2024-06-18T17:02:40"/>
        <d v="2024-06-21T15:30:03"/>
        <d v="2024-06-21T15:50:09"/>
        <d v="2024-06-21T15:52:24"/>
        <d v="2024-06-21T15:51:48"/>
        <d v="2024-06-21T15:52:34"/>
        <d v="2024-06-21T16:00:51"/>
        <d v="2024-06-21T16:10:18"/>
        <d v="2024-06-24T15:14:38"/>
        <d v="2024-06-24T15:18:53"/>
        <d v="2024-06-24T15:24:24"/>
        <d v="2024-06-24T15:25:26"/>
        <d v="2024-06-28T12:02:17"/>
        <d v="2024-07-02T23:32:10"/>
        <d v="2024-07-03T15:30:03"/>
        <d v="2024-07-03T15:48:40"/>
        <d v="2024-07-05T15:38:41"/>
        <d v="2024-07-05T15:44:23"/>
        <d v="2024-07-05T16:16:33"/>
        <d v="2024-07-08T15:15:34"/>
        <d v="2024-07-08T15:47:08"/>
        <d v="2024-07-08T15:47:33"/>
        <d v="2024-07-08T16:05:07"/>
        <d v="2024-07-08T17:03:57"/>
        <d v="2024-07-08T18:42:16"/>
        <d v="2024-07-08T18:41:49"/>
        <d v="2024-07-08T19:29:22"/>
        <d v="2024-07-08T19:49:54"/>
        <d v="2024-07-08T19:57:03"/>
        <d v="2024-07-09T15:33:59"/>
        <d v="2024-07-09T15:39:19"/>
        <d v="2024-07-09T15:39:36"/>
        <d v="2024-07-09T15:51:56"/>
        <d v="2024-07-09T15:46:53"/>
        <d v="2024-07-09T17:06:39"/>
        <d v="2024-07-09T17:07:45"/>
        <d v="2024-07-09T17:07:06"/>
        <d v="2024-07-09T17:31:09"/>
        <d v="2024-07-09T20:45:06"/>
        <d v="2024-07-09T21:58:46"/>
        <d v="2024-07-09T21:57:42"/>
        <d v="2024-07-09T21:57:37"/>
        <d v="2024-07-10T17:01:20"/>
        <d v="2024-07-10T17:04:18"/>
        <d v="2024-07-10T17:08:14"/>
        <d v="2024-07-10T18:41:53"/>
        <d v="2024-07-10T18:41:27"/>
        <d v="2024-07-10T18:41:43"/>
        <d v="2024-07-10T18:53:30"/>
        <d v="2024-07-11T12:00:03"/>
        <d v="2024-07-11T15:36:43"/>
        <d v="2024-07-11T15:41:51"/>
        <d v="2024-07-11T16:01:39"/>
        <d v="2024-07-11T16:01:28"/>
        <d v="2024-07-11T16:06:30"/>
        <d v="2024-07-11T16:16:49"/>
        <d v="2024-07-11T16:17:26"/>
        <d v="2024-07-12T17:23:29"/>
        <d v="2024-07-12T17:23:59"/>
        <d v="2024-07-22T21:52:56"/>
        <d v="2024-08-06T21:47:13"/>
        <d v="2024-08-07T17:21:39"/>
        <d v="2024-08-07T17:20:42"/>
        <d v="2024-08-07T17:20:56"/>
        <d v="2024-08-07T20:39:07"/>
        <d v="2024-08-07T20:37:52"/>
        <d v="2024-08-08T15:54:01"/>
        <d v="2024-08-14T20:15:46"/>
        <d v="2024-08-14T20:14:53"/>
        <d v="2024-08-15T12:02:48"/>
        <d v="2024-08-19T15:59:32"/>
        <d v="2024-09-03T12:00:45"/>
        <d v="2024-09-04T15:34:21"/>
        <d v="2024-09-09T15:37:01"/>
        <d v="2024-09-09T15:38:21"/>
        <d v="2024-09-12T12:00:06"/>
        <d v="2024-09-12T12:00:38"/>
        <d v="2024-09-13T15:58:40"/>
        <d v="2024-09-16T12:00:09"/>
        <d v="2024-09-16T12:00:51"/>
        <d v="2024-09-16T21:43:20"/>
        <d v="2024-09-17T16:10:48"/>
        <d v="2024-09-18T15:41:23"/>
        <d v="2024-09-24T15:35:11"/>
        <d v="2024-09-24T15:36:44"/>
        <d v="2024-09-24T15:37:31"/>
        <d v="2024-09-24T15:39:04"/>
        <d v="2024-09-25T16:21:12"/>
        <d v="2024-09-25T19:41:14"/>
        <d v="2024-09-25T19:41:24"/>
        <d v="2024-09-26T12:00:02"/>
        <d v="2024-09-26T15:36:43"/>
        <d v="2024-09-27T16:38:40"/>
        <d v="2024-09-30T12:00:20"/>
        <d v="2024-10-03T18:33:49"/>
        <d v="2024-10-03T18:36:05"/>
        <d v="2024-10-09T12:00:09"/>
        <d v="2024-10-09T14:09:04"/>
        <d v="2024-10-10T12:00:14"/>
        <d v="2024-10-14T16:49:16"/>
        <d v="2024-10-15T16:56:38"/>
        <d v="2024-10-15T16:57:20"/>
        <d v="2024-10-17T16:00:36"/>
        <d v="2024-10-17T17:45:33"/>
        <d v="2024-10-18T15:30:05"/>
        <d v="2024-10-25T17:31:45"/>
        <d v="2024-10-25T17:32:13"/>
        <d v="2024-10-28T17:25:50"/>
        <d v="2024-10-30T13:21:12"/>
        <d v="2024-10-30T22:42:00"/>
        <d v="2024-11-01T03:12:05"/>
        <d v="2024-11-01T03:02:36"/>
        <d v="2024-11-01T03:37:05"/>
        <d v="2024-11-01T03:19:47"/>
        <d v="2024-11-01T03:29:30"/>
        <d v="2024-11-01T04:01:18"/>
        <d v="2024-11-01T03:35:05"/>
        <d v="2024-11-01T04:33:12"/>
        <d v="2024-11-01T13:30:04"/>
        <d v="2024-11-01T14:38:37"/>
        <d v="2024-11-01T14:38:59"/>
        <d v="2024-11-01T14:39:39"/>
        <d v="2024-11-01T17:32:19"/>
        <d v="2024-11-01T17:32:29"/>
        <d v="2024-11-01T20:24:41"/>
        <d v="2024-11-04T16:24:51"/>
        <d v="2024-11-07T12:00:43"/>
        <d v="2024-11-07T20:55:05"/>
        <d v="2024-11-08T12:00:04"/>
        <d v="2024-11-08T13:30:26"/>
        <d v="2024-11-08T13:42:00"/>
        <d v="2024-11-08T17:15:34"/>
        <d v="2024-11-08T17:20:36"/>
        <d v="2024-11-08T18:34:58"/>
        <d v="2024-11-12T06:02:59"/>
        <d v="2024-11-12T06:00:39"/>
        <d v="2024-11-12T06:09:36"/>
        <d v="2024-11-12T08:15:05"/>
        <d v="2024-11-12T08:16:40"/>
        <d v="2024-11-12T08:26:36"/>
        <d v="2024-11-12T08:30:55"/>
        <d v="2024-11-12T17:49:13"/>
        <d v="2024-11-12T18:22:02"/>
        <d v="2024-11-12T18:25:52"/>
        <d v="2024-11-13T14:35:05"/>
        <d v="2024-11-13T15:20:00"/>
        <d v="2024-11-14T12:00:36"/>
        <d v="2024-11-14T12:00:40"/>
        <d v="2024-11-14T21:08:25"/>
        <d v="2024-11-19T10:31:03"/>
        <d v="2024-11-19T14:02:32"/>
        <d v="2024-11-25T20:33:13"/>
        <d v="2024-11-27T02:09:27"/>
        <d v="2024-11-27T13:48:42"/>
        <d v="2024-11-27T13:49:04"/>
        <d v="2024-11-27T17:59:54"/>
        <d v="2024-11-27T17:59:18"/>
        <d v="2024-11-27T17:59:19"/>
        <d v="2024-11-28T17:15:34"/>
        <d v="2024-11-30T16:44:29"/>
        <d v="2024-12-02T12:01:17"/>
        <d v="2024-12-02T12:01:18"/>
        <d v="2024-12-02T20:37:23"/>
        <d v="2024-12-02T20:38:36"/>
        <d v="2024-12-02T20:37:42"/>
        <d v="2024-12-03T09:05:07"/>
        <d v="2024-12-04T12:00:04"/>
        <d v="2024-12-04T12:00:05"/>
        <d v="2024-12-04T20:32:24"/>
        <d v="2024-12-05T15:01:10"/>
        <d v="2024-12-06T21:02:24"/>
        <d v="2024-12-12T12:00:12"/>
        <d v="2024-12-12T12:00:14"/>
        <d v="2024-12-12T12:00:23"/>
        <d v="2024-12-12T12:00:25"/>
        <d v="2024-12-13T12:02:40"/>
        <d v="2024-12-16T12:00:11"/>
        <d v="2024-12-16T12:02:48"/>
        <d v="2024-12-19T12:15:04"/>
        <d v="2024-12-19T21:13:52"/>
        <d v="2024-12-19T21:22:33"/>
        <d v="2024-12-19T21:17:57"/>
        <d v="2024-12-19T21:28:58"/>
        <d v="2024-12-19T21:38:04"/>
        <d v="2024-12-19T21:37:06"/>
        <d v="2024-12-20T14:24:47"/>
        <d v="2024-12-20T14:32:16"/>
        <d v="2024-12-20T16:42:56"/>
        <d v="2024-12-20T16:56:23"/>
        <d v="2024-12-23T13:38:17"/>
        <d v="2024-12-23T15:10:05"/>
        <d v="2024-12-24T13:55:34"/>
        <d v="2025-01-02T10:14:05"/>
        <d v="2025-01-03T12:00:03"/>
        <d v="2025-01-06T12:00:03"/>
        <d v="2025-01-06T12:00:04"/>
        <d v="2025-01-06T12:00:05"/>
        <d v="2025-01-06T16:05:40"/>
        <d v="2025-01-06T16:05:28"/>
        <d v="2025-01-06T17:27:54"/>
        <d v="2025-01-06T17:31:25"/>
        <d v="2025-01-06T17:32:52"/>
        <d v="2025-01-06T17:39:18"/>
        <d v="2025-01-06T17:32:39"/>
        <d v="2025-01-06T17:38:30"/>
        <d v="2025-01-06T17:41:30"/>
        <d v="2025-01-06T17:42:00"/>
        <d v="2025-01-07T17:02:05"/>
        <d v="2025-01-09T12:00:06"/>
        <d v="2025-01-09T12:00:08"/>
        <d v="2025-01-09T12:00:09"/>
        <d v="2025-01-09T12:00:10"/>
        <d v="2025-01-10T11:58:04"/>
        <d v="2025-01-10T11:58:08"/>
        <d v="2025-01-10T16:21:03"/>
        <d v="2025-01-10T16:28:46"/>
        <d v="2025-01-13T15:23:15"/>
        <d v="2025-01-21T11:52:00"/>
        <d v="2025-01-21T16:57:19"/>
        <d v="2025-01-21T19:58:10"/>
        <d v="2025-01-21T19:57:46"/>
        <d v="2025-01-22T16:34:04"/>
        <d v="2025-01-28T19:58:35"/>
        <d v="2025-01-28T20:03:17"/>
        <d v="2025-01-28T20:04:12"/>
        <d v="2025-01-28T20:06:37"/>
        <d v="2025-01-29T16:10:56"/>
        <d v="2025-01-29T19:59:07"/>
        <d v="2025-01-30T20:27:17"/>
        <d v="2025-01-30T20:27:55"/>
        <d v="2025-02-04T20:33:43"/>
        <d v="2025-02-04T20:47:13"/>
        <d v="2025-02-04T20:48:05"/>
        <d v="2025-02-05T20:25:46"/>
        <d v="2025-02-05T20:25:21"/>
        <d v="2025-02-05T20:31:13"/>
        <d v="2025-02-07T11:48:01"/>
        <d v="2025-02-07T11:48:02"/>
        <d v="2025-02-07T20:27:50"/>
        <d v="2025-02-07T20:30:41"/>
        <d v="2025-02-07T20:31:39"/>
        <d v="2025-02-07T20:32:56"/>
        <d v="2025-02-07T20:35:25"/>
        <d v="2025-02-10T14:58:08"/>
        <d v="2025-02-11T20:26:12"/>
        <d v="2025-02-13T11:59:13"/>
        <d v="2025-02-13T11:59:18"/>
        <d v="2025-02-13T11:59:31"/>
        <d v="2025-02-14T04:28:12"/>
        <d v="2025-02-14T13:28:50"/>
        <d v="2025-02-17T17:29:17"/>
        <d v="2025-02-18T15:40:11"/>
        <d v="2025-02-18T15:39:57"/>
        <d v="2025-02-18T20:53:11"/>
        <d v="2025-02-18T20:54:33"/>
        <d v="2025-02-19T17:25:56"/>
        <d v="2025-02-20T16:19:09"/>
        <d v="2025-02-20T16:19:32"/>
        <d v="2025-02-20T16:21:35"/>
        <d v="2025-02-20T16:22:11"/>
        <d v="2025-02-20T16:21:09"/>
        <d v="2025-02-20T16:21:36"/>
        <d v="2025-02-21T11:56:00"/>
        <d v="2025-04-30T11:43:05"/>
        <d v="2025-04-30T11:43:08"/>
        <d v="2025-04-30T15:31:13"/>
        <d v="2025-05-05T16:14:44"/>
        <d v="2025-05-05T17:10:02"/>
        <d v="2025-05-06T19:56:47"/>
        <d v="2025-05-06T19:57:00"/>
        <d v="2025-05-06T19:56:02"/>
        <d v="2025-05-06T19:57:56"/>
        <d v="2025-05-06T19:57:57"/>
        <d v="2025-05-07T18:38:23"/>
        <d v="2025-05-08T16:04:27"/>
        <d v="2025-05-08T15:51:05"/>
        <d v="2025-05-08T15:48:45"/>
        <d v="2025-05-08T15:49:05"/>
        <d v="2025-05-08T15:52:28"/>
        <d v="2025-05-08T16:04:24"/>
        <d v="2025-05-08T16:04:25"/>
        <d v="2025-05-09T11:31:00"/>
        <d v="2025-05-09T11:36:00"/>
        <d v="2025-05-09T11:54:01"/>
        <d v="2025-05-09T11:54:02"/>
        <d v="2025-05-09T15:29:05"/>
        <d v="2025-05-09T15:57:11"/>
        <d v="2025-05-09T15:57:27"/>
        <d v="2025-05-09T16:01:32"/>
        <s v=""/>
        <m/>
      </sharedItems>
    </cacheField>
    <cacheField name="Comment" numFmtId="0">
      <sharedItems containsBlank="1"/>
    </cacheField>
    <cacheField name="Symbol" numFmtId="0">
      <sharedItems containsBlank="1" count="93">
        <s v="EXC"/>
        <s v="FLOA.UK"/>
        <s v="SDIA.UK"/>
        <s v="VHYD.UK"/>
        <m/>
        <s v="CIB"/>
        <s v="NEE"/>
        <s v="GOOGL"/>
        <s v="MSFT"/>
        <s v="TSM"/>
        <s v="APA"/>
        <s v="VWO"/>
        <s v="FSLR"/>
        <s v="AAPL"/>
        <s v="QCOM"/>
        <s v="PEP"/>
        <s v="ACI"/>
        <s v="MO"/>
        <s v="AGIO"/>
        <s v="DAR"/>
        <s v="USDMXN"/>
        <s v="YUM"/>
        <s v="ING"/>
        <s v="MA"/>
        <s v="KMB"/>
        <s v="BND"/>
        <s v="V"/>
        <s v="VBTC.DE"/>
        <s v="US500"/>
        <s v="YPF"/>
        <s v="BCS"/>
        <s v="INGR"/>
        <s v="SHELL.NL"/>
        <s v="SMFG"/>
        <s v="NVDA"/>
        <s v="WMT"/>
        <s v="US30"/>
        <s v="LEVI"/>
        <s v="AVGO"/>
        <s v="AEP"/>
        <s v="GILD"/>
        <s v="DUK"/>
        <s v="SQM"/>
        <s v="AMAT"/>
        <s v="BOTZ.UK"/>
        <s v="BATT.NL"/>
        <s v="PANW"/>
        <s v="MC.FR"/>
        <s v="ASML"/>
        <s v="GOLD"/>
        <s v="MAXN"/>
        <s v="VIX"/>
        <s v="USDJPY"/>
        <s v="BBVA.ES"/>
        <s v=""/>
        <s v="EXC.US" u="1"/>
        <s v="CIB.US" u="1"/>
        <s v="NEE.US" u="1"/>
        <s v="GOOGL.US" u="1"/>
        <s v="MSFT.US" u="1"/>
        <s v="TSM.US" u="1"/>
        <s v="APA.US" u="1"/>
        <s v="VWO.US" u="1"/>
        <s v="FSLR.US" u="1"/>
        <s v="AAPL.US" u="1"/>
        <s v="QCOM.US" u="1"/>
        <s v="YUM.US" u="1"/>
        <s v="ING.US" u="1"/>
        <s v="MA.US" u="1"/>
        <s v="PEP.US" u="1"/>
        <s v="ACI.US" u="1"/>
        <s v="MO.US" u="1"/>
        <s v="AGIO.US" u="1"/>
        <s v="KMB.US" u="1"/>
        <s v="BND.US" u="1"/>
        <s v="V.US" u="1"/>
        <s v="YPF.US" u="1"/>
        <s v="BCS.US" u="1"/>
        <s v="INGR.US" u="1"/>
        <s v="SMFG.US" u="1"/>
        <s v="NVDA.US" u="1"/>
        <s v="WMT.US" u="1"/>
        <s v="LEVI.US" u="1"/>
        <s v="AVGO.US" u="1"/>
        <s v="AEP.US" u="1"/>
        <s v="GILD.US" u="1"/>
        <s v="DUK.US" u="1"/>
        <s v="SQM.US" u="1"/>
        <s v="AMAT.US" u="1"/>
        <s v="PANW.US" u="1"/>
        <s v="ASML.US" u="1"/>
        <s v="MAXN.US" u="1"/>
        <s v="DAR.US" u="1"/>
      </sharedItems>
    </cacheField>
    <cacheField name="Chapter" numFmtId="0">
      <sharedItems containsBlank="1" count="13">
        <s v="Energy &amp; Utilities"/>
        <s v="MISC"/>
        <s v="Other"/>
        <s v="Financial Services"/>
        <s v="Technology"/>
        <s v="ETF"/>
        <s v="Consumer Defensive"/>
        <s v="Healthcare"/>
        <s v="Consumer Cyclical"/>
        <m/>
        <s v="Utilities" u="1"/>
        <s v="Communication Services" u="1"/>
        <s v="Energy" u="1"/>
      </sharedItems>
    </cacheField>
    <cacheField name="InReport" numFmtId="0">
      <sharedItems containsBlank="1"/>
    </cacheField>
    <cacheField name="DATE" numFmtId="0">
      <sharedItems containsBlank="1" count="796">
        <s v="2025-05-12"/>
        <s v="2025-03-10"/>
        <s v="2025-03-11"/>
        <s v="2024-07-22"/>
        <s v="2024-07-23"/>
        <s v="2024-07-24"/>
        <s v="2024-07-31"/>
        <s v="2025-03-17"/>
        <s v="2024-09-25"/>
        <s v="2024-12-27"/>
        <s v="2025-03-13"/>
        <s v="2025-02-28"/>
        <s v="2025-05-14"/>
        <s v="2025-05-15"/>
        <s v="2025-03-14"/>
        <s v="2025-01-23"/>
        <s v="2025-03-18"/>
        <s v="2025-03-21"/>
        <s v="2025-03-25"/>
        <s v="2025-03-07"/>
        <s v="2025-03-26"/>
        <s v="2025-03-27"/>
        <s v="2025-03-28"/>
        <s v="2025-03-31"/>
        <s v="2025-04-02"/>
        <s v="2025-01-24"/>
        <s v="2025-04-03"/>
        <s v="2025-04-04"/>
        <s v="2025-04-07"/>
        <s v="2025-04-08"/>
        <s v="2025-04-09"/>
        <s v="2025-04-10"/>
        <s v="2025-04-14"/>
        <s v="2025-04-15"/>
        <s v="2025-04-17"/>
        <s v="2025-04-18"/>
        <s v="2025-04-21"/>
        <s v="2025-04-22"/>
        <s v="2024-05-31"/>
        <s v="2024-06-03"/>
        <s v="2024-06-05"/>
        <s v="2024-06-06"/>
        <s v="2024-06-10"/>
        <s v="2024-06-15"/>
        <s v="2024-06-17"/>
        <s v="2024-06-18"/>
        <s v="2024-06-21"/>
        <s v="2024-06-24"/>
        <s v="2024-06-28"/>
        <s v="2024-07-02"/>
        <s v="2024-07-03"/>
        <s v="2024-07-05"/>
        <s v="2024-07-08"/>
        <s v="2024-07-09"/>
        <s v="2024-07-10"/>
        <s v="2024-07-11"/>
        <s v="2024-07-12"/>
        <s v="2024-08-06"/>
        <s v="2024-08-07"/>
        <s v="2024-08-08"/>
        <s v="2024-08-14"/>
        <s v="2024-08-15"/>
        <s v="2024-08-19"/>
        <s v="2024-09-03"/>
        <s v="2024-09-04"/>
        <s v="2024-09-09"/>
        <s v="2024-09-12"/>
        <s v="2024-09-13"/>
        <s v="2024-09-16"/>
        <s v="2024-09-17"/>
        <s v="2024-09-18"/>
        <s v="2024-09-24"/>
        <s v="2024-09-26"/>
        <s v="2024-09-27"/>
        <s v="2024-09-30"/>
        <s v="2024-10-03"/>
        <s v="2024-10-09"/>
        <s v="2024-10-10"/>
        <s v="2024-10-14"/>
        <s v="2024-10-15"/>
        <s v="2024-10-17"/>
        <s v="2024-10-18"/>
        <s v="2024-10-25"/>
        <s v="2024-10-28"/>
        <s v="2024-10-30"/>
        <s v="2024-11-01"/>
        <s v="2024-11-04"/>
        <s v="2024-11-07"/>
        <s v="2024-11-08"/>
        <s v="2024-11-12"/>
        <s v="2024-11-13"/>
        <s v="2024-11-14"/>
        <s v="2024-11-19"/>
        <s v="2024-11-25"/>
        <s v="2024-11-27"/>
        <s v="2024-11-28"/>
        <s v="2024-11-30"/>
        <s v="2024-12-02"/>
        <s v="2024-12-03"/>
        <s v="2024-12-04"/>
        <s v="2024-12-05"/>
        <s v="2024-12-06"/>
        <s v="2024-12-12"/>
        <s v="2024-12-13"/>
        <s v="2024-12-16"/>
        <s v="2024-12-19"/>
        <s v="2024-12-20"/>
        <s v="2024-12-23"/>
        <s v="2024-12-24"/>
        <s v="2025-01-02"/>
        <s v="2025-01-03"/>
        <s v="2025-01-06"/>
        <s v="2025-01-07"/>
        <s v="2025-01-09"/>
        <s v="2025-01-10"/>
        <s v="2025-01-13"/>
        <s v="2025-01-21"/>
        <s v="2025-01-22"/>
        <s v="2025-01-28"/>
        <s v="2025-01-29"/>
        <s v="2025-01-30"/>
        <s v="2025-02-04"/>
        <s v="2025-02-05"/>
        <s v="2025-02-07"/>
        <s v="2025-02-10"/>
        <s v="2025-02-11"/>
        <s v="2025-02-13"/>
        <s v="2025-02-14"/>
        <s v="2025-02-17"/>
        <s v="2025-02-18"/>
        <s v="2025-02-19"/>
        <s v="2025-02-20"/>
        <s v="2025-02-21"/>
        <s v="2025-04-30"/>
        <s v="2025-05-05"/>
        <s v="2025-05-06"/>
        <s v="2025-05-07"/>
        <s v="2025-05-08"/>
        <s v="2025-05-09"/>
        <s v=""/>
        <m/>
        <s v="2025-03-19" u="1"/>
        <s v="2025-03-20" u="1"/>
        <s v="2025-03-22" u="1"/>
        <s v="2025-03-23" u="1"/>
        <s v="2025-03-24" u="1"/>
        <s v="2025-03-29" u="1"/>
        <s v="2025-03-30" u="1"/>
        <s v="2025-03-32" u="1"/>
        <s v="2025-03-33" u="1"/>
        <s v="2025-03-34" u="1"/>
        <s v="2025-03-35" u="1"/>
        <s v="2025-03-36" u="1"/>
        <s v="2025-03-37" u="1"/>
        <s v="2025-03-38" u="1"/>
        <s v="2025-03-39" u="1"/>
        <s v="2025-03-40" u="1"/>
        <s v="2025-03-41" u="1"/>
        <s v="2025-03-42" u="1"/>
        <s v="2025-03-43" u="1"/>
        <s v="2025-03-44" u="1"/>
        <s v="2025-03-45" u="1"/>
        <s v="2025-03-46" u="1"/>
        <s v="2025-03-47" u="1"/>
        <s v="2025-03-48" u="1"/>
        <s v="2025-03-49" u="1"/>
        <s v="2025-03-50" u="1"/>
        <s v="2025-03-51" u="1"/>
        <s v="2025-03-52" u="1"/>
        <s v="2025-03-53" u="1"/>
        <s v="2025-03-54" u="1"/>
        <s v="2025-03-55" u="1"/>
        <s v="2025-03-56" u="1"/>
        <s v="2025-03-57" u="1"/>
        <s v="2025-03-58" u="1"/>
        <s v="2025-03-59" u="1"/>
        <s v="2025-03-60" u="1"/>
        <s v="2025-03-61" u="1"/>
        <s v="2025-03-62" u="1"/>
        <s v="2025-03-63" u="1"/>
        <s v="2025-03-64" u="1"/>
        <s v="2025-03-65" u="1"/>
        <s v="2025-03-66" u="1"/>
        <s v="2025-03-67" u="1"/>
        <s v="2025-03-68" u="1"/>
        <s v="2025-03-69" u="1"/>
        <s v="2025-03-70" u="1"/>
        <s v="2025-03-71" u="1"/>
        <s v="2025-03-72" u="1"/>
        <s v="2025-03-73" u="1"/>
        <s v="2025-03-74" u="1"/>
        <s v="2025-03-75" u="1"/>
        <s v="2025-03-76" u="1"/>
        <s v="2025-03-77" u="1"/>
        <s v="2025-03-78" u="1"/>
        <s v="2025-03-79" u="1"/>
        <s v="2025-03-80" u="1"/>
        <s v="2025-03-81" u="1"/>
        <s v="2025-03-82" u="1"/>
        <s v="2025-03-83" u="1"/>
        <s v="2025-03-84" u="1"/>
        <s v="2025-03-85" u="1"/>
        <s v="2025-03-86" u="1"/>
        <s v="2025-03-87" u="1"/>
        <s v="2025-03-88" u="1"/>
        <s v="2025-03-89" u="1"/>
        <s v="2025-03-90" u="1"/>
        <s v="2025-03-91" u="1"/>
        <s v="2025-03-92" u="1"/>
        <s v="2025-03-93" u="1"/>
        <s v="2025-03-94" u="1"/>
        <s v="2025-03-95" u="1"/>
        <s v="2025-03-96" u="1"/>
        <s v="2025-03-97" u="1"/>
        <s v="2025-03-98" u="1"/>
        <s v="2025-03-99" u="1"/>
        <s v="2025-03-100" u="1"/>
        <s v="2025-03-101" u="1"/>
        <s v="2025-03-102" u="1"/>
        <s v="2025-03-103" u="1"/>
        <s v="2025-03-104" u="1"/>
        <s v="2025-03-105" u="1"/>
        <s v="2025-03-106" u="1"/>
        <s v="2025-03-107" u="1"/>
        <s v="2025-03-108" u="1"/>
        <s v="2025-03-109" u="1"/>
        <s v="2025-03-110" u="1"/>
        <s v="2025-03-111" u="1"/>
        <s v="2025-03-112" u="1"/>
        <s v="2025-03-113" u="1"/>
        <s v="2025-03-114" u="1"/>
        <s v="2025-03-115" u="1"/>
        <s v="2025-03-116" u="1"/>
        <s v="2025-03-117" u="1"/>
        <s v="2025-03-118" u="1"/>
        <s v="2025-03-119" u="1"/>
        <s v="2025-03-120" u="1"/>
        <s v="2025-03-121" u="1"/>
        <s v="2025-03-122" u="1"/>
        <s v="2025-03-123" u="1"/>
        <s v="2025-03-124" u="1"/>
        <s v="2025-03-125" u="1"/>
        <s v="2025-03-126" u="1"/>
        <s v="2025-03-127" u="1"/>
        <s v="2025-03-128" u="1"/>
        <s v="2025-03-129" u="1"/>
        <s v="2025-03-130" u="1"/>
        <s v="2025-03-131" u="1"/>
        <s v="2025-03-132" u="1"/>
        <s v="2025-03-133" u="1"/>
        <s v="2025-03-134" u="1"/>
        <s v="2025-03-135" u="1"/>
        <s v="2025-03-136" u="1"/>
        <s v="2025-03-137" u="1"/>
        <s v="2025-03-138" u="1"/>
        <s v="2025-03-139" u="1"/>
        <s v="2025-03-140" u="1"/>
        <s v="2025-03-141" u="1"/>
        <s v="2025-03-142" u="1"/>
        <s v="2025-03-143" u="1"/>
        <s v="2025-03-144" u="1"/>
        <s v="2025-03-145" u="1"/>
        <s v="2025-03-146" u="1"/>
        <s v="2025-03-147" u="1"/>
        <s v="2025-03-148" u="1"/>
        <s v="2025-03-149" u="1"/>
        <s v="2025-03-150" u="1"/>
        <s v="2025-03-151" u="1"/>
        <s v="2025-03-152" u="1"/>
        <s v="2025-03-153" u="1"/>
        <s v="2025-03-154" u="1"/>
        <s v="2025-03-155" u="1"/>
        <s v="2025-03-156" u="1"/>
        <s v="2025-03-157" u="1"/>
        <s v="2025-03-158" u="1"/>
        <s v="2025-03-159" u="1"/>
        <s v="2025-03-160" u="1"/>
        <s v="2025-03-161" u="1"/>
        <s v="2025-03-162" u="1"/>
        <s v="2025-03-163" u="1"/>
        <s v="2025-03-164" u="1"/>
        <s v="2025-03-165" u="1"/>
        <s v="2025-03-166" u="1"/>
        <s v="2025-03-167" u="1"/>
        <s v="2025-03-168" u="1"/>
        <s v="2025-03-169" u="1"/>
        <s v="2025-03-170" u="1"/>
        <s v="2025-03-171" u="1"/>
        <s v="2025-03-172" u="1"/>
        <s v="2025-03-173" u="1"/>
        <s v="2025-03-174" u="1"/>
        <s v="2025-03-175" u="1"/>
        <s v="2025-03-176" u="1"/>
        <s v="2025-03-177" u="1"/>
        <s v="2025-03-178" u="1"/>
        <s v="2025-03-179" u="1"/>
        <s v="2025-03-180" u="1"/>
        <s v="2025-03-181" u="1"/>
        <s v="2025-03-182" u="1"/>
        <s v="2025-03-183" u="1"/>
        <s v="2025-03-184" u="1"/>
        <s v="2025-03-185" u="1"/>
        <s v="2025-03-186" u="1"/>
        <s v="2025-03-187" u="1"/>
        <s v="2025-03-188" u="1"/>
        <s v="2025-03-189" u="1"/>
        <s v="2025-03-190" u="1"/>
        <s v="2025-03-191" u="1"/>
        <s v="2025-03-192" u="1"/>
        <s v="2025-03-193" u="1"/>
        <s v="2025-03-194" u="1"/>
        <s v="2025-03-195" u="1"/>
        <s v="2025-03-196" u="1"/>
        <s v="2025-03-197" u="1"/>
        <s v="2025-03-198" u="1"/>
        <s v="2025-03-199" u="1"/>
        <s v="2025-03-200" u="1"/>
        <s v="2025-03-201" u="1"/>
        <s v="2025-03-202" u="1"/>
        <s v="2025-03-203" u="1"/>
        <s v="2025-03-204" u="1"/>
        <s v="2025-03-205" u="1"/>
        <s v="2025-03-206" u="1"/>
        <s v="2025-03-207" u="1"/>
        <s v="2025-03-208" u="1"/>
        <s v="2025-03-209" u="1"/>
        <s v="2025-03-210" u="1"/>
        <s v="2025-03-211" u="1"/>
        <s v="2025-03-212" u="1"/>
        <s v="2025-03-213" u="1"/>
        <s v="2025-03-214" u="1"/>
        <s v="2025-03-215" u="1"/>
        <s v="2025-03-216" u="1"/>
        <s v="2025-03-217" u="1"/>
        <s v="2025-03-218" u="1"/>
        <s v="2025-03-219" u="1"/>
        <s v="2025-03-220" u="1"/>
        <s v="2025-03-221" u="1"/>
        <s v="2025-03-222" u="1"/>
        <s v="2025-03-223" u="1"/>
        <s v="2025-03-224" u="1"/>
        <s v="2025-03-225" u="1"/>
        <s v="2025-03-226" u="1"/>
        <s v="2025-03-227" u="1"/>
        <s v="2025-03-228" u="1"/>
        <s v="2025-03-229" u="1"/>
        <s v="2025-03-230" u="1"/>
        <s v="2025-03-231" u="1"/>
        <s v="2025-03-232" u="1"/>
        <s v="2025-03-233" u="1"/>
        <s v="2025-03-234" u="1"/>
        <s v="2025-03-235" u="1"/>
        <s v="2025-03-236" u="1"/>
        <s v="2025-03-237" u="1"/>
        <s v="2025-03-238" u="1"/>
        <s v="2025-03-239" u="1"/>
        <s v="2025-03-240" u="1"/>
        <s v="2025-03-241" u="1"/>
        <s v="2025-03-242" u="1"/>
        <s v="2025-03-243" u="1"/>
        <s v="2025-03-244" u="1"/>
        <s v="2025-03-245" u="1"/>
        <s v="2025-03-246" u="1"/>
        <s v="2025-03-247" u="1"/>
        <s v="2025-03-248" u="1"/>
        <s v="2025-03-249" u="1"/>
        <s v="2025-03-250" u="1"/>
        <s v="2025-03-251" u="1"/>
        <s v="2025-03-252" u="1"/>
        <s v="2025-03-253" u="1"/>
        <s v="2025-03-254" u="1"/>
        <s v="2025-03-255" u="1"/>
        <s v="2025-03-256" u="1"/>
        <s v="2025-03-257" u="1"/>
        <s v="2025-03-258" u="1"/>
        <s v="2025-03-259" u="1"/>
        <s v="2025-03-260" u="1"/>
        <s v="2025-03-261" u="1"/>
        <s v="2025-03-262" u="1"/>
        <s v="2025-03-263" u="1"/>
        <s v="2025-03-264" u="1"/>
        <s v="2025-03-265" u="1"/>
        <s v="2025-03-266" u="1"/>
        <s v="2025-03-267" u="1"/>
        <s v="2025-03-268" u="1"/>
        <s v="2025-03-269" u="1"/>
        <s v="2025-03-270" u="1"/>
        <s v="2025-03-271" u="1"/>
        <s v="2025-03-272" u="1"/>
        <s v="2025-03-273" u="1"/>
        <s v="2025-03-274" u="1"/>
        <s v="2025-03-275" u="1"/>
        <s v="2025-03-276" u="1"/>
        <s v="2025-03-277" u="1"/>
        <s v="2025-03-278" u="1"/>
        <s v="2025-03-279" u="1"/>
        <s v="2025-03-280" u="1"/>
        <s v="2025-03-281" u="1"/>
        <s v="2025-03-282" u="1"/>
        <s v="2025-03-283" u="1"/>
        <s v="2025-03-284" u="1"/>
        <s v="2025-03-285" u="1"/>
        <s v="2025-03-286" u="1"/>
        <s v="2025-03-287" u="1"/>
        <s v="2025-03-288" u="1"/>
        <s v="2025-03-289" u="1"/>
        <s v="2025-03-290" u="1"/>
        <s v="2025-03-291" u="1"/>
        <s v="2025-03-292" u="1"/>
        <s v="2025-03-293" u="1"/>
        <s v="2025-03-294" u="1"/>
        <s v="2025-03-295" u="1"/>
        <s v="2025-03-296" u="1"/>
        <s v="2025-03-297" u="1"/>
        <s v="2025-03-298" u="1"/>
        <s v="2025-03-299" u="1"/>
        <s v="2025-03-300" u="1"/>
        <s v="2025-03-301" u="1"/>
        <s v="2025-03-302" u="1"/>
        <s v="2025-03-303" u="1"/>
        <s v="2025-03-304" u="1"/>
        <s v="2025-03-305" u="1"/>
        <s v="2025-03-306" u="1"/>
        <s v="2025-03-307" u="1"/>
        <s v="2025-03-308" u="1"/>
        <s v="2025-03-309" u="1"/>
        <s v="2025-03-310" u="1"/>
        <s v="2025-03-311" u="1"/>
        <s v="2025-03-312" u="1"/>
        <s v="2025-03-313" u="1"/>
        <s v="2025-03-314" u="1"/>
        <s v="2025-03-315" u="1"/>
        <s v="2025-03-316" u="1"/>
        <s v="2025-03-317" u="1"/>
        <s v="2025-03-318" u="1"/>
        <s v="2025-03-319" u="1"/>
        <s v="2025-03-320" u="1"/>
        <s v="2025-03-321" u="1"/>
        <s v="2025-03-322" u="1"/>
        <s v="2025-03-323" u="1"/>
        <s v="2025-03-324" u="1"/>
        <s v="2025-03-325" u="1"/>
        <s v="2025-03-326" u="1"/>
        <s v="2025-03-327" u="1"/>
        <s v="2025-03-328" u="1"/>
        <s v="2025-03-329" u="1"/>
        <s v="2025-03-330" u="1"/>
        <s v="2025-03-331" u="1"/>
        <s v="2025-03-332" u="1"/>
        <s v="2025-03-333" u="1"/>
        <s v="2025-03-334" u="1"/>
        <s v="2025-03-335" u="1"/>
        <s v="2025-03-336" u="1"/>
        <s v="2025-03-337" u="1"/>
        <s v="2025-03-338" u="1"/>
        <s v="2025-03-339" u="1"/>
        <s v="2025-03-340" u="1"/>
        <s v="2025-03-341" u="1"/>
        <s v="2025-03-342" u="1"/>
        <s v="2025-03-343" u="1"/>
        <s v="2025-03-344" u="1"/>
        <s v="2025-03-345" u="1"/>
        <s v="2025-03-346" u="1"/>
        <s v="2025-03-347" u="1"/>
        <s v="2025-03-348" u="1"/>
        <s v="2025-03-349" u="1"/>
        <s v="2025-03-350" u="1"/>
        <s v="2025-03-351" u="1"/>
        <s v="2025-03-352" u="1"/>
        <s v="2025-03-353" u="1"/>
        <s v="2025-03-354" u="1"/>
        <s v="2025-03-355" u="1"/>
        <s v="2025-03-356" u="1"/>
        <s v="2025-03-357" u="1"/>
        <s v="2025-03-358" u="1"/>
        <s v="2025-03-359" u="1"/>
        <s v="2025-03-360" u="1"/>
        <s v="2025-03-361" u="1"/>
        <s v="2025-03-362" u="1"/>
        <s v="2025-03-363" u="1"/>
        <s v="2025-03-364" u="1"/>
        <s v="2025-03-365" u="1"/>
        <s v="2025-03-366" u="1"/>
        <s v="2025-03-367" u="1"/>
        <s v="2025-03-368" u="1"/>
        <s v="2025-03-369" u="1"/>
        <s v="2025-03-370" u="1"/>
        <s v="2025-03-371" u="1"/>
        <s v="2025-03-372" u="1"/>
        <s v="2025-03-373" u="1"/>
        <s v="2025-03-374" u="1"/>
        <s v="2025-03-375" u="1"/>
        <s v="2025-03-376" u="1"/>
        <s v="2025-03-377" u="1"/>
        <s v="2025-03-378" u="1"/>
        <s v="2025-03-379" u="1"/>
        <s v="2025-03-380" u="1"/>
        <s v="2025-03-381" u="1"/>
        <s v="2025-03-382" u="1"/>
        <s v="2025-03-383" u="1"/>
        <s v="2025-03-384" u="1"/>
        <s v="2025-03-385" u="1"/>
        <s v="2025-03-386" u="1"/>
        <s v="2025-03-387" u="1"/>
        <s v="2025-03-388" u="1"/>
        <s v="2025-03-389" u="1"/>
        <s v="2025-03-390" u="1"/>
        <s v="2025-03-391" u="1"/>
        <s v="2025-03-392" u="1"/>
        <s v="2025-03-393" u="1"/>
        <s v="2025-03-394" u="1"/>
        <s v="2025-03-395" u="1"/>
        <s v="2025-03-396" u="1"/>
        <s v="2025-03-397" u="1"/>
        <s v="2025-03-398" u="1"/>
        <s v="2025-03-399" u="1"/>
        <s v="2025-03-400" u="1"/>
        <s v="2025-03-401" u="1"/>
        <s v="2025-03-402" u="1"/>
        <s v="2025-03-403" u="1"/>
        <s v="2025-03-404" u="1"/>
        <s v="2025-03-405" u="1"/>
        <s v="2025-03-406" u="1"/>
        <s v="2025-03-407" u="1"/>
        <s v="2025-03-408" u="1"/>
        <s v="2025-03-409" u="1"/>
        <s v="2025-03-410" u="1"/>
        <s v="2025-03-411" u="1"/>
        <s v="2025-03-412" u="1"/>
        <s v="2025-03-413" u="1"/>
        <s v="2025-03-414" u="1"/>
        <s v="2025-03-415" u="1"/>
        <s v="2025-03-416" u="1"/>
        <s v="2025-03-417" u="1"/>
        <s v="2025-03-418" u="1"/>
        <s v="2025-03-419" u="1"/>
        <s v="2025-03-420" u="1"/>
        <s v="2025-03-421" u="1"/>
        <s v="2025-03-422" u="1"/>
        <s v="2025-03-423" u="1"/>
        <s v="2025-03-424" u="1"/>
        <s v="2025-03-425" u="1"/>
        <s v="2025-03-426" u="1"/>
        <s v="2025-03-427" u="1"/>
        <s v="2025-03-428" u="1"/>
        <s v="2025-03-429" u="1"/>
        <s v="2025-03-430" u="1"/>
        <s v="2025-03-431" u="1"/>
        <s v="2025-03-432" u="1"/>
        <s v="2025-03-433" u="1"/>
        <s v="2025-03-434" u="1"/>
        <s v="2025-03-435" u="1"/>
        <s v="2025-03-436" u="1"/>
        <s v="2025-03-437" u="1"/>
        <s v="2025-03-438" u="1"/>
        <s v="2025-03-439" u="1"/>
        <s v="2025-03-440" u="1"/>
        <s v="2025-03-441" u="1"/>
        <s v="2025-03-442" u="1"/>
        <s v="2025-03-443" u="1"/>
        <s v="2025-03-444" u="1"/>
        <s v="2025-03-445" u="1"/>
        <s v="2025-03-446" u="1"/>
        <s v="2025-03-447" u="1"/>
        <s v="2025-03-448" u="1"/>
        <s v="2025-03-449" u="1"/>
        <s v="2025-03-450" u="1"/>
        <s v="2025-03-451" u="1"/>
        <s v="2025-03-452" u="1"/>
        <s v="2025-03-453" u="1"/>
        <s v="2025-03-454" u="1"/>
        <s v="2025-03-455" u="1"/>
        <s v="2025-03-456" u="1"/>
        <s v="2025-03-457" u="1"/>
        <s v="2025-03-458" u="1"/>
        <s v="2025-03-459" u="1"/>
        <s v="2025-03-460" u="1"/>
        <s v="2025-03-461" u="1"/>
        <s v="2025-03-462" u="1"/>
        <s v="2025-03-463" u="1"/>
        <s v="2025-03-464" u="1"/>
        <s v="2025-03-465" u="1"/>
        <s v="2025-03-466" u="1"/>
        <s v="2025-03-467" u="1"/>
        <s v="2025-03-468" u="1"/>
        <s v="2025-03-469" u="1"/>
        <s v="2025-03-470" u="1"/>
        <s v="2025-03-471" u="1"/>
        <s v="2025-03-472" u="1"/>
        <s v="2025-03-473" u="1"/>
        <s v="2025-03-474" u="1"/>
        <s v="2025-03-475" u="1"/>
        <s v="2025-03-476" u="1"/>
        <s v="2025-03-477" u="1"/>
        <s v="2025-03-478" u="1"/>
        <s v="2025-03-479" u="1"/>
        <s v="2025-03-480" u="1"/>
        <s v="2025-03-481" u="1"/>
        <s v="2025-03-482" u="1"/>
        <s v="2025-03-483" u="1"/>
        <s v="2025-03-484" u="1"/>
        <s v="2025-03-485" u="1"/>
        <s v="2025-03-486" u="1"/>
        <s v="2025-03-487" u="1"/>
        <s v="2025-03-488" u="1"/>
        <s v="2025-03-489" u="1"/>
        <s v="2025-03-490" u="1"/>
        <s v="2025-03-491" u="1"/>
        <s v="2025-03-492" u="1"/>
        <s v="2025-03-493" u="1"/>
        <s v="2025-03-494" u="1"/>
        <s v="2025-03-495" u="1"/>
        <s v="2025-03-496" u="1"/>
        <s v="2025-03-497" u="1"/>
        <s v="2025-03-498" u="1"/>
        <s v="2025-03-499" u="1"/>
        <s v="2025-03-500" u="1"/>
        <s v="2025-03-501" u="1"/>
        <s v="2025-03-502" u="1"/>
        <s v="2025-03-503" u="1"/>
        <s v="2025-03-504" u="1"/>
        <s v="2025-03-505" u="1"/>
        <s v="2025-03-506" u="1"/>
        <s v="2025-03-507" u="1"/>
        <s v="2025-03-508" u="1"/>
        <s v="2025-03-509" u="1"/>
        <s v="2025-03-510" u="1"/>
        <s v="2025-03-511" u="1"/>
        <s v="2025-03-512" u="1"/>
        <s v="2025-03-513" u="1"/>
        <s v="2025-03-514" u="1"/>
        <s v="2025-03-515" u="1"/>
        <s v="2025-03-516" u="1"/>
        <s v="2025-03-517" u="1"/>
        <s v="2025-03-518" u="1"/>
        <s v="2025-03-519" u="1"/>
        <s v="2025-03-520" u="1"/>
        <s v="2025-03-521" u="1"/>
        <s v="2025-03-522" u="1"/>
        <s v="2025-03-523" u="1"/>
        <s v="2025-03-524" u="1"/>
        <s v="2025-03-525" u="1"/>
        <s v="2025-03-526" u="1"/>
        <s v="2025-03-527" u="1"/>
        <s v="2025-03-528" u="1"/>
        <s v="2025-03-529" u="1"/>
        <s v="2025-03-530" u="1"/>
        <s v="2025-03-531" u="1"/>
        <s v="2025-03-532" u="1"/>
        <s v="2025-03-533" u="1"/>
        <s v="2025-03-534" u="1"/>
        <s v="2025-03-535" u="1"/>
        <s v="2025-03-536" u="1"/>
        <s v="2025-03-537" u="1"/>
        <s v="2025-03-538" u="1"/>
        <s v="2025-03-539" u="1"/>
        <s v="2025-03-540" u="1"/>
        <s v="2025-03-541" u="1"/>
        <s v="2025-03-542" u="1"/>
        <s v="2025-03-543" u="1"/>
        <s v="2025-03-544" u="1"/>
        <s v="2025-03-545" u="1"/>
        <s v="2025-03-546" u="1"/>
        <s v="2025-03-547" u="1"/>
        <s v="2025-03-548" u="1"/>
        <s v="2025-03-549" u="1"/>
        <s v="2025-03-550" u="1"/>
        <s v="2025-03-551" u="1"/>
        <s v="2025-03-552" u="1"/>
        <s v="2025-03-553" u="1"/>
        <s v="2025-03-554" u="1"/>
        <s v="2025-03-555" u="1"/>
        <s v="2025-03-556" u="1"/>
        <s v="2025-03-557" u="1"/>
        <s v="2025-03-558" u="1"/>
        <s v="2025-03-559" u="1"/>
        <s v="2025-03-560" u="1"/>
        <s v="2025-03-561" u="1"/>
        <s v="2025-03-562" u="1"/>
        <s v="2025-03-563" u="1"/>
        <s v="2025-03-564" u="1"/>
        <s v="2025-03-565" u="1"/>
        <s v="2025-03-566" u="1"/>
        <s v="2025-03-567" u="1"/>
        <s v="2025-03-568" u="1"/>
        <s v="2025-03-569" u="1"/>
        <s v="2025-03-570" u="1"/>
        <s v="2025-03-571" u="1"/>
        <s v="2025-03-572" u="1"/>
        <s v="2025-03-573" u="1"/>
        <s v="2025-03-574" u="1"/>
        <s v="2025-03-575" u="1"/>
        <s v="2025-03-576" u="1"/>
        <s v="2025-03-577" u="1"/>
        <s v="2025-03-578" u="1"/>
        <s v="2025-03-579" u="1"/>
        <s v="2025-03-580" u="1"/>
        <s v="2025-03-581" u="1"/>
        <s v="2025-03-582" u="1"/>
        <s v="2025-03-583" u="1"/>
        <s v="2025-03-584" u="1"/>
        <s v="2025-03-585" u="1"/>
        <s v="2025-03-586" u="1"/>
        <s v="2025-03-587" u="1"/>
        <s v="2025-03-588" u="1"/>
        <s v="2025-03-589" u="1"/>
        <s v="2025-03-590" u="1"/>
        <s v="2025-03-591" u="1"/>
        <s v="2025-03-592" u="1"/>
        <s v="2025-03-593" u="1"/>
        <s v="2025-03-594" u="1"/>
        <s v="2025-03-595" u="1"/>
        <s v="2025-03-596" u="1"/>
        <s v="2025-03-597" u="1"/>
        <s v="2025-03-598" u="1"/>
        <s v="2025-03-599" u="1"/>
        <s v="2025-03-600" u="1"/>
        <s v="2025-03-601" u="1"/>
        <s v="2025-03-602" u="1"/>
        <s v="2025-03-603" u="1"/>
        <s v="2025-03-604" u="1"/>
        <s v="2025-03-605" u="1"/>
        <s v="2025-03-606" u="1"/>
        <s v="2025-03-607" u="1"/>
        <s v="2025-03-608" u="1"/>
        <s v="2025-03-609" u="1"/>
        <s v="2025-03-610" u="1"/>
        <s v="2025-03-611" u="1"/>
        <s v="2025-03-612" u="1"/>
        <s v="2025-03-613" u="1"/>
        <s v="2025-03-614" u="1"/>
        <s v="2025-03-615" u="1"/>
        <s v="2025-03-616" u="1"/>
        <s v="2025-03-617" u="1"/>
        <s v="2025-03-618" u="1"/>
        <s v="2025-03-619" u="1"/>
        <s v="2025-03-620" u="1"/>
        <s v="2025-03-621" u="1"/>
        <s v="2025-03-622" u="1"/>
        <s v="2025-03-623" u="1"/>
        <s v="2025-03-624" u="1"/>
        <s v="2025-03-625" u="1"/>
        <s v="2025-03-626" u="1"/>
        <s v="2025-03-627" u="1"/>
        <s v="2025-03-628" u="1"/>
        <s v="2025-03-629" u="1"/>
        <s v="2025-03-630" u="1"/>
        <s v="2025-03-631" u="1"/>
        <s v="2025-03-632" u="1"/>
        <s v="2025-03-633" u="1"/>
        <s v="2025-03-634" u="1"/>
        <s v="2025-03-635" u="1"/>
        <s v="2025-03-636" u="1"/>
        <s v="2025-03-637" u="1"/>
        <s v="2025-03-638" u="1"/>
        <s v="2025-03-639" u="1"/>
        <s v="2025-03-640" u="1"/>
        <s v="2025-03-641" u="1"/>
        <s v="2025-03-642" u="1"/>
        <s v="2025-03-643" u="1"/>
        <s v="2025-03-644" u="1"/>
        <s v="2025-03-645" u="1"/>
        <s v="2025-03-646" u="1"/>
        <s v="2025-03-647" u="1"/>
        <s v="2025-03-648" u="1"/>
        <s v="2025-03-649" u="1"/>
        <s v="2025-03-650" u="1"/>
        <s v="2025-03-651" u="1"/>
        <s v="2025-03-652" u="1"/>
        <s v="2025-03-653" u="1"/>
        <s v="2025-03-654" u="1"/>
        <s v="2025-03-655" u="1"/>
        <s v="2025-03-656" u="1"/>
        <s v="2025-03-657" u="1"/>
        <s v="2025-03-658" u="1"/>
        <s v="2025-03-659" u="1"/>
        <s v="2025-03-660" u="1"/>
        <s v="2025-03-661" u="1"/>
        <s v="2025-03-662" u="1"/>
        <s v="2025-03-663" u="1"/>
        <s v="2025-03-664" u="1"/>
        <s v="2025-03-665" u="1"/>
        <s v="2025-03-666" u="1"/>
        <s v="2025-03-667" u="1"/>
        <s v="2025-03-668" u="1"/>
        <s v="2025-03-669" u="1"/>
        <s v="2025-03-670" u="1"/>
        <s v="2025-03-671" u="1"/>
        <s v="2025-03-672" u="1"/>
        <s v="2025-03-673" u="1"/>
        <s v="2025-03-674" u="1"/>
        <s v="2025-03-675" u="1"/>
        <s v="2025-03-676" u="1"/>
        <s v="2025-03-677" u="1"/>
        <s v="2025-03-678" u="1"/>
        <s v="2025-03-679" u="1"/>
      </sharedItems>
    </cacheField>
    <cacheField name="Amount" numFmtId="0">
      <sharedItems containsString="0" containsBlank="1" containsNumber="1" minValue="-74.13" maxValue="200"/>
    </cacheField>
    <cacheField name="Type2" numFmtId="0" databaseField="0">
      <fieldGroup par="11" base="1">
        <discretePr count="14">
          <x v="7"/>
          <x v="8"/>
          <x v="7"/>
          <x v="0"/>
          <x v="8"/>
          <x v="8"/>
          <x v="1"/>
          <x v="8"/>
          <x v="2"/>
          <x v="3"/>
          <x v="4"/>
          <x v="9"/>
          <x v="5"/>
          <x v="6"/>
        </discretePr>
        <groupItems count="10">
          <s v="Subaccount Transfer"/>
          <s v="deposit"/>
          <s v="swap"/>
          <s v="correction"/>
          <s v="commission"/>
          <s v=""/>
          <m/>
          <s v="Group1"/>
          <s v="Group2"/>
          <s v="tax IFTT"/>
        </groupItems>
      </fieldGroup>
    </cacheField>
    <cacheField name="ABS" numFmtId="0" formula=" ABS(Amount)" databaseField="0"/>
    <cacheField name="Type3" numFmtId="0" databaseField="0">
      <fieldGroup base="1">
        <discretePr count="14">
          <x v="6"/>
          <x v="7"/>
          <x v="6"/>
          <x v="0"/>
          <x v="7"/>
          <x v="7"/>
          <x v="1"/>
          <x v="7"/>
          <x v="2"/>
          <x v="3"/>
          <x v="7"/>
          <x v="8"/>
          <x v="4"/>
          <x v="5"/>
        </discretePr>
        <groupItems count="9">
          <s v="Subaccount Transfer"/>
          <s v="deposit"/>
          <s v="swap"/>
          <s v="correction"/>
          <s v=""/>
          <m/>
          <s v="Group1"/>
          <s v="Group2"/>
          <s v="tax IFTT"/>
        </groupItems>
      </fieldGroup>
    </cacheField>
  </cacheFields>
  <extLst>
    <ext xmlns:x14="http://schemas.microsoft.com/office/spreadsheetml/2009/9/main" uri="{725AE2AE-9491-48be-B2B4-4EB974FC3084}">
      <x14:pivotCacheDefinition pivotCacheId="13981539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Walton" refreshedDate="45792.73570474537" createdVersion="8" refreshedVersion="8" minRefreshableVersion="3" recordCount="99" xr:uid="{D0C735D9-3D5F-4D7E-A48B-D21485C3D82A}">
  <cacheSource type="worksheet">
    <worksheetSource ref="B11:S1048576" sheet="OPEN POSITION"/>
  </cacheSource>
  <cacheFields count="21">
    <cacheField name="Position" numFmtId="0">
      <sharedItems containsBlank="1" containsMixedTypes="1" containsNumber="1" containsInteger="1" minValue="1358151307" maxValue="1825032378"/>
    </cacheField>
    <cacheField name="Symbol" numFmtId="0">
      <sharedItems containsBlank="1" count="29">
        <s v="ING"/>
        <s v="CIB"/>
        <s v="APA"/>
        <s v="ACI"/>
        <s v="MA"/>
        <s v="MO"/>
        <s v="VWO"/>
        <s v="YPF"/>
        <s v="BATT.NL"/>
        <s v="KMB"/>
        <s v="TSM"/>
        <s v="FSLR"/>
        <s v="BND"/>
        <s v="BOTZ.UK"/>
        <s v="INGR"/>
        <s v="BBVA.ES"/>
        <s v="EXC"/>
        <s v="MSFT"/>
        <s v="BCS"/>
        <s v="AAPL"/>
        <s v="AGIO"/>
        <s v="GOOGL"/>
        <s v="NEE"/>
        <s v="PEP"/>
        <s v="YUM"/>
        <s v="V"/>
        <s v="DAR"/>
        <s v=""/>
        <m/>
      </sharedItems>
    </cacheField>
    <cacheField name="Chapter" numFmtId="0">
      <sharedItems containsBlank="1" count="12">
        <s v="Financial Services"/>
        <s v="Energy &amp; Utilities"/>
        <s v="Consumer Defensive"/>
        <s v="ETF"/>
        <s v="Technology"/>
        <s v="Healthcare"/>
        <s v="Consumer Cyclical"/>
        <s v="Other"/>
        <m/>
        <s v="Communication Services" u="1"/>
        <s v="Energy" u="1"/>
        <s v="Utilities" u="1"/>
      </sharedItems>
    </cacheField>
    <cacheField name="ToM" numFmtId="0">
      <sharedItems containsBlank="1" containsMixedTypes="1" containsNumber="1" minValue="-8.5364867833855214E-4" maxValue="10.880314916895452"/>
    </cacheField>
    <cacheField name="InReport" numFmtId="0">
      <sharedItems containsBlank="1" count="3">
        <b v="1"/>
        <b v="0"/>
        <m/>
      </sharedItems>
    </cacheField>
    <cacheField name="Type" numFmtId="0">
      <sharedItems containsBlank="1"/>
    </cacheField>
    <cacheField name="Volume" numFmtId="0">
      <sharedItems containsBlank="1" containsMixedTypes="1" containsNumber="1" minValue="1E-4" maxValue="1"/>
    </cacheField>
    <cacheField name="Open time" numFmtId="0">
      <sharedItems containsDate="1" containsBlank="1" containsMixedTypes="1" minDate="2024-06-17T21:14:49" maxDate="2025-05-15T18:15:45"/>
    </cacheField>
    <cacheField name="Open price" numFmtId="0">
      <sharedItems containsBlank="1" containsMixedTypes="1" containsNumber="1" minValue="12.75" maxValue="524.42999999999995"/>
    </cacheField>
    <cacheField name="Market price" numFmtId="0">
      <sharedItems containsBlank="1" containsMixedTypes="1" containsNumber="1" minValue="13.35" maxValue="582.24"/>
    </cacheField>
    <cacheField name="Purchase value" numFmtId="0">
      <sharedItems containsBlank="1" containsMixedTypes="1" containsNumber="1" minValue="0" maxValue="74.13"/>
    </cacheField>
    <cacheField name="SL" numFmtId="0">
      <sharedItems containsBlank="1"/>
    </cacheField>
    <cacheField name="TP" numFmtId="0">
      <sharedItems containsBlank="1"/>
    </cacheField>
    <cacheField name="Margin" numFmtId="0">
      <sharedItems containsBlank="1" containsMixedTypes="1" containsNumber="1" containsInteger="1" minValue="0" maxValue="0"/>
    </cacheField>
    <cacheField name="Commission" numFmtId="0">
      <sharedItems containsString="0" containsBlank="1" containsNumber="1" containsInteger="1" minValue="0" maxValue="0"/>
    </cacheField>
    <cacheField name="Swap" numFmtId="0">
      <sharedItems containsString="0" containsBlank="1" containsNumber="1" containsInteger="1" minValue="0" maxValue="0"/>
    </cacheField>
    <cacheField name="Rollover" numFmtId="0">
      <sharedItems containsString="0" containsBlank="1" containsNumber="1" containsInteger="1" minValue="0" maxValue="0"/>
    </cacheField>
    <cacheField name="Gross P/L" numFmtId="0">
      <sharedItems containsString="0" containsBlank="1" containsNumber="1" minValue="-3.72" maxValue="64.760000000000005"/>
    </cacheField>
    <cacheField name="Actual_ValueUSD" numFmtId="0" formula="'Purchase value'+'Gross P/L'" databaseField="0"/>
    <cacheField name="UnrealizedGains%" numFmtId="0" formula="'Gross P/L'/'Purchase value'" databaseField="0"/>
    <cacheField name="Entry Price USD" numFmtId="0" formula="'Purchase value'/Volume" databaseField="0"/>
  </cacheFields>
  <extLst>
    <ext xmlns:x14="http://schemas.microsoft.com/office/spreadsheetml/2009/9/main" uri="{725AE2AE-9491-48be-B2B4-4EB974FC3084}">
      <x14:pivotCacheDefinition pivotCacheId="1241176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
  <r>
    <n v="1345716305"/>
    <x v="0"/>
    <x v="0"/>
    <n v="0.12621083826548993"/>
    <x v="0"/>
    <x v="0"/>
    <s v="BUY"/>
    <n v="1.7100000000000001E-2"/>
    <d v="2024-06-05T15:30:03"/>
    <n v="1184.19"/>
    <d v="2024-06-09T11:53:14"/>
    <n v="1184.19"/>
    <s v="xStation Mobile iOS"/>
    <s v="correction"/>
    <n v="20.25"/>
    <n v="20.25"/>
    <m/>
    <m/>
    <m/>
    <n v="0"/>
    <n v="0"/>
    <n v="0"/>
    <n v="0"/>
  </r>
  <r>
    <n v="1393281432"/>
    <x v="1"/>
    <x v="1"/>
    <n v="7.9373330293895043E-3"/>
    <x v="0"/>
    <x v="0"/>
    <s v="BUY"/>
    <n v="0.63200000000000001"/>
    <d v="2024-07-23T09:00:58"/>
    <n v="5.9809999999999999"/>
    <d v="2024-07-23T14:49:34"/>
    <n v="5.9669999999999996"/>
    <s v="xStation 5"/>
    <s v="xStation 5"/>
    <n v="3.78"/>
    <n v="3.77"/>
    <m/>
    <m/>
    <m/>
    <n v="0"/>
    <n v="0"/>
    <n v="0"/>
    <n v="-0.01"/>
  </r>
  <r>
    <n v="1393281260"/>
    <x v="2"/>
    <x v="1"/>
    <n v="7.9381754722056882E-3"/>
    <x v="0"/>
    <x v="0"/>
    <s v="BUY"/>
    <n v="0.56120000000000003"/>
    <d v="2024-07-23T09:00:55"/>
    <n v="5.8120000000000003"/>
    <d v="2024-07-23T14:49:34"/>
    <n v="5.81"/>
    <s v="xStation 5"/>
    <s v="xStation 5"/>
    <n v="3.26"/>
    <n v="3.26"/>
    <m/>
    <m/>
    <m/>
    <n v="0"/>
    <n v="0"/>
    <n v="0"/>
    <n v="0"/>
  </r>
  <r>
    <n v="1342063955"/>
    <x v="3"/>
    <x v="1"/>
    <n v="0.23895908318355977"/>
    <x v="0"/>
    <x v="0"/>
    <s v="BUY"/>
    <n v="0.41389999999999999"/>
    <d v="2024-06-03T09:00:30"/>
    <n v="33.545000000000002"/>
    <d v="2024-06-10T15:55:35"/>
    <n v="32.604999999999997"/>
    <s v="xStation Mobile iOS"/>
    <s v="xStation Mobile iOS"/>
    <n v="15.15"/>
    <n v="14.42"/>
    <m/>
    <m/>
    <m/>
    <n v="0"/>
    <n v="0"/>
    <n v="0"/>
    <n v="-0.73"/>
  </r>
  <r>
    <n v="1393281260"/>
    <x v="2"/>
    <x v="1"/>
    <n v="4.1921144127836221E-2"/>
    <x v="0"/>
    <x v="0"/>
    <s v="BUY"/>
    <n v="0.55500000000000005"/>
    <d v="2024-07-23T09:00:55"/>
    <n v="5.8120000000000003"/>
    <d v="2024-07-24T15:42:06"/>
    <n v="5.8010000000000002"/>
    <s v="xStation 5"/>
    <s v="xStation 5"/>
    <n v="3.23"/>
    <n v="3.22"/>
    <m/>
    <m/>
    <m/>
    <n v="0"/>
    <n v="0"/>
    <n v="0"/>
    <n v="-0.01"/>
  </r>
  <r>
    <n v="1393281432"/>
    <x v="1"/>
    <x v="1"/>
    <n v="4.1920327111271395E-2"/>
    <x v="0"/>
    <x v="0"/>
    <s v="BUY"/>
    <n v="0.43440000000000001"/>
    <d v="2024-07-23T09:00:58"/>
    <n v="5.9809999999999999"/>
    <d v="2024-07-24T15:42:06"/>
    <n v="5.968"/>
    <s v="xStation 5"/>
    <s v="xStation 5"/>
    <n v="2.6"/>
    <n v="2.59"/>
    <m/>
    <m/>
    <m/>
    <n v="0"/>
    <n v="0"/>
    <n v="0"/>
    <n v="-0.01"/>
  </r>
  <r>
    <n v="1393281260"/>
    <x v="2"/>
    <x v="1"/>
    <n v="4.1921401413092696E-2"/>
    <x v="0"/>
    <x v="0"/>
    <s v="BUY"/>
    <n v="1"/>
    <d v="2024-07-23T09:00:55"/>
    <n v="5.8120000000000003"/>
    <d v="2024-07-24T15:42:07"/>
    <n v="5.8140000000000001"/>
    <s v="xStation 5"/>
    <s v="xStation 5"/>
    <n v="5.81"/>
    <n v="5.81"/>
    <m/>
    <m/>
    <m/>
    <n v="0"/>
    <n v="0"/>
    <n v="0"/>
    <n v="0"/>
  </r>
  <r>
    <n v="1393281432"/>
    <x v="1"/>
    <x v="1"/>
    <n v="4.1920624999949696E-2"/>
    <x v="0"/>
    <x v="0"/>
    <s v="BUY"/>
    <n v="1"/>
    <d v="2024-07-23T09:00:58"/>
    <n v="5.9809999999999999"/>
    <d v="2024-07-24T15:42:07"/>
    <n v="5.9779999999999998"/>
    <s v="xStation 5"/>
    <s v="xStation 5"/>
    <n v="5.98"/>
    <n v="5.98"/>
    <m/>
    <m/>
    <m/>
    <n v="0"/>
    <n v="0"/>
    <n v="0"/>
    <n v="0"/>
  </r>
  <r>
    <n v="1350877137"/>
    <x v="4"/>
    <x v="2"/>
    <n v="1.3678240662318516E-4"/>
    <x v="1"/>
    <x v="0"/>
    <s v="BUY"/>
    <n v="0.01"/>
    <d v="2024-06-10T21:44:00"/>
    <n v="38900"/>
    <d v="2024-06-10T21:50:00"/>
    <n v="38869"/>
    <s v="xStation Mobile iOS"/>
    <s v="pending(t/p|s/l)"/>
    <m/>
    <m/>
    <n v="38874"/>
    <n v="38933"/>
    <n v="9.73"/>
    <n v="0"/>
    <n v="0"/>
    <n v="0"/>
    <n v="-1.55"/>
  </r>
  <r>
    <n v="1393281260"/>
    <x v="2"/>
    <x v="1"/>
    <n v="0.27081714405250723"/>
    <x v="0"/>
    <x v="0"/>
    <s v="BUY"/>
    <n v="0.42059999999999997"/>
    <d v="2024-07-23T09:00:55"/>
    <n v="5.8120000000000003"/>
    <d v="2024-07-31T15:15:13"/>
    <n v="5.8259999999999996"/>
    <s v="xStation 5"/>
    <s v="xStation 5"/>
    <n v="2.44"/>
    <n v="2.4500000000000002"/>
    <m/>
    <m/>
    <m/>
    <n v="0"/>
    <n v="0"/>
    <n v="0"/>
    <n v="0.01"/>
  </r>
  <r>
    <n v="1393281432"/>
    <x v="1"/>
    <x v="1"/>
    <n v="0.27081632475725559"/>
    <x v="0"/>
    <x v="0"/>
    <s v="BUY"/>
    <n v="0.40329999999999999"/>
    <d v="2024-07-23T09:00:58"/>
    <n v="5.9809999999999999"/>
    <d v="2024-07-31T15:15:13"/>
    <n v="5.98"/>
    <s v="xStation 5"/>
    <s v="xStation 5"/>
    <n v="2.41"/>
    <n v="2.41"/>
    <m/>
    <m/>
    <m/>
    <n v="0"/>
    <n v="0"/>
    <n v="0"/>
    <n v="0"/>
  </r>
  <r>
    <n v="1357581812"/>
    <x v="5"/>
    <x v="3"/>
    <n v="3.0362018065328601E-3"/>
    <x v="0"/>
    <x v="0"/>
    <s v="BUY"/>
    <n v="0.123"/>
    <d v="2024-06-17T15:30:03"/>
    <n v="1.65"/>
    <d v="2024-06-17T17:43:24"/>
    <n v="165.24"/>
    <s v="xStation Mobile iOS"/>
    <s v="correction"/>
    <n v="0.2"/>
    <n v="20.32"/>
    <m/>
    <m/>
    <m/>
    <n v="0"/>
    <n v="0"/>
    <n v="0"/>
    <n v="0"/>
  </r>
  <r>
    <n v="1393281432"/>
    <x v="1"/>
    <x v="1"/>
    <n v="0.27101363122275246"/>
    <x v="0"/>
    <x v="0"/>
    <s v="BUY"/>
    <n v="0.42009999999999997"/>
    <d v="2024-07-23T09:00:58"/>
    <n v="5.9809999999999999"/>
    <d v="2024-07-31T15:23:53"/>
    <n v="5.98"/>
    <s v="xStation 5"/>
    <s v="xStation 5"/>
    <n v="2.5099999999999998"/>
    <n v="2.5099999999999998"/>
    <m/>
    <m/>
    <m/>
    <n v="0"/>
    <n v="0"/>
    <n v="0"/>
    <n v="0"/>
  </r>
  <r>
    <n v="1393281432"/>
    <x v="1"/>
    <x v="1"/>
    <n v="7.540969228901572"/>
    <x v="0"/>
    <x v="0"/>
    <s v="BUY"/>
    <n v="1"/>
    <d v="2024-07-23T09:00:58"/>
    <n v="5.9809999999999999"/>
    <d v="2025-03-10T09:00:20"/>
    <n v="6.1859999999999999"/>
    <s v="xStation 5"/>
    <s v="xStation 5"/>
    <n v="5.98"/>
    <n v="6.19"/>
    <m/>
    <m/>
    <m/>
    <n v="0"/>
    <n v="0"/>
    <n v="0"/>
    <n v="0.21"/>
  </r>
  <r>
    <n v="1393281260"/>
    <x v="2"/>
    <x v="1"/>
    <n v="7.5409712370985558"/>
    <x v="0"/>
    <x v="0"/>
    <s v="BUY"/>
    <n v="1.4632000000000001"/>
    <d v="2024-07-23T09:00:55"/>
    <n v="5.8120000000000003"/>
    <d v="2025-03-10T09:00:23"/>
    <n v="6.02"/>
    <s v="xStation 5"/>
    <s v="xStation 5"/>
    <n v="8.5"/>
    <n v="8.81"/>
    <m/>
    <m/>
    <m/>
    <n v="0"/>
    <n v="0"/>
    <n v="0"/>
    <n v="0.3"/>
  </r>
  <r>
    <n v="1393287040"/>
    <x v="2"/>
    <x v="1"/>
    <n v="7.5409085735410057"/>
    <x v="0"/>
    <x v="0"/>
    <s v="BUY"/>
    <n v="0.25030000000000002"/>
    <d v="2024-07-23T09:03:40"/>
    <n v="5.8109999999999999"/>
    <d v="2025-03-10T09:00:23"/>
    <n v="6.02"/>
    <s v="xStation 5"/>
    <s v="xStation 5"/>
    <n v="1.45"/>
    <n v="1.51"/>
    <m/>
    <m/>
    <m/>
    <n v="0"/>
    <n v="0"/>
    <n v="0"/>
    <n v="0.06"/>
  </r>
  <r>
    <n v="1403180431"/>
    <x v="2"/>
    <x v="1"/>
    <n v="7.2699104716918299"/>
    <x v="0"/>
    <x v="0"/>
    <s v="BUY"/>
    <n v="0.27729999999999999"/>
    <d v="2024-07-31T15:25:55"/>
    <n v="5.84"/>
    <d v="2025-03-10T09:00:23"/>
    <n v="6.02"/>
    <s v="xStation 5"/>
    <s v="xStation 5"/>
    <n v="1.62"/>
    <n v="1.67"/>
    <m/>
    <m/>
    <m/>
    <n v="0"/>
    <n v="0"/>
    <n v="0"/>
    <n v="0.05"/>
  </r>
  <r>
    <n v="1403180445"/>
    <x v="2"/>
    <x v="1"/>
    <n v="7.269910201121391"/>
    <x v="0"/>
    <x v="0"/>
    <s v="BUY"/>
    <n v="9.1999999999999998E-3"/>
    <d v="2024-07-31T15:25:55"/>
    <n v="5.8360000000000003"/>
    <d v="2025-03-10T09:00:23"/>
    <n v="6.02"/>
    <s v="xStation 5"/>
    <s v="xStation 5"/>
    <n v="0.05"/>
    <n v="0.06"/>
    <m/>
    <m/>
    <m/>
    <n v="0"/>
    <n v="0"/>
    <n v="0"/>
    <n v="0.01"/>
  </r>
  <r>
    <n v="1343394966"/>
    <x v="6"/>
    <x v="1"/>
    <n v="0.45839116309834338"/>
    <x v="0"/>
    <x v="0"/>
    <s v="BUY"/>
    <n v="1"/>
    <d v="2024-06-03T21:41:55"/>
    <n v="13.37"/>
    <d v="2024-06-17T21:14:27"/>
    <n v="12.62"/>
    <s v="xStation Mobile iOS"/>
    <s v="xStation Mobile iOS"/>
    <n v="13.37"/>
    <n v="12.62"/>
    <m/>
    <m/>
    <m/>
    <n v="0"/>
    <n v="0"/>
    <n v="0"/>
    <n v="-0.75"/>
  </r>
  <r>
    <n v="1393735509"/>
    <x v="7"/>
    <x v="1"/>
    <n v="7.5330576984687481"/>
    <x v="0"/>
    <x v="0"/>
    <s v="BUY"/>
    <n v="3.6600000000000001E-2"/>
    <d v="2024-07-23T14:49:36"/>
    <n v="67.37"/>
    <d v="2025-03-10T09:01:30"/>
    <n v="71.16"/>
    <s v="xStation 5"/>
    <s v="xStation 5"/>
    <n v="2.4700000000000002"/>
    <n v="2.6"/>
    <m/>
    <m/>
    <m/>
    <n v="0"/>
    <n v="0"/>
    <n v="0"/>
    <n v="0.13"/>
  </r>
  <r>
    <n v="1395218355"/>
    <x v="7"/>
    <x v="1"/>
    <n v="7.499075436022812"/>
    <x v="0"/>
    <x v="0"/>
    <s v="BUY"/>
    <n v="7.3999999999999996E-2"/>
    <d v="2024-07-24T15:42:06"/>
    <n v="67.13"/>
    <d v="2025-03-10T09:01:30"/>
    <n v="71.16"/>
    <s v="xStation 5"/>
    <s v="xStation 5"/>
    <n v="4.97"/>
    <n v="5.27"/>
    <m/>
    <m/>
    <m/>
    <n v="0"/>
    <n v="0"/>
    <n v="0"/>
    <n v="0.3"/>
  </r>
  <r>
    <n v="1403166009"/>
    <x v="7"/>
    <x v="1"/>
    <n v="7.2701794315441068"/>
    <x v="0"/>
    <x v="0"/>
    <s v="BUY"/>
    <n v="3.6200000000000003E-2"/>
    <d v="2024-07-31T15:15:13"/>
    <n v="68.05"/>
    <d v="2025-03-10T09:01:30"/>
    <n v="71.16"/>
    <s v="xStation 5"/>
    <s v="xStation 5"/>
    <n v="2.46"/>
    <n v="2.58"/>
    <m/>
    <m/>
    <m/>
    <n v="0"/>
    <n v="0"/>
    <n v="0"/>
    <n v="0.12"/>
  </r>
  <r>
    <n v="1403177543"/>
    <x v="7"/>
    <x v="1"/>
    <n v="7.2699821364622634"/>
    <x v="0"/>
    <x v="0"/>
    <s v="BUY"/>
    <n v="3.6799999999999999E-2"/>
    <d v="2024-07-31T15:23:53"/>
    <n v="68.045000000000002"/>
    <d v="2025-03-10T09:01:30"/>
    <n v="71.16"/>
    <s v="xStation 5"/>
    <s v="xStation 5"/>
    <n v="2.5"/>
    <n v="2.62"/>
    <m/>
    <m/>
    <m/>
    <n v="0"/>
    <n v="0"/>
    <n v="0"/>
    <n v="0.12"/>
  </r>
  <r>
    <n v="1403180429"/>
    <x v="7"/>
    <x v="1"/>
    <n v="7.2699358409244876"/>
    <x v="0"/>
    <x v="0"/>
    <s v="BUY"/>
    <n v="7.3300000000000004E-2"/>
    <d v="2024-07-31T15:25:55"/>
    <n v="68.010000000000005"/>
    <d v="2025-03-10T09:01:30"/>
    <n v="71.16"/>
    <s v="xStation 5"/>
    <s v="xStation 5"/>
    <n v="4.99"/>
    <n v="5.22"/>
    <m/>
    <m/>
    <m/>
    <n v="0"/>
    <n v="0"/>
    <n v="0"/>
    <n v="0.23"/>
  </r>
  <r>
    <n v="1403180445"/>
    <x v="2"/>
    <x v="1"/>
    <n v="7.2717807380819872"/>
    <x v="0"/>
    <x v="0"/>
    <s v="BUY"/>
    <n v="0.99080000000000001"/>
    <d v="2024-07-31T15:25:55"/>
    <n v="5.8360000000000003"/>
    <d v="2025-03-10T10:22:32"/>
    <n v="6.0270000000000001"/>
    <s v="xStation 5"/>
    <s v="xStation 5"/>
    <n v="5.78"/>
    <n v="5.97"/>
    <m/>
    <m/>
    <m/>
    <n v="0"/>
    <n v="0"/>
    <n v="0"/>
    <n v="0.18"/>
  </r>
  <r>
    <n v="1349530190"/>
    <x v="0"/>
    <x v="0"/>
    <n v="0.39350061665253799"/>
    <x v="0"/>
    <x v="0"/>
    <s v="BUY"/>
    <n v="0.12"/>
    <d v="2024-06-09T15:27:30"/>
    <n v="118.42"/>
    <d v="2024-06-21T15:30:03"/>
    <n v="126.75"/>
    <s v="correction"/>
    <s v="xStation Mobile iOS"/>
    <n v="14.21"/>
    <n v="15.21"/>
    <m/>
    <m/>
    <m/>
    <n v="0"/>
    <n v="0"/>
    <n v="0"/>
    <n v="1"/>
  </r>
  <r>
    <n v="1393281432"/>
    <x v="1"/>
    <x v="1"/>
    <n v="7.5741218795539949"/>
    <x v="0"/>
    <x v="0"/>
    <s v="BUY"/>
    <n v="0.11020000000000001"/>
    <d v="2024-07-23T09:00:58"/>
    <n v="5.9809999999999999"/>
    <d v="2025-03-11T09:16:23"/>
    <n v="6.1760000000000002"/>
    <s v="xStation 5"/>
    <s v="xStation 5"/>
    <n v="0.66"/>
    <n v="0.68"/>
    <m/>
    <m/>
    <m/>
    <n v="0"/>
    <n v="0"/>
    <n v="0"/>
    <n v="0.02"/>
  </r>
  <r>
    <n v="1393301698"/>
    <x v="1"/>
    <x v="1"/>
    <n v="7.5740171174853224"/>
    <x v="0"/>
    <x v="0"/>
    <s v="BUY"/>
    <n v="0.1401"/>
    <d v="2024-07-23T09:05:34"/>
    <n v="5.99"/>
    <d v="2025-03-11T09:16:23"/>
    <n v="6.1760000000000002"/>
    <s v="xStation 5"/>
    <s v="xStation 5"/>
    <n v="0.84"/>
    <n v="0.87"/>
    <m/>
    <m/>
    <m/>
    <n v="0"/>
    <n v="0"/>
    <n v="0"/>
    <n v="0.03"/>
  </r>
  <r>
    <n v="1403180427"/>
    <x v="1"/>
    <x v="1"/>
    <n v="7.3030619531737253"/>
    <x v="0"/>
    <x v="0"/>
    <s v="BUY"/>
    <n v="0.42030000000000001"/>
    <d v="2024-07-31T15:25:55"/>
    <n v="5.9889999999999999"/>
    <d v="2025-03-11T09:16:23"/>
    <n v="6.1760000000000002"/>
    <s v="xStation 5"/>
    <s v="xStation 5"/>
    <n v="2.52"/>
    <n v="2.6"/>
    <m/>
    <m/>
    <m/>
    <n v="0"/>
    <n v="0"/>
    <n v="0"/>
    <n v="0.08"/>
  </r>
  <r>
    <n v="1343379129"/>
    <x v="8"/>
    <x v="0"/>
    <n v="0.58203960116714104"/>
    <x v="0"/>
    <x v="0"/>
    <s v="BUY"/>
    <n v="9.7500000000000003E-2"/>
    <d v="2024-06-03T21:26:52"/>
    <n v="205.08"/>
    <d v="2024-06-21T15:30:03"/>
    <n v="211.24"/>
    <s v="xStation Mobile iOS"/>
    <s v="xStation Mobile iOS"/>
    <n v="20"/>
    <n v="20.6"/>
    <m/>
    <m/>
    <m/>
    <n v="0"/>
    <n v="0"/>
    <n v="0"/>
    <n v="0.6"/>
  </r>
  <r>
    <n v="1349530190"/>
    <x v="0"/>
    <x v="0"/>
    <n v="0.39350064700974158"/>
    <x v="0"/>
    <x v="0"/>
    <s v="BUY"/>
    <n v="5.0999999999999997E-2"/>
    <d v="2024-06-09T15:27:30"/>
    <n v="118.42"/>
    <d v="2024-06-21T15:30:03"/>
    <n v="126.76"/>
    <s v="correction"/>
    <s v="xStation Mobile iOS"/>
    <n v="6.04"/>
    <n v="6.46"/>
    <m/>
    <m/>
    <m/>
    <n v="0"/>
    <n v="0"/>
    <n v="0"/>
    <n v="0.42"/>
  </r>
  <r>
    <n v="1357737013"/>
    <x v="9"/>
    <x v="1"/>
    <n v="0.130303282482019"/>
    <x v="0"/>
    <x v="0"/>
    <s v="BUY"/>
    <n v="1.15E-2"/>
    <d v="2024-06-17T16:27:14"/>
    <n v="1797.13"/>
    <d v="2024-06-21T15:50:09"/>
    <n v="1686.26"/>
    <s v="xStation Mobile iOS"/>
    <s v="xStation Mobile iOS"/>
    <n v="20.67"/>
    <n v="19.39"/>
    <m/>
    <m/>
    <m/>
    <n v="0"/>
    <n v="0"/>
    <n v="0"/>
    <n v="-1.28"/>
  </r>
  <r>
    <n v="1362492338"/>
    <x v="10"/>
    <x v="1"/>
    <n v="1.8840278026487555E-4"/>
    <x v="0"/>
    <x v="0"/>
    <s v="BUY"/>
    <n v="0.28060000000000002"/>
    <d v="2024-06-21T15:52:34"/>
    <n v="71.61"/>
    <d v="2024-06-21T16:00:51"/>
    <n v="70.959999999999994"/>
    <s v="xStation Mobile iOS"/>
    <s v="xStation Mobile iOS"/>
    <n v="20.09"/>
    <n v="19.91"/>
    <m/>
    <m/>
    <m/>
    <n v="0"/>
    <n v="0"/>
    <n v="0"/>
    <n v="-0.18"/>
  </r>
  <r>
    <n v="1342641165"/>
    <x v="11"/>
    <x v="0"/>
    <n v="1.0493768981508109"/>
    <x v="0"/>
    <x v="0"/>
    <s v="BUY"/>
    <n v="0.13220000000000001"/>
    <d v="2024-06-03T15:30:03"/>
    <n v="155.59"/>
    <d v="2024-07-05T15:38:41"/>
    <n v="183.6"/>
    <s v="xStation Mobile iOS"/>
    <s v="xStation Mobile iOS"/>
    <n v="20.57"/>
    <n v="24.27"/>
    <m/>
    <m/>
    <m/>
    <n v="0"/>
    <n v="0"/>
    <n v="0"/>
    <n v="3.7"/>
  </r>
  <r>
    <n v="1347626622"/>
    <x v="12"/>
    <x v="3"/>
    <n v="1.0422990319541403"/>
    <x v="0"/>
    <x v="0"/>
    <s v="BUY"/>
    <n v="0.14879999999999999"/>
    <d v="2024-06-06T20:49:21"/>
    <n v="67.2"/>
    <d v="2024-07-08T15:47:08"/>
    <n v="69.650000000000006"/>
    <s v="xStation Mobile iOS"/>
    <s v="xStation Mobile iOS"/>
    <n v="10"/>
    <n v="10.36"/>
    <m/>
    <m/>
    <m/>
    <n v="0"/>
    <n v="0"/>
    <n v="0"/>
    <n v="0.36"/>
  </r>
  <r>
    <n v="1362562387"/>
    <x v="13"/>
    <x v="4"/>
    <n v="0.55725910139654677"/>
    <x v="0"/>
    <x v="0"/>
    <s v="BUY"/>
    <n v="0.20200000000000001"/>
    <d v="2024-06-21T16:10:18"/>
    <n v="100.78"/>
    <d v="2024-07-08T16:05:07"/>
    <n v="100.83"/>
    <s v="xStation Mobile iOS"/>
    <s v="xStation Mobile iOS"/>
    <n v="20.36"/>
    <n v="20.37"/>
    <m/>
    <m/>
    <m/>
    <n v="0"/>
    <n v="0"/>
    <n v="0"/>
    <n v="0.01"/>
  </r>
  <r>
    <n v="1362488938"/>
    <x v="14"/>
    <x v="4"/>
    <n v="0.56124810109174517"/>
    <x v="0"/>
    <x v="0"/>
    <s v="BUY"/>
    <n v="0.2742"/>
    <d v="2024-06-21T15:51:48"/>
    <n v="72.930000000000007"/>
    <d v="2024-07-08T18:41:49"/>
    <n v="72.290000000000006"/>
    <s v="xStation Mobile iOS"/>
    <s v="xStation Mobile iOS"/>
    <n v="20"/>
    <n v="19.82"/>
    <m/>
    <m/>
    <m/>
    <n v="0"/>
    <n v="0"/>
    <n v="0"/>
    <n v="-0.18"/>
  </r>
  <r>
    <n v="1375967973"/>
    <x v="11"/>
    <x v="0"/>
    <n v="0.10275079993761076"/>
    <x v="0"/>
    <x v="0"/>
    <s v="BUY"/>
    <n v="0.109"/>
    <d v="2024-07-05T16:16:33"/>
    <n v="183"/>
    <d v="2024-07-08T19:29:22"/>
    <n v="186.5"/>
    <s v="xStation Mobile iOS"/>
    <s v="xStation Mobile iOS"/>
    <n v="19.95"/>
    <n v="20.329999999999998"/>
    <m/>
    <m/>
    <m/>
    <n v="0"/>
    <n v="0"/>
    <n v="0"/>
    <n v="0.39"/>
  </r>
  <r>
    <n v="1375856858"/>
    <x v="15"/>
    <x v="0"/>
    <n v="0.10395074036085909"/>
    <x v="0"/>
    <x v="0"/>
    <s v="BUY"/>
    <n v="0.1052"/>
    <d v="2024-07-05T15:44:23"/>
    <n v="188.48"/>
    <d v="2024-07-08T19:49:54"/>
    <n v="189.21"/>
    <s v="xStation Mobile iOS"/>
    <s v="xStation Mobile iOS"/>
    <n v="19.829999999999998"/>
    <n v="19.899999999999999"/>
    <m/>
    <m/>
    <m/>
    <n v="0"/>
    <n v="0"/>
    <n v="0"/>
    <n v="7.0000000000000007E-2"/>
  </r>
  <r>
    <n v="1357595824"/>
    <x v="16"/>
    <x v="1"/>
    <n v="0.72351260625229596"/>
    <x v="0"/>
    <x v="0"/>
    <s v="BUY"/>
    <n v="1"/>
    <d v="2024-06-17T15:30:25"/>
    <n v="22.89"/>
    <d v="2024-07-09T17:07:05"/>
    <n v="18.62"/>
    <s v="xStation Mobile iOS"/>
    <s v="xStation Mobile iOS"/>
    <n v="22.89"/>
    <n v="18.62"/>
    <m/>
    <m/>
    <m/>
    <n v="0"/>
    <n v="0"/>
    <n v="0"/>
    <n v="-4.2699999999999996"/>
  </r>
  <r>
    <n v="1375967973"/>
    <x v="11"/>
    <x v="0"/>
    <n v="0.13284619877040463"/>
    <x v="0"/>
    <x v="0"/>
    <s v="BUY"/>
    <n v="1.4E-3"/>
    <d v="2024-07-05T16:16:33"/>
    <n v="183"/>
    <d v="2024-07-09T17:31:09"/>
    <n v="182.97"/>
    <s v="xStation Mobile iOS"/>
    <s v="xStation Mobile iOS"/>
    <n v="0.26"/>
    <n v="0.26"/>
    <m/>
    <m/>
    <m/>
    <n v="0"/>
    <n v="0"/>
    <n v="0"/>
    <n v="0"/>
  </r>
  <r>
    <n v="1377834040"/>
    <x v="11"/>
    <x v="0"/>
    <n v="2.9464978750720697E-2"/>
    <x v="0"/>
    <x v="0"/>
    <s v="BUY"/>
    <n v="0.1077"/>
    <d v="2024-07-08T19:57:03"/>
    <n v="186.7"/>
    <d v="2024-07-09T17:31:09"/>
    <n v="182.97"/>
    <s v="xStation Mobile iOS"/>
    <s v="xStation Mobile iOS"/>
    <n v="20.11"/>
    <n v="19.71"/>
    <m/>
    <m/>
    <m/>
    <n v="0"/>
    <n v="0"/>
    <n v="0"/>
    <n v="-0.39"/>
  </r>
  <r>
    <n v="1377407433"/>
    <x v="0"/>
    <x v="0"/>
    <n v="3.9561947858959175E-2"/>
    <x v="0"/>
    <x v="0"/>
    <s v="BUY"/>
    <n v="7.7100000000000002E-2"/>
    <d v="2024-07-08T15:47:33"/>
    <n v="129.47999999999999"/>
    <d v="2024-07-09T20:45:06"/>
    <n v="130.75"/>
    <s v="xStation Mobile iOS"/>
    <s v="xStation Mobile iOS"/>
    <n v="9.98"/>
    <n v="10.08"/>
    <m/>
    <m/>
    <m/>
    <n v="0"/>
    <n v="0"/>
    <n v="0"/>
    <n v="0.09"/>
  </r>
  <r>
    <n v="1377407433"/>
    <x v="0"/>
    <x v="0"/>
    <n v="4.1212747799810864E-2"/>
    <x v="0"/>
    <x v="0"/>
    <s v="BUY"/>
    <n v="1E-4"/>
    <d v="2024-07-08T15:47:33"/>
    <n v="129.47999999999999"/>
    <d v="2024-07-09T21:57:36"/>
    <n v="131.24"/>
    <s v="xStation Mobile iOS"/>
    <s v="xStation Mobile iOS"/>
    <n v="0.01"/>
    <n v="0.01"/>
    <m/>
    <m/>
    <m/>
    <n v="0"/>
    <n v="0"/>
    <n v="0"/>
    <n v="0"/>
  </r>
  <r>
    <n v="1377834040"/>
    <x v="11"/>
    <x v="0"/>
    <n v="3.5533842213211396E-2"/>
    <x v="0"/>
    <x v="0"/>
    <s v="BUY"/>
    <n v="1.1000000000000001E-3"/>
    <d v="2024-07-08T19:57:03"/>
    <n v="186.7"/>
    <d v="2024-07-09T21:57:42"/>
    <n v="184.46"/>
    <s v="xStation Mobile iOS"/>
    <s v="xStation Mobile iOS"/>
    <n v="0.21"/>
    <n v="0.2"/>
    <m/>
    <m/>
    <m/>
    <n v="0"/>
    <n v="0"/>
    <n v="0"/>
    <n v="-0.01"/>
  </r>
  <r>
    <n v="1362491459"/>
    <x v="17"/>
    <x v="1"/>
    <n v="0.62679979242608674"/>
    <x v="0"/>
    <x v="0"/>
    <s v="BUY"/>
    <n v="0.22800000000000001"/>
    <d v="2024-06-21T15:52:24"/>
    <n v="88.67"/>
    <d v="2024-07-10T18:41:27"/>
    <n v="87.81"/>
    <s v="xStation Mobile iOS"/>
    <s v="xStation Mobile iOS"/>
    <n v="20.22"/>
    <n v="20.02"/>
    <m/>
    <m/>
    <m/>
    <n v="0"/>
    <n v="0"/>
    <n v="0"/>
    <n v="-0.2"/>
  </r>
  <r>
    <n v="1362491459"/>
    <x v="17"/>
    <x v="1"/>
    <n v="0.62680596766872221"/>
    <x v="0"/>
    <x v="0"/>
    <s v="BUY"/>
    <n v="1E-4"/>
    <d v="2024-06-21T15:52:24"/>
    <n v="88.67"/>
    <d v="2024-07-10T18:41:43"/>
    <n v="87.82"/>
    <s v="xStation Mobile iOS"/>
    <s v="xStation Mobile iOS"/>
    <n v="0.01"/>
    <n v="0.01"/>
    <m/>
    <m/>
    <m/>
    <n v="0"/>
    <n v="0"/>
    <n v="0"/>
    <n v="0"/>
  </r>
  <r>
    <n v="1375856858"/>
    <x v="15"/>
    <x v="0"/>
    <n v="0.16797599309509559"/>
    <x v="0"/>
    <x v="0"/>
    <s v="BUY"/>
    <n v="2.5999999999999999E-3"/>
    <d v="2024-07-05T15:44:23"/>
    <n v="188.48"/>
    <d v="2024-07-10T18:41:53"/>
    <n v="190.3"/>
    <s v="xStation Mobile iOS"/>
    <s v="xStation Mobile iOS"/>
    <n v="0.49"/>
    <n v="0.49"/>
    <m/>
    <m/>
    <m/>
    <n v="0"/>
    <n v="0"/>
    <n v="0"/>
    <n v="0"/>
  </r>
  <r>
    <n v="1377584836"/>
    <x v="18"/>
    <x v="1"/>
    <n v="9.6938055557328595E-2"/>
    <x v="0"/>
    <x v="0"/>
    <s v="BUY"/>
    <n v="0.48280000000000001"/>
    <d v="2024-07-08T17:03:57"/>
    <n v="41.87"/>
    <d v="2024-07-11T16:01:28"/>
    <n v="42.35"/>
    <s v="xStation Mobile iOS"/>
    <s v="xStation Mobile iOS"/>
    <n v="20.21"/>
    <n v="20.45"/>
    <m/>
    <m/>
    <m/>
    <n v="0"/>
    <n v="0"/>
    <n v="0"/>
    <n v="0.23"/>
  </r>
  <r>
    <n v="1377584836"/>
    <x v="18"/>
    <x v="1"/>
    <n v="9.6942416895142769E-2"/>
    <x v="0"/>
    <x v="0"/>
    <s v="BUY"/>
    <n v="1.2999999999999999E-3"/>
    <d v="2024-07-08T17:03:57"/>
    <n v="41.87"/>
    <d v="2024-07-11T16:01:39"/>
    <n v="42.35"/>
    <s v="xStation Mobile iOS"/>
    <s v="xStation Mobile iOS"/>
    <n v="0.05"/>
    <n v="0.06"/>
    <m/>
    <m/>
    <m/>
    <n v="0"/>
    <n v="0"/>
    <n v="0"/>
    <n v="0.01"/>
  </r>
  <r>
    <n v="1350885655"/>
    <x v="19"/>
    <x v="0"/>
    <n v="1.008688608455695"/>
    <x v="0"/>
    <x v="0"/>
    <s v="BUY"/>
    <n v="2.3400000000000001E-2"/>
    <d v="2024-06-10T21:55:13"/>
    <n v="427.17"/>
    <d v="2024-07-11T16:16:49"/>
    <n v="458.18"/>
    <s v="xStation Mobile iOS"/>
    <s v="xStation Mobile iOS"/>
    <n v="10"/>
    <n v="10.72"/>
    <m/>
    <m/>
    <m/>
    <n v="0"/>
    <n v="0"/>
    <n v="0"/>
    <n v="0.72"/>
  </r>
  <r>
    <n v="1414374074"/>
    <x v="20"/>
    <x v="1"/>
    <n v="4.467598662366251E-3"/>
    <x v="0"/>
    <x v="0"/>
    <s v="BUY"/>
    <n v="4.8099999999999997E-2"/>
    <d v="2024-08-07T17:21:39"/>
    <n v="311.85000000000002"/>
    <d v="2024-08-07T20:37:52"/>
    <n v="308"/>
    <s v="xStation Mobile iOS"/>
    <s v="xStation Mobile iOS"/>
    <n v="15"/>
    <n v="14.81"/>
    <m/>
    <m/>
    <m/>
    <n v="0"/>
    <n v="0"/>
    <n v="0"/>
    <n v="-0.19"/>
  </r>
  <r>
    <n v="1414372067"/>
    <x v="21"/>
    <x v="5"/>
    <n v="1.3174551643147783"/>
    <x v="0"/>
    <x v="0"/>
    <s v="BUY"/>
    <n v="5.7500000000000002E-2"/>
    <d v="2024-08-07T17:20:42"/>
    <n v="260.8"/>
    <d v="2024-09-16T21:43:20"/>
    <n v="290.19"/>
    <s v="xStation Mobile iOS"/>
    <s v="xStation 5"/>
    <n v="15"/>
    <n v="16.690000000000001"/>
    <m/>
    <m/>
    <m/>
    <n v="0"/>
    <n v="0"/>
    <n v="0"/>
    <n v="1.69"/>
  </r>
  <r>
    <n v="1377764546"/>
    <x v="22"/>
    <x v="0"/>
    <n v="2.5531529253935554"/>
    <x v="0"/>
    <x v="0"/>
    <s v="BUY"/>
    <n v="7.7799999999999994E-2"/>
    <d v="2024-07-08T18:42:16"/>
    <n v="244.47"/>
    <d v="2024-09-24T15:36:44"/>
    <n v="196.86"/>
    <s v="xStation Mobile iOS"/>
    <s v="xStation Mobile iOS"/>
    <n v="19.02"/>
    <n v="15.32"/>
    <m/>
    <m/>
    <m/>
    <n v="0"/>
    <n v="0"/>
    <n v="0"/>
    <n v="-3.7"/>
  </r>
  <r>
    <n v="1377764546"/>
    <x v="22"/>
    <x v="0"/>
    <n v="2.5531708268819902"/>
    <x v="0"/>
    <x v="0"/>
    <s v="BUY"/>
    <n v="5.1000000000000004E-3"/>
    <d v="2024-07-08T18:42:16"/>
    <n v="244.47"/>
    <d v="2024-09-24T15:37:31"/>
    <n v="196.91"/>
    <s v="xStation Mobile iOS"/>
    <s v="xStation Mobile iOS"/>
    <n v="1.25"/>
    <n v="1"/>
    <m/>
    <m/>
    <m/>
    <n v="0"/>
    <n v="0"/>
    <n v="0"/>
    <n v="-0.25"/>
  </r>
  <r>
    <n v="1380259753"/>
    <x v="15"/>
    <x v="0"/>
    <n v="2.5256770636032804"/>
    <x v="0"/>
    <x v="0"/>
    <s v="BUY"/>
    <n v="0.13100000000000001"/>
    <d v="2024-07-10T18:53:30"/>
    <n v="190.71"/>
    <d v="2024-09-25T19:41:14"/>
    <n v="161.87"/>
    <s v="xStation Mobile iOS"/>
    <s v="xStation Mobile iOS"/>
    <n v="24.98"/>
    <n v="21.2"/>
    <m/>
    <m/>
    <m/>
    <n v="0"/>
    <n v="0"/>
    <n v="0"/>
    <n v="-3.78"/>
  </r>
  <r>
    <n v="1509051251"/>
    <x v="23"/>
    <x v="2"/>
    <n v="6.3938980198801178E-5"/>
    <x v="1"/>
    <x v="0"/>
    <s v="SELL"/>
    <n v="0.02"/>
    <d v="2024-10-25T17:28:56"/>
    <n v="19.873100000000001"/>
    <d v="2024-10-25T17:31:45"/>
    <n v="19.883500000000002"/>
    <s v="xStation Mobile iOS"/>
    <s v="xStation Mobile iOS"/>
    <m/>
    <m/>
    <m/>
    <m/>
    <n v="10"/>
    <n v="0"/>
    <n v="0"/>
    <n v="0"/>
    <n v="-1.05"/>
  </r>
  <r>
    <n v="1508055372"/>
    <x v="23"/>
    <x v="2"/>
    <n v="1.66372089409632E-2"/>
    <x v="1"/>
    <x v="0"/>
    <s v="BUY"/>
    <n v="0.02"/>
    <d v="2024-10-25T05:21:31"/>
    <n v="19.8369"/>
    <d v="2024-10-25T17:32:13"/>
    <n v="19.876100000000001"/>
    <s v="xStation Mobile iOS"/>
    <s v="xStation Mobile iOS"/>
    <m/>
    <m/>
    <m/>
    <m/>
    <n v="10"/>
    <n v="0"/>
    <n v="0"/>
    <n v="0"/>
    <n v="3.94"/>
  </r>
  <r>
    <n v="1512925323"/>
    <x v="23"/>
    <x v="2"/>
    <n v="2.5088833104895396E-2"/>
    <x v="1"/>
    <x v="0"/>
    <s v="BUY"/>
    <n v="0.01"/>
    <d v="2024-10-29T18:59:18"/>
    <n v="20.066299999999998"/>
    <d v="2024-10-30T13:21:12"/>
    <n v="20.140499999999999"/>
    <s v="xStation Mobile iOS"/>
    <s v="xStation Mobile iOS"/>
    <m/>
    <m/>
    <m/>
    <m/>
    <n v="5"/>
    <n v="0"/>
    <n v="-0.22"/>
    <n v="0"/>
    <n v="3.68"/>
  </r>
  <r>
    <n v="1514707570"/>
    <x v="23"/>
    <x v="2"/>
    <n v="2.0974954458041362E-3"/>
    <x v="1"/>
    <x v="0"/>
    <s v="SELL"/>
    <n v="0.01"/>
    <d v="2024-10-30T21:09:53"/>
    <n v="20.159700000000001"/>
    <d v="2024-10-30T22:42:00"/>
    <n v="20.191099999999999"/>
    <s v="xStation Mobile iOS"/>
    <s v="xStation Mobile iOS"/>
    <m/>
    <m/>
    <n v="20.190000000000001"/>
    <n v="20.12"/>
    <n v="5"/>
    <n v="0"/>
    <n v="0"/>
    <n v="0"/>
    <n v="-1.56"/>
  </r>
  <r>
    <n v="1516787001"/>
    <x v="24"/>
    <x v="2"/>
    <n v="3.2446495081740815E-5"/>
    <x v="1"/>
    <x v="0"/>
    <s v="SELL"/>
    <n v="0.01"/>
    <d v="2024-11-01T03:10:39"/>
    <n v="2748.04"/>
    <d v="2024-11-01T03:12:05"/>
    <n v="2747.79"/>
    <s v="xStation Mobile iOS"/>
    <s v="xStation Mobile iOS"/>
    <m/>
    <m/>
    <m/>
    <m/>
    <n v="13.74"/>
    <n v="0"/>
    <n v="0"/>
    <n v="0"/>
    <n v="0.25"/>
  </r>
  <r>
    <n v="1516790032"/>
    <x v="24"/>
    <x v="2"/>
    <n v="1.0900652788953519E-4"/>
    <x v="1"/>
    <x v="0"/>
    <s v="BUY"/>
    <n v="0.01"/>
    <d v="2024-11-01T03:15:00"/>
    <n v="2747.23"/>
    <d v="2024-11-01T03:19:47"/>
    <n v="2747.25"/>
    <s v="xStation Mobile iOS"/>
    <s v="xStation Mobile iOS"/>
    <m/>
    <m/>
    <m/>
    <m/>
    <n v="13.74"/>
    <n v="0"/>
    <n v="0"/>
    <n v="0"/>
    <n v="0.02"/>
  </r>
  <r>
    <n v="1516793905"/>
    <x v="24"/>
    <x v="2"/>
    <n v="1.7176988533675121E-4"/>
    <x v="1"/>
    <x v="0"/>
    <s v="SELL"/>
    <n v="0.01"/>
    <d v="2024-11-01T03:21:57"/>
    <n v="2747.11"/>
    <d v="2024-11-01T03:29:30"/>
    <n v="2747.77"/>
    <s v="xStation Mobile iOS"/>
    <s v="xStation Mobile iOS"/>
    <m/>
    <m/>
    <m/>
    <m/>
    <n v="13.74"/>
    <n v="0"/>
    <n v="0"/>
    <n v="0"/>
    <n v="-0.66"/>
  </r>
  <r>
    <n v="1516796610"/>
    <x v="24"/>
    <x v="2"/>
    <n v="1.2473626559424657E-4"/>
    <x v="1"/>
    <x v="0"/>
    <s v="BUY"/>
    <n v="0.01"/>
    <d v="2024-11-01T03:29:37"/>
    <n v="2748.12"/>
    <d v="2024-11-01T03:35:05"/>
    <n v="2746.29"/>
    <s v="xStation Mobile iOS"/>
    <s v="xStation Mobile iOS"/>
    <m/>
    <m/>
    <m/>
    <m/>
    <n v="13.74"/>
    <n v="0"/>
    <n v="0"/>
    <n v="0"/>
    <n v="-1.83"/>
  </r>
  <r>
    <n v="1516798655"/>
    <x v="24"/>
    <x v="2"/>
    <n v="4.1284911395584951E-5"/>
    <x v="1"/>
    <x v="0"/>
    <s v="SELL"/>
    <n v="0.01"/>
    <d v="2024-11-01T03:35:16"/>
    <n v="2746.13"/>
    <d v="2024-11-01T03:37:05"/>
    <n v="2747.4"/>
    <s v="xStation Mobile iOS"/>
    <s v="xStation Mobile iOS"/>
    <m/>
    <m/>
    <m/>
    <m/>
    <n v="13.73"/>
    <n v="0"/>
    <n v="0"/>
    <n v="0"/>
    <n v="-1.27"/>
  </r>
  <r>
    <n v="1516805560"/>
    <x v="24"/>
    <x v="2"/>
    <n v="1.2187727538059602E-4"/>
    <x v="1"/>
    <x v="0"/>
    <s v="BUY"/>
    <n v="0.01"/>
    <d v="2024-11-01T03:55:57"/>
    <n v="2748.03"/>
    <d v="2024-11-01T04:01:18"/>
    <n v="2748.36"/>
    <s v="xStation Mobile iOS"/>
    <s v="xStation Mobile iOS"/>
    <m/>
    <m/>
    <m/>
    <m/>
    <n v="13.74"/>
    <n v="0"/>
    <n v="0"/>
    <n v="0"/>
    <n v="0.33"/>
  </r>
  <r>
    <n v="1516814771"/>
    <x v="24"/>
    <x v="2"/>
    <n v="1.8227269508509485E-4"/>
    <x v="1"/>
    <x v="0"/>
    <s v="BUY"/>
    <n v="0.01"/>
    <d v="2024-11-01T04:25:11"/>
    <n v="2749.48"/>
    <d v="2024-11-01T04:33:12"/>
    <n v="2749.54"/>
    <s v="xStation Mobile iOS"/>
    <s v="xStation Mobile iOS"/>
    <m/>
    <m/>
    <m/>
    <m/>
    <n v="13.75"/>
    <n v="0"/>
    <n v="0"/>
    <n v="0"/>
    <n v="0.06"/>
  </r>
  <r>
    <n v="1516838270"/>
    <x v="24"/>
    <x v="2"/>
    <n v="1.0637264344249622E-2"/>
    <x v="1"/>
    <x v="0"/>
    <s v="BUY"/>
    <n v="0.01"/>
    <d v="2024-11-01T05:42:53"/>
    <n v="2751.84"/>
    <d v="2024-11-01T13:30:04"/>
    <n v="2756.23"/>
    <s v="xStation Mobile iOS"/>
    <s v="xStation Mobile iOS"/>
    <m/>
    <m/>
    <m/>
    <n v="2754.07"/>
    <n v="13.76"/>
    <n v="0"/>
    <n v="0"/>
    <n v="0"/>
    <n v="4.3899999999999997"/>
  </r>
  <r>
    <n v="1515520253"/>
    <x v="23"/>
    <x v="2"/>
    <n v="3.8447563750688446E-2"/>
    <x v="1"/>
    <x v="0"/>
    <s v="BUY"/>
    <n v="0.01"/>
    <d v="2024-10-31T13:23:42"/>
    <n v="20.0901"/>
    <d v="2024-11-01T17:32:19"/>
    <n v="20.077500000000001"/>
    <s v="xStation Mobile iOS"/>
    <s v="xStation Mobile iOS"/>
    <m/>
    <m/>
    <m/>
    <m/>
    <n v="5"/>
    <n v="0"/>
    <n v="-0.22"/>
    <n v="0"/>
    <n v="-0.63"/>
  </r>
  <r>
    <n v="1517450167"/>
    <x v="23"/>
    <x v="2"/>
    <n v="4.4060215541470767E-3"/>
    <x v="1"/>
    <x v="0"/>
    <s v="BUY"/>
    <n v="0.01"/>
    <d v="2024-11-01T14:18:48"/>
    <n v="19.9771"/>
    <d v="2024-11-01T17:32:19"/>
    <n v="20.077500000000001"/>
    <s v="xStation Mobile iOS"/>
    <s v="xStation Mobile iOS"/>
    <m/>
    <m/>
    <m/>
    <m/>
    <n v="5"/>
    <n v="0"/>
    <n v="0"/>
    <n v="0"/>
    <n v="5"/>
  </r>
  <r>
    <n v="1517930572"/>
    <x v="23"/>
    <x v="2"/>
    <n v="1.6508426194720458E-5"/>
    <x v="1"/>
    <x v="0"/>
    <s v="SELL"/>
    <n v="0.01"/>
    <d v="2024-11-01T17:31:45"/>
    <n v="20.077999999999999"/>
    <d v="2024-11-01T17:32:29"/>
    <n v="20.082000000000001"/>
    <s v="xStation Mobile iOS"/>
    <s v="xStation Mobile iOS"/>
    <m/>
    <m/>
    <m/>
    <m/>
    <n v="5"/>
    <n v="0"/>
    <n v="0"/>
    <n v="0"/>
    <n v="-0.2"/>
  </r>
  <r>
    <n v="1517879253"/>
    <x v="25"/>
    <x v="2"/>
    <n v="9.7652301911529932E-2"/>
    <x v="1"/>
    <x v="0"/>
    <s v="BUY"/>
    <n v="0.01"/>
    <d v="2024-11-01T16:55:58"/>
    <n v="20.079999999999998"/>
    <d v="2024-11-04T16:24:51"/>
    <n v="19.63"/>
    <s v="xStation Mobile iOS"/>
    <s v="stop-out"/>
    <m/>
    <m/>
    <m/>
    <n v="20.92"/>
    <n v="12.05"/>
    <n v="0"/>
    <n v="-0.63"/>
    <n v="0"/>
    <n v="-18"/>
  </r>
  <r>
    <n v="1379227659"/>
    <x v="0"/>
    <x v="0"/>
    <n v="3.9657629637215113"/>
    <x v="0"/>
    <x v="0"/>
    <s v="BUY"/>
    <n v="0.15210000000000001"/>
    <d v="2024-07-09T21:58:46"/>
    <n v="131.38"/>
    <d v="2024-11-07T20:55:05"/>
    <n v="148.18"/>
    <s v="xStation Mobile iOS"/>
    <s v="xStation Mobile iOS"/>
    <n v="19.98"/>
    <n v="22.54"/>
    <m/>
    <m/>
    <m/>
    <n v="0"/>
    <n v="0"/>
    <n v="0"/>
    <n v="2.56"/>
  </r>
  <r>
    <n v="1527051962"/>
    <x v="23"/>
    <x v="2"/>
    <n v="1.414252960000981E-2"/>
    <x v="1"/>
    <x v="0"/>
    <s v="BUY"/>
    <n v="0.01"/>
    <d v="2024-11-08T03:09:18"/>
    <n v="19.830200000000001"/>
    <d v="2024-11-08T13:30:26"/>
    <n v="19.9681"/>
    <s v="xStation Mobile iOS"/>
    <s v="xStation Mobile iOS"/>
    <m/>
    <m/>
    <n v="19.97"/>
    <n v="20.12"/>
    <n v="5"/>
    <n v="0"/>
    <n v="0"/>
    <n v="0"/>
    <n v="6.9"/>
  </r>
  <r>
    <n v="1527744522"/>
    <x v="23"/>
    <x v="2"/>
    <n v="4.8379895094110339E-4"/>
    <x v="1"/>
    <x v="0"/>
    <s v="BUY"/>
    <n v="0.01"/>
    <d v="2024-11-08T13:20:45"/>
    <n v="19.978400000000001"/>
    <d v="2024-11-08T13:42:00"/>
    <n v="19.9497"/>
    <s v="xStation Mobile iOS"/>
    <s v="xStation Mobile iOS"/>
    <m/>
    <m/>
    <n v="19.95"/>
    <n v="20.2"/>
    <n v="5"/>
    <n v="0"/>
    <n v="0"/>
    <n v="0"/>
    <n v="-1.44"/>
  </r>
  <r>
    <n v="1528126100"/>
    <x v="23"/>
    <x v="2"/>
    <n v="1.6380851541084741E-3"/>
    <x v="1"/>
    <x v="0"/>
    <s v="BUY"/>
    <n v="0.01"/>
    <d v="2024-11-08T16:03:37"/>
    <n v="20.0428"/>
    <d v="2024-11-08T17:15:34"/>
    <n v="20.098800000000001"/>
    <s v="xStation Mobile iOS"/>
    <s v="xStation 5"/>
    <m/>
    <m/>
    <n v="20.098800000000001"/>
    <n v="20.2"/>
    <n v="5"/>
    <n v="0"/>
    <n v="0"/>
    <n v="0"/>
    <n v="2.79"/>
  </r>
  <r>
    <n v="1528325630"/>
    <x v="23"/>
    <x v="2"/>
    <n v="7.578665886807148E-5"/>
    <x v="1"/>
    <x v="0"/>
    <s v="SELL"/>
    <n v="0.01"/>
    <d v="2024-11-08T17:17:16"/>
    <n v="20.091200000000001"/>
    <d v="2024-11-08T17:20:36"/>
    <n v="20.110099999999999"/>
    <s v="xStation 5"/>
    <s v="xStation Mobile iOS"/>
    <m/>
    <m/>
    <n v="20.11"/>
    <n v="20.021899999999999"/>
    <n v="5"/>
    <n v="0"/>
    <n v="0"/>
    <n v="0"/>
    <n v="-0.94"/>
  </r>
  <r>
    <n v="1531224336"/>
    <x v="26"/>
    <x v="2"/>
    <n v="1.4576047218068823E-4"/>
    <x v="1"/>
    <x v="0"/>
    <s v="BUY"/>
    <n v="0.01"/>
    <d v="2024-11-12T05:54:15"/>
    <n v="153.589"/>
    <d v="2024-11-12T06:00:39"/>
    <n v="153.46799999999999"/>
    <s v="xStation Mobile iOS"/>
    <s v="xStation Mobile iOS"/>
    <m/>
    <m/>
    <n v="153.47"/>
    <n v="153.619"/>
    <n v="5"/>
    <n v="0"/>
    <n v="0"/>
    <n v="0"/>
    <n v="-0.79"/>
  </r>
  <r>
    <n v="1531227124"/>
    <x v="26"/>
    <x v="2"/>
    <n v="6.3023301648724157E-5"/>
    <x v="1"/>
    <x v="0"/>
    <s v="SELL"/>
    <n v="0.01"/>
    <d v="2024-11-12T06:00:13"/>
    <n v="153.483"/>
    <d v="2024-11-12T06:02:59"/>
    <n v="153.458"/>
    <s v="xStation Mobile iOS"/>
    <s v="xStation Mobile iOS"/>
    <m/>
    <m/>
    <n v="153.458"/>
    <m/>
    <n v="5"/>
    <n v="0"/>
    <n v="0"/>
    <n v="0"/>
    <n v="0.16"/>
  </r>
  <r>
    <n v="1531230129"/>
    <x v="26"/>
    <x v="2"/>
    <n v="7.2839252410273331E-5"/>
    <x v="1"/>
    <x v="0"/>
    <s v="SELL"/>
    <n v="0.01"/>
    <d v="2024-11-12T06:06:24"/>
    <n v="153.44499999999999"/>
    <d v="2024-11-12T06:09:36"/>
    <n v="153.50200000000001"/>
    <s v="xStation Mobile iOS"/>
    <s v="xStation Mobile iOS"/>
    <m/>
    <m/>
    <n v="153.50200000000001"/>
    <n v="153.39500000000001"/>
    <n v="5"/>
    <n v="0"/>
    <n v="0"/>
    <n v="0"/>
    <n v="-0.37"/>
  </r>
  <r>
    <n v="1531192665"/>
    <x v="23"/>
    <x v="2"/>
    <n v="4.7710287638989537E-3"/>
    <x v="1"/>
    <x v="0"/>
    <s v="BUY"/>
    <n v="0.02"/>
    <d v="2024-11-12T04:45:32"/>
    <n v="20.411999999999999"/>
    <d v="2024-11-12T08:15:05"/>
    <n v="20.4421"/>
    <s v="xStation Mobile iOS"/>
    <s v="xStation Mobile iOS"/>
    <m/>
    <m/>
    <n v="20.442900000000002"/>
    <n v="20.532599999999999"/>
    <n v="10"/>
    <n v="0"/>
    <n v="0"/>
    <n v="0"/>
    <n v="2.94"/>
  </r>
  <r>
    <n v="1531349564"/>
    <x v="23"/>
    <x v="2"/>
    <n v="1.3527623091473199E-5"/>
    <x v="1"/>
    <x v="0"/>
    <s v="SELL"/>
    <n v="0.01"/>
    <d v="2024-11-12T08:16:04"/>
    <n v="20.4344"/>
    <d v="2024-11-12T08:16:40"/>
    <n v="20.450700000000001"/>
    <s v="xStation Mobile iOS"/>
    <s v="xStation Mobile iOS"/>
    <m/>
    <m/>
    <m/>
    <m/>
    <n v="5"/>
    <n v="0"/>
    <n v="0"/>
    <n v="0"/>
    <n v="-0.8"/>
  </r>
  <r>
    <n v="1531351286"/>
    <x v="23"/>
    <x v="2"/>
    <n v="1.9965695096065336E-4"/>
    <x v="1"/>
    <x v="0"/>
    <s v="BUY"/>
    <n v="0.01"/>
    <d v="2024-11-12T08:17:50"/>
    <n v="20.455400000000001"/>
    <d v="2024-11-12T08:26:36"/>
    <n v="20.45"/>
    <s v="xStation Mobile iOS"/>
    <s v="xStation Mobile iOS"/>
    <m/>
    <m/>
    <n v="20.438099999999999"/>
    <n v="20.47"/>
    <n v="5"/>
    <n v="0"/>
    <n v="0"/>
    <n v="0"/>
    <n v="-0.26"/>
  </r>
  <r>
    <n v="1531358421"/>
    <x v="23"/>
    <x v="2"/>
    <n v="1.535587443122793E-4"/>
    <x v="1"/>
    <x v="0"/>
    <s v="BUY"/>
    <n v="0.02"/>
    <d v="2024-11-12T08:24:10"/>
    <n v="20.450299999999999"/>
    <d v="2024-11-12T08:30:55"/>
    <n v="20.438199999999998"/>
    <s v="xStation Mobile iOS"/>
    <s v="xStation Mobile iOS"/>
    <m/>
    <m/>
    <n v="20.438800000000001"/>
    <n v="20.476700000000001"/>
    <n v="10"/>
    <n v="0"/>
    <n v="0"/>
    <n v="0"/>
    <n v="-1.18"/>
  </r>
  <r>
    <n v="1532703059"/>
    <x v="23"/>
    <x v="2"/>
    <n v="2.6851168525458667E-4"/>
    <x v="1"/>
    <x v="0"/>
    <s v="BUY"/>
    <n v="0.02"/>
    <d v="2024-11-12T18:10:15"/>
    <n v="20.626100000000001"/>
    <d v="2024-11-12T18:22:02"/>
    <n v="20.629899999999999"/>
    <s v="xStation Mobile iOS"/>
    <s v="xStation Mobile iOS"/>
    <m/>
    <m/>
    <n v="20.5745"/>
    <n v="20.636399999999998"/>
    <n v="10"/>
    <n v="0"/>
    <n v="0"/>
    <n v="0"/>
    <n v="0.37"/>
  </r>
  <r>
    <n v="1532729622"/>
    <x v="26"/>
    <x v="2"/>
    <n v="4.7218429304460885E-5"/>
    <x v="1"/>
    <x v="0"/>
    <s v="BUY"/>
    <n v="0.01"/>
    <d v="2024-11-12T18:23:47"/>
    <n v="154.85300000000001"/>
    <d v="2024-11-12T18:25:52"/>
    <n v="154.87299999999999"/>
    <s v="xStation Mobile iOS"/>
    <s v="xStation Mobile iOS"/>
    <m/>
    <m/>
    <m/>
    <m/>
    <n v="5"/>
    <n v="0"/>
    <n v="0"/>
    <n v="0"/>
    <n v="0.13"/>
  </r>
  <r>
    <n v="1533930062"/>
    <x v="23"/>
    <x v="2"/>
    <n v="7.6063031156081706E-4"/>
    <x v="1"/>
    <x v="0"/>
    <s v="BUY"/>
    <n v="0.01"/>
    <d v="2024-11-13T14:46:36"/>
    <n v="20.507000000000001"/>
    <d v="2024-11-13T15:20:00"/>
    <n v="20.553100000000001"/>
    <s v="xStation Mobile iOS"/>
    <s v="xStation Mobile iOS"/>
    <m/>
    <m/>
    <n v="20.431000000000001"/>
    <n v="20.552800000000001"/>
    <n v="5"/>
    <n v="0"/>
    <n v="0"/>
    <n v="0"/>
    <n v="2.2400000000000002"/>
  </r>
  <r>
    <n v="1536772518"/>
    <x v="23"/>
    <x v="2"/>
    <n v="3.5574263606800652E-4"/>
    <x v="1"/>
    <x v="0"/>
    <s v="BUY"/>
    <n v="0.02"/>
    <d v="2024-11-14T20:52:48"/>
    <n v="20.431100000000001"/>
    <d v="2024-11-14T21:08:25"/>
    <n v="20.4923"/>
    <s v="xStation Mobile iOS"/>
    <s v="xStation Mobile iOS"/>
    <m/>
    <m/>
    <n v="20.4941"/>
    <n v="20.565300000000001"/>
    <n v="10"/>
    <n v="0"/>
    <n v="0"/>
    <n v="0"/>
    <n v="5.97"/>
  </r>
  <r>
    <n v="1540892910"/>
    <x v="23"/>
    <x v="2"/>
    <n v="1.9715865586834701E-2"/>
    <x v="1"/>
    <x v="0"/>
    <s v="BUY"/>
    <n v="0.02"/>
    <d v="2024-11-18T20:05:08"/>
    <n v="20.237100000000002"/>
    <d v="2024-11-19T10:31:03"/>
    <n v="20.318100000000001"/>
    <s v="xStation Mobile iOS"/>
    <s v="xStation Mobile iOS"/>
    <m/>
    <m/>
    <n v="20.170000000000002"/>
    <n v="20.317900000000002"/>
    <n v="10"/>
    <n v="0"/>
    <n v="-0.45"/>
    <n v="0"/>
    <n v="7.97"/>
  </r>
  <r>
    <n v="1541930457"/>
    <x v="23"/>
    <x v="2"/>
    <n v="7.7037872139700371E-4"/>
    <x v="1"/>
    <x v="0"/>
    <s v="BUY"/>
    <n v="0.02"/>
    <d v="2024-11-19T13:28:42"/>
    <n v="20.262899999999998"/>
    <d v="2024-11-19T14:02:32"/>
    <n v="20.288699999999999"/>
    <s v="xStation Mobile iOS"/>
    <s v="xStation Mobile iOS"/>
    <m/>
    <m/>
    <n v="20.2059"/>
    <n v="20.285599999999999"/>
    <n v="10"/>
    <n v="0"/>
    <n v="0"/>
    <n v="0"/>
    <n v="2.54"/>
  </r>
  <r>
    <n v="1553997553"/>
    <x v="23"/>
    <x v="2"/>
    <n v="1.3185352164313013E-3"/>
    <x v="1"/>
    <x v="0"/>
    <s v="SELL"/>
    <n v="0.01"/>
    <d v="2024-11-27T12:50:48"/>
    <n v="20.708400000000001"/>
    <d v="2024-11-27T13:48:42"/>
    <n v="20.7775"/>
    <s v="xStation Mobile iOS"/>
    <s v="xStation Mobile iOS"/>
    <m/>
    <m/>
    <n v="20.770600000000002"/>
    <n v="20.68"/>
    <n v="5"/>
    <n v="0"/>
    <n v="0"/>
    <n v="0"/>
    <n v="-3.33"/>
  </r>
  <r>
    <n v="1554074835"/>
    <x v="23"/>
    <x v="2"/>
    <n v="1.8872190161882976E-5"/>
    <x v="1"/>
    <x v="0"/>
    <s v="SELL"/>
    <n v="0.01"/>
    <d v="2024-11-27T13:48:14"/>
    <n v="20.742599999999999"/>
    <d v="2024-11-27T13:49:04"/>
    <n v="20.776399999999999"/>
    <s v="xStation Mobile iOS"/>
    <s v="xStation Mobile iOS"/>
    <m/>
    <m/>
    <m/>
    <m/>
    <n v="5"/>
    <n v="0"/>
    <n v="0"/>
    <n v="0"/>
    <n v="-1.63"/>
  </r>
  <r>
    <n v="1555669398"/>
    <x v="23"/>
    <x v="2"/>
    <n v="5.5216666655500462E-3"/>
    <x v="1"/>
    <x v="0"/>
    <s v="BUY"/>
    <n v="0.02"/>
    <d v="2024-11-28T13:13:04"/>
    <n v="20.327300000000001"/>
    <d v="2024-11-28T17:15:34"/>
    <n v="20.4312"/>
    <s v="xStation Mobile iOS"/>
    <s v="xStation Mobile iOS"/>
    <m/>
    <m/>
    <n v="20.174800000000001"/>
    <n v="20.429300000000001"/>
    <n v="10"/>
    <n v="0"/>
    <n v="0"/>
    <n v="0"/>
    <n v="10.17"/>
  </r>
  <r>
    <n v="1563562241"/>
    <x v="23"/>
    <x v="2"/>
    <n v="1.2312895036063951E-2"/>
    <x v="1"/>
    <x v="0"/>
    <s v="BUY"/>
    <n v="0.02"/>
    <d v="2024-12-05T06:00:24"/>
    <n v="20.309899999999999"/>
    <d v="2024-12-05T15:01:10"/>
    <n v="20.239100000000001"/>
    <s v="xStation Mobile iOS"/>
    <s v="xStation Mobile iOS"/>
    <m/>
    <m/>
    <n v="20.239999999999998"/>
    <n v="20.3672"/>
    <n v="10"/>
    <n v="0"/>
    <n v="0"/>
    <n v="0"/>
    <n v="-6.99"/>
  </r>
  <r>
    <n v="1473693877"/>
    <x v="27"/>
    <x v="1"/>
    <n v="2.7512202743604517"/>
    <x v="0"/>
    <x v="0"/>
    <s v="BUY"/>
    <n v="1.9E-2"/>
    <d v="2024-09-27T16:38:40"/>
    <n v="700.8"/>
    <d v="2024-12-20T14:32:16"/>
    <n v="623.79999999999995"/>
    <s v="xStation Mobile iOS"/>
    <s v="xStation Mobile iOS"/>
    <n v="14.97"/>
    <n v="12.28"/>
    <m/>
    <m/>
    <m/>
    <n v="0"/>
    <n v="0"/>
    <n v="0"/>
    <n v="-2.69"/>
  </r>
  <r>
    <n v="1493848938"/>
    <x v="27"/>
    <x v="1"/>
    <n v="2.19360170081963"/>
    <x v="0"/>
    <x v="0"/>
    <s v="BUY"/>
    <n v="2.1299999999999999E-2"/>
    <d v="2024-10-14T16:49:16"/>
    <n v="640.29999999999995"/>
    <d v="2024-12-20T14:32:16"/>
    <n v="623.79999999999995"/>
    <s v="xStation Mobile iOS"/>
    <s v="xStation Mobile iOS"/>
    <n v="14.96"/>
    <n v="13.77"/>
    <m/>
    <m/>
    <m/>
    <n v="0"/>
    <n v="0"/>
    <n v="0"/>
    <n v="-1.19"/>
  </r>
  <r>
    <n v="1583724019"/>
    <x v="23"/>
    <x v="2"/>
    <n v="2.9510147244570257E-3"/>
    <x v="1"/>
    <x v="0"/>
    <s v="BUY"/>
    <n v="0.02"/>
    <d v="2024-12-20T14:33:20"/>
    <n v="20.205400000000001"/>
    <d v="2024-12-20T16:42:56"/>
    <n v="20.1035"/>
    <s v="xStation Mobile iOS"/>
    <s v="xStation Mobile iOS"/>
    <m/>
    <m/>
    <n v="20.105499999999999"/>
    <n v="20.327300000000001"/>
    <n v="10"/>
    <n v="0"/>
    <n v="0"/>
    <n v="0"/>
    <n v="-10.130000000000001"/>
  </r>
  <r>
    <n v="1583841034"/>
    <x v="23"/>
    <x v="2"/>
    <n v="2.1620575278008844E-3"/>
    <x v="1"/>
    <x v="0"/>
    <s v="BUY"/>
    <n v="0.01"/>
    <d v="2024-12-20T15:21:26"/>
    <n v="20.172999999999998"/>
    <d v="2024-12-20T16:56:23"/>
    <n v="20.094899999999999"/>
    <s v="xStation Mobile iOS"/>
    <s v="xStation Mobile iOS"/>
    <m/>
    <m/>
    <n v="20.0975"/>
    <n v="20.254200000000001"/>
    <n v="5"/>
    <n v="0"/>
    <n v="0"/>
    <n v="0"/>
    <n v="-3.88"/>
  </r>
  <r>
    <n v="1585474078"/>
    <x v="23"/>
    <x v="2"/>
    <n v="5.4726916361508551E-3"/>
    <x v="1"/>
    <x v="0"/>
    <s v="BUY"/>
    <n v="0.02"/>
    <d v="2024-12-23T09:37:55"/>
    <n v="20.093499999999999"/>
    <d v="2024-12-23T13:38:17"/>
    <n v="20.1707"/>
    <s v="xStation Mobile iOS"/>
    <s v="xStation Mobile iOS"/>
    <m/>
    <m/>
    <n v="20"/>
    <n v="20.170000000000002"/>
    <n v="10"/>
    <n v="0"/>
    <n v="0"/>
    <n v="0"/>
    <n v="7.65"/>
  </r>
  <r>
    <n v="1586033461"/>
    <x v="23"/>
    <x v="2"/>
    <n v="2.8149288512201459E-5"/>
    <x v="1"/>
    <x v="0"/>
    <s v="BUY"/>
    <n v="0.01"/>
    <d v="2024-12-23T15:08:51"/>
    <n v="20.177199999999999"/>
    <d v="2024-12-23T15:10:05"/>
    <n v="20.167100000000001"/>
    <s v="xStation Mobile iOS"/>
    <s v="xStation Mobile iOS"/>
    <m/>
    <m/>
    <n v="20.168700000000001"/>
    <n v="20.2379"/>
    <n v="5"/>
    <n v="0"/>
    <n v="0"/>
    <n v="0"/>
    <n v="-0.5"/>
  </r>
  <r>
    <n v="1587036381"/>
    <x v="23"/>
    <x v="2"/>
    <n v="3.0278965540241724E-3"/>
    <x v="1"/>
    <x v="0"/>
    <s v="BUY"/>
    <n v="0.02"/>
    <d v="2024-12-24T11:42:35"/>
    <n v="20.1462"/>
    <d v="2024-12-24T13:55:34"/>
    <n v="20.162700000000001"/>
    <s v="xStation Mobile iOS"/>
    <s v="xStation Mobile iOS"/>
    <m/>
    <m/>
    <n v="20.162700000000001"/>
    <n v="20.22"/>
    <n v="10"/>
    <n v="0"/>
    <n v="0"/>
    <n v="0"/>
    <n v="1.64"/>
  </r>
  <r>
    <n v="1500272843"/>
    <x v="28"/>
    <x v="0"/>
    <n v="2.623756446947437"/>
    <x v="0"/>
    <x v="0"/>
    <s v="BUY"/>
    <n v="2.64E-2"/>
    <d v="2024-10-18T15:30:05"/>
    <n v="718.5"/>
    <d v="2025-01-06T16:05:28"/>
    <n v="757.79"/>
    <s v="xStation Mobile iOS"/>
    <s v="xStation Mobile iOS"/>
    <n v="18.97"/>
    <n v="20.010000000000002"/>
    <m/>
    <m/>
    <m/>
    <n v="0"/>
    <n v="0"/>
    <n v="0"/>
    <n v="1.04"/>
  </r>
  <r>
    <n v="1500272843"/>
    <x v="28"/>
    <x v="0"/>
    <n v="2.6237610450818885"/>
    <x v="0"/>
    <x v="0"/>
    <s v="BUY"/>
    <n v="2.0999999999999999E-3"/>
    <d v="2024-10-18T15:30:05"/>
    <n v="718.5"/>
    <d v="2025-01-06T16:05:40"/>
    <n v="758.27"/>
    <s v="xStation Mobile iOS"/>
    <s v="xStation Mobile iOS"/>
    <n v="1.51"/>
    <n v="1.59"/>
    <m/>
    <m/>
    <m/>
    <n v="0"/>
    <n v="0"/>
    <n v="0"/>
    <n v="0.08"/>
  </r>
  <r>
    <n v="1518147105"/>
    <x v="29"/>
    <x v="0"/>
    <n v="2.289534386006455"/>
    <x v="0"/>
    <x v="0"/>
    <s v="BUY"/>
    <n v="1"/>
    <d v="2024-11-01T20:24:41"/>
    <n v="10.92"/>
    <d v="2025-01-10T16:21:02"/>
    <n v="6.52"/>
    <s v="xStation Mobile iOS"/>
    <s v="xStation Mobile iOS"/>
    <n v="10.92"/>
    <n v="6.52"/>
    <m/>
    <m/>
    <m/>
    <n v="0"/>
    <n v="0"/>
    <n v="0"/>
    <n v="-4.4000000000000004"/>
  </r>
  <r>
    <n v="1551373923"/>
    <x v="15"/>
    <x v="0"/>
    <n v="1.8639365911508097"/>
    <x v="0"/>
    <x v="0"/>
    <s v="BUY"/>
    <n v="0.1195"/>
    <d v="2024-11-25T20:33:13"/>
    <n v="167.24"/>
    <d v="2025-01-21T16:57:19"/>
    <n v="198.83"/>
    <s v="xStation Mobile iOS"/>
    <s v="xStation Mobile iOS"/>
    <n v="19.989999999999998"/>
    <n v="23.76"/>
    <m/>
    <m/>
    <m/>
    <n v="0"/>
    <n v="0"/>
    <n v="0"/>
    <n v="3.77"/>
  </r>
  <r>
    <n v="1373744560"/>
    <x v="8"/>
    <x v="0"/>
    <n v="6.691146568000149"/>
    <x v="0"/>
    <x v="0"/>
    <s v="BUY"/>
    <n v="0.12479999999999999"/>
    <d v="2024-07-03T15:30:03"/>
    <n v="202.58"/>
    <d v="2025-01-23T17:25:13"/>
    <n v="172.09"/>
    <s v="xStation Mobile iOS"/>
    <s v="xStation Mobile iOS"/>
    <n v="25.28"/>
    <n v="21.48"/>
    <m/>
    <m/>
    <m/>
    <n v="0"/>
    <n v="0"/>
    <n v="0"/>
    <n v="-3.8"/>
  </r>
  <r>
    <n v="1450039117"/>
    <x v="8"/>
    <x v="0"/>
    <n v="4.4614799700197416"/>
    <x v="0"/>
    <x v="0"/>
    <s v="BUY"/>
    <n v="6.8000000000000005E-2"/>
    <d v="2024-09-09T15:37:00"/>
    <n v="161.58000000000001"/>
    <d v="2025-01-23T17:25:13"/>
    <n v="172.09"/>
    <s v="xStation Mobile iOS"/>
    <s v="xStation Mobile iOS"/>
    <n v="10.99"/>
    <n v="11.7"/>
    <m/>
    <m/>
    <m/>
    <n v="0"/>
    <n v="0"/>
    <n v="0"/>
    <n v="0.71"/>
  </r>
  <r>
    <n v="1468472119"/>
    <x v="21"/>
    <x v="5"/>
    <n v="4.1372391734950691"/>
    <x v="0"/>
    <x v="0"/>
    <s v="BUY"/>
    <n v="7.1900000000000006E-2"/>
    <d v="2024-09-24T15:39:04"/>
    <n v="277.82"/>
    <d v="2025-01-28T20:06:37"/>
    <n v="336.69"/>
    <s v="xStation Mobile iOS"/>
    <s v="xStation Mobile iOS"/>
    <n v="19.98"/>
    <n v="24.21"/>
    <m/>
    <m/>
    <m/>
    <n v="0"/>
    <n v="0"/>
    <n v="0"/>
    <n v="4.2300000000000004"/>
  </r>
  <r>
    <n v="1470564087"/>
    <x v="21"/>
    <x v="5"/>
    <n v="4.0989348246786577"/>
    <x v="0"/>
    <x v="0"/>
    <s v="BUY"/>
    <n v="7.4200000000000002E-2"/>
    <d v="2024-09-25T19:41:24"/>
    <n v="269.23"/>
    <d v="2025-01-28T20:06:37"/>
    <n v="336.69"/>
    <s v="xStation Mobile iOS"/>
    <s v="xStation Mobile iOS"/>
    <n v="19.98"/>
    <n v="24.98"/>
    <m/>
    <m/>
    <m/>
    <n v="0"/>
    <n v="0"/>
    <n v="0"/>
    <n v="5"/>
  </r>
  <r>
    <n v="1599434998"/>
    <x v="21"/>
    <x v="5"/>
    <n v="0.72481685868210588"/>
    <x v="0"/>
    <x v="0"/>
    <s v="BUY"/>
    <n v="4.7699999999999999E-2"/>
    <d v="2025-01-06T17:32:39"/>
    <n v="313.98"/>
    <d v="2025-01-28T20:06:37"/>
    <n v="336.69"/>
    <s v="xStation Mobile iOS"/>
    <s v="xStation Mobile iOS"/>
    <n v="14.98"/>
    <n v="16.059999999999999"/>
    <m/>
    <m/>
    <m/>
    <n v="0"/>
    <n v="0"/>
    <n v="0"/>
    <n v="1.08"/>
  </r>
  <r>
    <n v="1495548850"/>
    <x v="30"/>
    <x v="6"/>
    <n v="3.7753006158917608"/>
    <x v="0"/>
    <x v="0"/>
    <s v="BUY"/>
    <n v="0.1047"/>
    <d v="2024-10-15T16:56:38"/>
    <n v="133.61000000000001"/>
    <d v="2025-02-07T20:27:50"/>
    <n v="143.18"/>
    <s v="xStation Mobile iOS"/>
    <s v="xStation Mobile iOS"/>
    <n v="13.99"/>
    <n v="14.99"/>
    <m/>
    <m/>
    <m/>
    <n v="0"/>
    <n v="0"/>
    <n v="0"/>
    <n v="1"/>
  </r>
  <r>
    <n v="1517512112"/>
    <x v="30"/>
    <x v="6"/>
    <n v="3.2210575610949834"/>
    <x v="0"/>
    <x v="0"/>
    <s v="BUY"/>
    <n v="7.5399999999999995E-2"/>
    <d v="2024-11-01T14:38:59"/>
    <n v="132.62"/>
    <d v="2025-02-07T20:27:50"/>
    <n v="143.18"/>
    <s v="xStation Mobile iOS"/>
    <s v="xStation Mobile iOS"/>
    <n v="10"/>
    <n v="10.8"/>
    <m/>
    <m/>
    <m/>
    <n v="0"/>
    <n v="0"/>
    <n v="0"/>
    <n v="0.8"/>
  </r>
  <r>
    <n v="1582735114"/>
    <x v="30"/>
    <x v="6"/>
    <n v="1.6377670954754022"/>
    <x v="0"/>
    <x v="0"/>
    <s v="BUY"/>
    <n v="7.6300000000000007E-2"/>
    <d v="2024-12-19T21:37:06"/>
    <n v="130.51"/>
    <d v="2025-02-07T20:27:50"/>
    <n v="143.18"/>
    <s v="xStation Mobile Android"/>
    <s v="xStation Mobile iOS"/>
    <n v="9.9600000000000009"/>
    <n v="10.92"/>
    <m/>
    <m/>
    <m/>
    <n v="0"/>
    <n v="0"/>
    <n v="0"/>
    <n v="0.96"/>
  </r>
  <r>
    <n v="1657658561"/>
    <x v="23"/>
    <x v="2"/>
    <n v="1.2260469793366863E-2"/>
    <x v="1"/>
    <x v="0"/>
    <s v="BUY"/>
    <n v="0.02"/>
    <d v="2025-02-14T04:30:21"/>
    <n v="20.425699999999999"/>
    <d v="2025-02-14T13:28:50"/>
    <n v="20.365600000000001"/>
    <s v="xStation Mobile iOS"/>
    <s v="xStation Mobile iOS"/>
    <m/>
    <m/>
    <n v="20.366399999999999"/>
    <n v="20.5213"/>
    <n v="10"/>
    <n v="0"/>
    <n v="0"/>
    <n v="0"/>
    <n v="-5.9"/>
  </r>
  <r>
    <n v="1660829104"/>
    <x v="23"/>
    <x v="2"/>
    <n v="2.5850956294338266E-3"/>
    <x v="1"/>
    <x v="0"/>
    <s v="BUY"/>
    <n v="0.02"/>
    <d v="2025-02-17T15:35:44"/>
    <n v="20.323699999999999"/>
    <d v="2025-02-17T17:29:17"/>
    <n v="20.273800000000001"/>
    <s v="xStation Mobile iOS"/>
    <s v="xStation Mobile iOS"/>
    <m/>
    <m/>
    <n v="20.273800000000001"/>
    <n v="20.393599999999999"/>
    <n v="10"/>
    <n v="0"/>
    <n v="0"/>
    <n v="0"/>
    <n v="-4.92"/>
  </r>
  <r>
    <n v="1378903852"/>
    <x v="31"/>
    <x v="0"/>
    <n v="7.3422631891310735"/>
    <x v="0"/>
    <x v="0"/>
    <s v="BUY"/>
    <n v="6.1600000000000002E-2"/>
    <d v="2024-07-09T17:07:45"/>
    <n v="227.77"/>
    <d v="2025-02-18T15:39:57"/>
    <n v="243.58"/>
    <s v="xStation Mobile iOS"/>
    <s v="xStation Mobile iOS"/>
    <n v="14.03"/>
    <n v="15"/>
    <m/>
    <m/>
    <m/>
    <n v="0"/>
    <n v="0"/>
    <n v="0"/>
    <n v="0.97"/>
  </r>
  <r>
    <n v="1378903852"/>
    <x v="31"/>
    <x v="0"/>
    <n v="7.3422682187310038"/>
    <x v="0"/>
    <x v="0"/>
    <s v="BUY"/>
    <n v="4.1999999999999997E-3"/>
    <d v="2024-07-09T17:07:45"/>
    <n v="227.77"/>
    <d v="2025-02-18T15:40:11"/>
    <n v="243.45"/>
    <s v="xStation Mobile iOS"/>
    <s v="xStation Mobile iOS"/>
    <n v="0.96"/>
    <n v="1.02"/>
    <m/>
    <m/>
    <m/>
    <n v="0"/>
    <n v="0"/>
    <n v="0"/>
    <n v="0.06"/>
  </r>
  <r>
    <n v="1456814919"/>
    <x v="31"/>
    <x v="0"/>
    <n v="5.179907017685168"/>
    <x v="0"/>
    <x v="0"/>
    <s v="BUY"/>
    <n v="6.6500000000000004E-2"/>
    <d v="2024-09-13T15:58:40"/>
    <n v="222.94"/>
    <d v="2025-02-18T15:40:11"/>
    <n v="243.45"/>
    <s v="xStation Mobile iOS"/>
    <s v="xStation Mobile iOS"/>
    <n v="14.83"/>
    <n v="16.190000000000001"/>
    <m/>
    <m/>
    <m/>
    <n v="0"/>
    <n v="0"/>
    <n v="0"/>
    <n v="1.36"/>
  </r>
  <r>
    <n v="1499061783"/>
    <x v="31"/>
    <x v="0"/>
    <n v="4.0627191070916675"/>
    <x v="0"/>
    <x v="0"/>
    <s v="BUY"/>
    <n v="5.5800000000000002E-2"/>
    <d v="2024-10-17T17:45:33"/>
    <n v="232.2"/>
    <d v="2025-02-18T15:40:11"/>
    <n v="243.45"/>
    <s v="xStation 5"/>
    <s v="xStation Mobile iOS"/>
    <n v="12.96"/>
    <n v="13.58"/>
    <m/>
    <m/>
    <m/>
    <n v="0"/>
    <n v="0"/>
    <n v="0"/>
    <n v="0.62"/>
  </r>
  <r>
    <n v="1717095547"/>
    <x v="23"/>
    <x v="2"/>
    <n v="9.8346425344419414E-3"/>
    <x v="1"/>
    <x v="0"/>
    <s v="BUY"/>
    <n v="0.04"/>
    <d v="2025-03-20T19:31:20"/>
    <n v="20.119800000000001"/>
    <d v="2025-03-21T02:43:16"/>
    <n v="20.134799999999998"/>
    <s v="xStation Mobile iOS"/>
    <s v="xStation Mobile iOS"/>
    <m/>
    <m/>
    <n v="20.134899999999998"/>
    <n v="20.162299999999998"/>
    <n v="20"/>
    <n v="0"/>
    <n v="-0.8"/>
    <n v="0"/>
    <n v="2.98"/>
  </r>
  <r>
    <n v="1554741910"/>
    <x v="32"/>
    <x v="5"/>
    <n v="3.8728610469802707"/>
    <x v="0"/>
    <x v="0"/>
    <s v="BUY"/>
    <n v="0.61"/>
    <d v="2024-11-27T17:59:18"/>
    <n v="15.3"/>
    <d v="2025-03-25T20:55:21"/>
    <n v="20.29"/>
    <s v="xStation Mobile iOS"/>
    <s v="xStation Mobile iOS"/>
    <n v="9.33"/>
    <n v="12.38"/>
    <m/>
    <m/>
    <m/>
    <n v="0"/>
    <n v="0"/>
    <n v="0"/>
    <n v="3.05"/>
  </r>
  <r>
    <n v="1414372592"/>
    <x v="33"/>
    <x v="5"/>
    <n v="7.5755112067408401"/>
    <x v="0"/>
    <x v="0"/>
    <s v="BUY"/>
    <n v="0.01"/>
    <d v="2024-08-07T17:20:56"/>
    <n v="455.4"/>
    <d v="2025-03-26T18:37:23"/>
    <n v="547.14"/>
    <s v="xStation Mobile iOS"/>
    <s v="xStation Mobile iOS"/>
    <n v="4.55"/>
    <n v="5.47"/>
    <m/>
    <m/>
    <m/>
    <n v="0"/>
    <n v="0"/>
    <n v="0"/>
    <n v="0.92"/>
  </r>
  <r>
    <n v="1450043624"/>
    <x v="34"/>
    <x v="3"/>
    <n v="6.5283397609312148"/>
    <x v="0"/>
    <x v="0"/>
    <s v="BUY"/>
    <n v="1.38E-2"/>
    <d v="2024-09-09T15:38:21"/>
    <n v="147.47999999999999"/>
    <d v="2025-03-27T18:23:02"/>
    <n v="139.86000000000001"/>
    <s v="xStation Mobile iOS"/>
    <s v="xStation Mobile iOS"/>
    <n v="2.04"/>
    <n v="1.93"/>
    <m/>
    <m/>
    <m/>
    <n v="0"/>
    <n v="0"/>
    <n v="0"/>
    <n v="-0.11"/>
  </r>
  <r>
    <n v="1358151307"/>
    <x v="5"/>
    <x v="3"/>
    <n v="9.2747880699736598"/>
    <x v="0"/>
    <x v="0"/>
    <s v="BUY"/>
    <n v="1.24E-2"/>
    <d v="2024-06-17T21:14:49"/>
    <n v="165.93"/>
    <d v="2025-03-27T18:23:31"/>
    <n v="149.33000000000001"/>
    <s v="xStation Mobile iOS"/>
    <s v="xStation Mobile iOS"/>
    <n v="2.06"/>
    <n v="1.85"/>
    <m/>
    <m/>
    <m/>
    <n v="0"/>
    <n v="0"/>
    <n v="0"/>
    <n v="-0.21"/>
  </r>
  <r>
    <n v="1422773288"/>
    <x v="35"/>
    <x v="3"/>
    <n v="7.3745378866883806"/>
    <x v="0"/>
    <x v="0"/>
    <s v="BUY"/>
    <n v="0.2"/>
    <d v="2024-08-14T20:15:46"/>
    <n v="51.24"/>
    <d v="2025-03-27T18:25:28"/>
    <n v="58.08"/>
    <s v="xStation Mobile iOS"/>
    <s v="xStation Mobile iOS"/>
    <n v="10.25"/>
    <n v="11.62"/>
    <m/>
    <m/>
    <m/>
    <n v="0"/>
    <n v="0"/>
    <n v="0"/>
    <n v="1.37"/>
  </r>
  <r>
    <n v="1631473921"/>
    <x v="36"/>
    <x v="4"/>
    <n v="2.2561317972064048"/>
    <x v="0"/>
    <x v="0"/>
    <s v="BUY"/>
    <n v="0.27450000000000002"/>
    <d v="2025-01-28T20:03:17"/>
    <n v="40.049999999999997"/>
    <d v="2025-04-07T15:32:35"/>
    <n v="44.8"/>
    <s v="xStation Mobile iOS"/>
    <s v="xStation 5"/>
    <n v="10.99"/>
    <n v="12.3"/>
    <m/>
    <m/>
    <m/>
    <n v="0"/>
    <n v="0"/>
    <n v="0"/>
    <n v="1.31"/>
  </r>
  <r>
    <n v="1642763333"/>
    <x v="36"/>
    <x v="4"/>
    <n v="2.0256033435802179"/>
    <x v="0"/>
    <x v="0"/>
    <s v="BUY"/>
    <n v="0.24590000000000001"/>
    <d v="2025-02-04T20:48:05"/>
    <n v="40.659999999999997"/>
    <d v="2025-04-07T15:32:35"/>
    <n v="44.8"/>
    <s v="xStation Mobile iOS"/>
    <s v="xStation 5"/>
    <n v="10"/>
    <n v="11.02"/>
    <m/>
    <m/>
    <m/>
    <n v="0"/>
    <n v="0"/>
    <n v="0"/>
    <n v="1.02"/>
  </r>
  <r>
    <n v="1666451221"/>
    <x v="36"/>
    <x v="4"/>
    <n v="1.5071280407540397"/>
    <x v="0"/>
    <x v="0"/>
    <s v="BUY"/>
    <n v="0.17960000000000001"/>
    <d v="2025-02-20T16:19:32"/>
    <n v="43"/>
    <d v="2025-04-07T15:32:35"/>
    <n v="44.8"/>
    <s v="xStation Mobile iOS"/>
    <s v="xStation 5"/>
    <n v="7.72"/>
    <n v="8.0500000000000007"/>
    <m/>
    <m/>
    <m/>
    <n v="0"/>
    <n v="0"/>
    <n v="0"/>
    <n v="0.33"/>
  </r>
  <r>
    <n v="1749053104"/>
    <x v="37"/>
    <x v="2"/>
    <n v="3.3218731109404048E-5"/>
    <x v="1"/>
    <x v="0"/>
    <s v="SELL"/>
    <n v="0.01"/>
    <d v="2025-04-07T15:37:41"/>
    <n v="4903.7"/>
    <d v="2025-04-07T15:39:09"/>
    <n v="4891.1000000000004"/>
    <s v="xStation 5"/>
    <s v="xStation 5"/>
    <m/>
    <m/>
    <m/>
    <m/>
    <n v="12.26"/>
    <n v="0"/>
    <n v="0"/>
    <n v="0"/>
    <n v="6.3"/>
  </r>
  <r>
    <n v="1756767326"/>
    <x v="37"/>
    <x v="2"/>
    <n v="4.3178885148410669E-5"/>
    <x v="1"/>
    <x v="0"/>
    <s v="SELL"/>
    <n v="0.01"/>
    <d v="2025-04-09T15:33:12"/>
    <n v="5004.7"/>
    <d v="2025-04-09T15:35:06"/>
    <n v="5005.2"/>
    <s v="xStation 5"/>
    <s v="xStation 5"/>
    <m/>
    <m/>
    <m/>
    <m/>
    <n v="12.51"/>
    <n v="0"/>
    <n v="0"/>
    <n v="0"/>
    <n v="-0.25"/>
  </r>
  <r>
    <n v="1756797155"/>
    <x v="37"/>
    <x v="2"/>
    <n v="2.6323996698025798E-5"/>
    <x v="1"/>
    <x v="0"/>
    <s v="SELL"/>
    <n v="0.01"/>
    <d v="2025-04-09T15:37:31"/>
    <n v="4992.2"/>
    <d v="2025-04-09T15:38:40"/>
    <n v="5013.3999999999996"/>
    <s v="xStation 5"/>
    <s v="xStation 5"/>
    <m/>
    <m/>
    <m/>
    <m/>
    <n v="12.48"/>
    <n v="0"/>
    <n v="0"/>
    <n v="0"/>
    <n v="-10.6"/>
  </r>
  <r>
    <n v="1767688540"/>
    <x v="23"/>
    <x v="2"/>
    <n v="1.3184357934524534E-3"/>
    <x v="1"/>
    <x v="0"/>
    <s v="BUY"/>
    <n v="0.01"/>
    <d v="2025-04-14T15:06:24"/>
    <n v="20.122599999999998"/>
    <d v="2025-04-14T16:04:19"/>
    <n v="20.047000000000001"/>
    <s v="xStation Mobile iOS"/>
    <s v="xStation Mobile iOS"/>
    <m/>
    <m/>
    <n v="20.047999999999998"/>
    <n v="20.340399999999999"/>
    <n v="5"/>
    <n v="0"/>
    <n v="0"/>
    <n v="0"/>
    <n v="-3.77"/>
  </r>
  <r>
    <n v="1768229183"/>
    <x v="23"/>
    <x v="2"/>
    <n v="1.9570757409740911E-3"/>
    <x v="1"/>
    <x v="0"/>
    <s v="BUY"/>
    <n v="0.01"/>
    <d v="2025-04-14T17:08:12"/>
    <n v="20.075900000000001"/>
    <d v="2025-04-14T18:34:09"/>
    <n v="20.1099"/>
    <s v="xStation Mobile iOS"/>
    <s v="xStation Mobile iOS"/>
    <m/>
    <m/>
    <n v="20.1099"/>
    <n v="20.212199999999999"/>
    <n v="5"/>
    <n v="0"/>
    <n v="0"/>
    <n v="0"/>
    <n v="1.69"/>
  </r>
  <r>
    <n v="1769815245"/>
    <x v="23"/>
    <x v="2"/>
    <n v="3.5937135704205234E-3"/>
    <x v="1"/>
    <x v="0"/>
    <s v="BUY"/>
    <n v="0.01"/>
    <d v="2025-04-15T12:03:49"/>
    <n v="20.054500000000001"/>
    <d v="2025-04-15T14:41:39"/>
    <n v="19.973500000000001"/>
    <s v="xStation Mobile iOS"/>
    <s v="xStation Mobile iOS"/>
    <m/>
    <m/>
    <n v="19.9742"/>
    <m/>
    <n v="5"/>
    <n v="0"/>
    <n v="0"/>
    <n v="0"/>
    <n v="-4.0599999999999996"/>
  </r>
  <r>
    <n v="1666451221"/>
    <x v="36"/>
    <x v="4"/>
    <n v="1.8416413475244524"/>
    <x v="0"/>
    <x v="0"/>
    <s v="BUY"/>
    <n v="5.28E-2"/>
    <d v="2025-02-20T16:19:32"/>
    <n v="43"/>
    <d v="2025-04-17T20:24:25"/>
    <n v="47.89"/>
    <s v="xStation Mobile iOS"/>
    <s v="xStation Mobile iOS"/>
    <n v="2.27"/>
    <n v="2.5299999999999998"/>
    <m/>
    <m/>
    <m/>
    <n v="0"/>
    <n v="0"/>
    <n v="0"/>
    <n v="0.25"/>
  </r>
  <r>
    <n v="1450043624"/>
    <x v="34"/>
    <x v="3"/>
    <n v="7.2196768947343104"/>
    <x v="0"/>
    <x v="0"/>
    <s v="BUY"/>
    <n v="0.1"/>
    <d v="2024-09-09T15:38:21"/>
    <n v="147.47999999999999"/>
    <d v="2025-04-17T20:26:34"/>
    <n v="143.22"/>
    <s v="xStation Mobile iOS"/>
    <s v="xStation Mobile iOS"/>
    <n v="14.75"/>
    <n v="14.32"/>
    <m/>
    <m/>
    <m/>
    <n v="0"/>
    <n v="0"/>
    <n v="0"/>
    <n v="-0.42"/>
  </r>
  <r>
    <n v="1777308201"/>
    <x v="23"/>
    <x v="2"/>
    <n v="3.6890861949478808E-4"/>
    <x v="1"/>
    <x v="0"/>
    <s v="BUY"/>
    <n v="0.01"/>
    <d v="2025-04-21T02:55:25"/>
    <n v="19.705300000000001"/>
    <d v="2025-04-21T03:11:37"/>
    <n v="19.715399999999999"/>
    <s v="xStation Mobile iOS"/>
    <s v="xStation Mobile iOS"/>
    <m/>
    <m/>
    <m/>
    <m/>
    <n v="5"/>
    <n v="0"/>
    <n v="0"/>
    <n v="0"/>
    <n v="0.51"/>
  </r>
  <r>
    <n v="1781449563"/>
    <x v="23"/>
    <x v="2"/>
    <n v="7.4427481955413512E-4"/>
    <x v="1"/>
    <x v="0"/>
    <s v="BUY"/>
    <n v="0.01"/>
    <d v="2025-04-22T17:42:55"/>
    <n v="19.579999999999998"/>
    <d v="2025-04-22T18:15:37"/>
    <n v="19.525500000000001"/>
    <s v="xStation Mobile iOS"/>
    <s v="xStation Mobile iOS"/>
    <m/>
    <m/>
    <m/>
    <m/>
    <n v="5"/>
    <n v="0"/>
    <n v="0"/>
    <n v="0"/>
    <n v="-2.79"/>
  </r>
  <r>
    <n v="1560258921"/>
    <x v="38"/>
    <x v="7"/>
    <n v="5.0261934578032745"/>
    <x v="0"/>
    <x v="0"/>
    <s v="BUY"/>
    <n v="1"/>
    <d v="2024-12-03T09:04:18"/>
    <n v="48.68"/>
    <d v="2025-05-05T16:14:43"/>
    <n v="44.15"/>
    <s v="xStation Mobile iOS"/>
    <s v="xStation Mobile iOS"/>
    <n v="51.41"/>
    <n v="49.84"/>
    <m/>
    <m/>
    <m/>
    <n v="0"/>
    <n v="0"/>
    <n v="0"/>
    <n v="-1.57"/>
  </r>
  <r>
    <n v="1748583646"/>
    <x v="38"/>
    <x v="7"/>
    <n v="0.9212295081968358"/>
    <x v="0"/>
    <x v="0"/>
    <s v="BUY"/>
    <n v="1"/>
    <d v="2025-04-07T13:54:19"/>
    <n v="37.258000000000003"/>
    <d v="2025-05-05T16:14:43"/>
    <n v="44.15"/>
    <s v="xStation Mobile iOS"/>
    <s v="xStation Mobile iOS"/>
    <n v="41.06"/>
    <n v="49.84"/>
    <m/>
    <m/>
    <m/>
    <n v="0"/>
    <n v="0"/>
    <n v="0"/>
    <n v="8.7799999999999994"/>
  </r>
  <r>
    <n v="1373808226"/>
    <x v="19"/>
    <x v="0"/>
    <n v="10.10222483872122"/>
    <x v="0"/>
    <x v="0"/>
    <s v="BUY"/>
    <n v="2.3400000000000001E-2"/>
    <d v="2024-07-03T15:48:40"/>
    <n v="459.24"/>
    <d v="2025-05-07T18:38:22"/>
    <n v="434.71"/>
    <s v="xStation Mobile iOS"/>
    <s v="xStation Mobile iOS"/>
    <n v="10.75"/>
    <n v="10.17"/>
    <m/>
    <m/>
    <m/>
    <n v="0"/>
    <n v="0"/>
    <n v="0"/>
    <n v="-0.57999999999999996"/>
  </r>
  <r>
    <n v="1426782063"/>
    <x v="19"/>
    <x v="0"/>
    <n v="8.560993852078786"/>
    <x v="0"/>
    <x v="0"/>
    <s v="BUY"/>
    <n v="3.7199999999999997E-2"/>
    <d v="2024-08-19T15:59:31"/>
    <n v="419.46"/>
    <d v="2025-05-07T18:38:22"/>
    <n v="434.71"/>
    <s v="xStation Mobile iOS"/>
    <s v="xStation Mobile iOS"/>
    <n v="15.6"/>
    <n v="16.170000000000002"/>
    <m/>
    <m/>
    <m/>
    <n v="0"/>
    <n v="0"/>
    <n v="0"/>
    <n v="0.56000000000000005"/>
  </r>
  <r>
    <n v="1426782063"/>
    <x v="19"/>
    <x v="0"/>
    <n v="8.5899187367181415"/>
    <x v="0"/>
    <x v="0"/>
    <s v="BUY"/>
    <n v="0.01"/>
    <d v="2024-08-19T15:59:31"/>
    <n v="419.46"/>
    <d v="2025-05-08T15:48:45"/>
    <n v="437.05"/>
    <s v="xStation Mobile iOS"/>
    <s v="xStation Mobile iOS"/>
    <n v="4.1900000000000004"/>
    <n v="4.37"/>
    <m/>
    <m/>
    <m/>
    <n v="0"/>
    <n v="0"/>
    <n v="0"/>
    <n v="0.18"/>
  </r>
  <r>
    <n v="1744929368"/>
    <x v="21"/>
    <x v="5"/>
    <n v="1.1119371227999733"/>
    <x v="0"/>
    <x v="0"/>
    <s v="BUY"/>
    <n v="4.24E-2"/>
    <d v="2025-04-04T17:52:49"/>
    <n v="324.48"/>
    <d v="2025-05-08T15:49:05"/>
    <n v="353.02"/>
    <s v="xStation 5"/>
    <s v="xStation Mobile iOS"/>
    <n v="13.76"/>
    <n v="14.97"/>
    <m/>
    <m/>
    <m/>
    <n v="0"/>
    <n v="0"/>
    <n v="0"/>
    <n v="1.21"/>
  </r>
  <r>
    <n v="1414372592"/>
    <x v="33"/>
    <x v="5"/>
    <n v="8.9815608917737428"/>
    <x v="0"/>
    <x v="0"/>
    <s v="BUY"/>
    <n v="2.29E-2"/>
    <d v="2024-08-07T17:20:56"/>
    <n v="455.4"/>
    <d v="2025-05-08T15:51:05"/>
    <n v="568.92999999999995"/>
    <s v="xStation Mobile iOS"/>
    <s v="xStation Mobile iOS"/>
    <n v="10.43"/>
    <n v="13.03"/>
    <m/>
    <m/>
    <m/>
    <n v="0"/>
    <n v="0"/>
    <n v="0"/>
    <n v="2.6"/>
  </r>
  <r>
    <n v="1582737192"/>
    <x v="33"/>
    <x v="5"/>
    <n v="4.5822636130099861"/>
    <x v="0"/>
    <x v="0"/>
    <s v="BUY"/>
    <n v="3.7100000000000001E-2"/>
    <d v="2024-12-19T21:38:04"/>
    <n v="524.42999999999995"/>
    <d v="2025-05-08T15:51:05"/>
    <n v="568.92999999999995"/>
    <s v="xStation Mobile Android"/>
    <s v="xStation Mobile iOS"/>
    <n v="19.46"/>
    <n v="21.11"/>
    <m/>
    <m/>
    <m/>
    <n v="0"/>
    <n v="0"/>
    <n v="0"/>
    <n v="1.65"/>
  </r>
  <r>
    <n v="1599454287"/>
    <x v="39"/>
    <x v="4"/>
    <n v="4.1938561130065537"/>
    <x v="0"/>
    <x v="0"/>
    <s v="BUY"/>
    <n v="7.6300000000000007E-2"/>
    <d v="2025-01-06T17:41:30"/>
    <n v="196.49"/>
    <d v="2025-05-14T15:35:40"/>
    <n v="196.89"/>
    <s v="xStation Mobile iOS"/>
    <s v="xStation Mobile iOS"/>
    <n v="14.99"/>
    <n v="15.02"/>
    <m/>
    <m/>
    <m/>
    <n v="0"/>
    <n v="0"/>
    <n v="0"/>
    <n v="0.03"/>
  </r>
  <r>
    <n v="1621495599"/>
    <x v="39"/>
    <x v="4"/>
    <n v="3.6989411141443806"/>
    <x v="0"/>
    <x v="0"/>
    <s v="BUY"/>
    <n v="8.1699999999999995E-2"/>
    <d v="2025-01-21T19:58:10"/>
    <n v="183.39"/>
    <d v="2025-05-14T15:35:40"/>
    <n v="196.89"/>
    <s v="xStation Mobile iOS"/>
    <s v="xStation Mobile iOS"/>
    <n v="14.98"/>
    <n v="16.09"/>
    <m/>
    <m/>
    <m/>
    <n v="0"/>
    <n v="0"/>
    <n v="0"/>
    <n v="1.1100000000000001"/>
  </r>
  <r>
    <n v="1631467534"/>
    <x v="39"/>
    <x v="4"/>
    <n v="3.4694232972819248"/>
    <x v="0"/>
    <x v="0"/>
    <s v="BUY"/>
    <n v="9.3700000000000006E-2"/>
    <d v="2025-01-28T19:58:35"/>
    <n v="159.74"/>
    <d v="2025-05-14T15:35:40"/>
    <n v="196.89"/>
    <s v="xStation Mobile iOS"/>
    <s v="xStation Mobile iOS"/>
    <n v="14.97"/>
    <n v="18.45"/>
    <m/>
    <m/>
    <m/>
    <n v="0"/>
    <n v="0"/>
    <n v="0"/>
    <n v="3.48"/>
  </r>
  <r>
    <n v="1666449688"/>
    <x v="39"/>
    <x v="4"/>
    <n v="2.7203211710656148"/>
    <x v="0"/>
    <x v="0"/>
    <s v="BUY"/>
    <n v="9.3200000000000005E-2"/>
    <d v="2025-02-20T16:19:09"/>
    <n v="160.68"/>
    <d v="2025-05-14T15:35:40"/>
    <n v="196.89"/>
    <s v="xStation Mobile iOS"/>
    <s v="xStation Mobile iOS"/>
    <n v="14.98"/>
    <n v="18.350000000000001"/>
    <m/>
    <m/>
    <m/>
    <n v="0"/>
    <n v="0"/>
    <n v="0"/>
    <n v="3.37"/>
  </r>
  <r>
    <n v="1701098878"/>
    <x v="39"/>
    <x v="4"/>
    <n v="2.0910848633869987"/>
    <x v="0"/>
    <x v="0"/>
    <s v="BUY"/>
    <n v="5.1000000000000004E-3"/>
    <d v="2025-03-11T20:55:13"/>
    <n v="139.41"/>
    <d v="2025-05-14T15:35:40"/>
    <n v="196.89"/>
    <s v="xStation Mobile iOS"/>
    <s v="xStation Mobile iOS"/>
    <n v="0.71"/>
    <n v="1"/>
    <m/>
    <m/>
    <m/>
    <n v="0"/>
    <n v="0"/>
    <n v="0"/>
    <n v="0.28999999999999998"/>
  </r>
  <r>
    <n v="1701098878"/>
    <x v="39"/>
    <x v="4"/>
    <n v="2.1237663683967214"/>
    <x v="0"/>
    <x v="0"/>
    <s v="BUY"/>
    <n v="0.1"/>
    <d v="2025-03-11T20:55:13"/>
    <n v="139.41"/>
    <d v="2025-05-15T15:31:02"/>
    <n v="188.02"/>
    <s v="xStation Mobile iOS"/>
    <s v="xStation Mobile iOS"/>
    <n v="13.94"/>
    <n v="18.8"/>
    <m/>
    <m/>
    <m/>
    <n v="0"/>
    <n v="0"/>
    <n v="0"/>
    <n v="4.8600000000000003"/>
  </r>
  <r>
    <n v="1426782063"/>
    <x v="19"/>
    <x v="0"/>
    <n v="8.8190649438362669"/>
    <x v="0"/>
    <x v="0"/>
    <s v="BUY"/>
    <n v="4.0000000000000002E-4"/>
    <d v="2024-08-19T15:59:31"/>
    <n v="419.46"/>
    <d v="2025-05-15T15:32:51"/>
    <n v="452.34"/>
    <s v="xStation Mobile iOS"/>
    <s v="xStation Mobile iOS"/>
    <n v="0.17"/>
    <n v="0.18"/>
    <m/>
    <m/>
    <m/>
    <n v="0"/>
    <n v="0"/>
    <n v="0"/>
    <n v="0.01"/>
  </r>
  <r>
    <n v="1481614059"/>
    <x v="19"/>
    <x v="0"/>
    <n v="7.3400906227213198"/>
    <x v="0"/>
    <x v="0"/>
    <s v="BUY"/>
    <n v="3.5900000000000001E-2"/>
    <d v="2024-10-03T18:36:05"/>
    <n v="417.1"/>
    <d v="2025-05-15T15:32:51"/>
    <n v="452.34"/>
    <s v="xStation Mobile iOS"/>
    <s v="xStation Mobile iOS"/>
    <n v="14.97"/>
    <n v="16.239999999999998"/>
    <m/>
    <m/>
    <m/>
    <n v="0"/>
    <n v="0"/>
    <n v="0"/>
    <n v="1.27"/>
  </r>
  <r>
    <n v="1517514880"/>
    <x v="19"/>
    <x v="0"/>
    <n v="6.3946539427737754"/>
    <x v="0"/>
    <x v="0"/>
    <s v="BUY"/>
    <n v="3.7000000000000002E-3"/>
    <d v="2024-11-01T14:39:39"/>
    <n v="409.38"/>
    <d v="2025-05-15T15:32:51"/>
    <n v="452.34"/>
    <s v="xStation Mobile iOS"/>
    <s v="xStation Mobile iOS"/>
    <n v="1.51"/>
    <n v="1.67"/>
    <m/>
    <m/>
    <m/>
    <n v="0"/>
    <n v="0"/>
    <n v="0"/>
    <n v="0.16"/>
  </r>
  <r>
    <s v="Total"/>
    <x v="40"/>
    <x v="2"/>
    <e v="#VALUE!"/>
    <x v="1"/>
    <x v="1"/>
    <s v=""/>
    <s v=""/>
    <s v=""/>
    <s v=""/>
    <s v=""/>
    <s v=""/>
    <s v=""/>
    <s v=""/>
    <s v=""/>
    <s v=""/>
    <s v=""/>
    <s v=""/>
    <s v=""/>
    <n v="0"/>
    <n v="-2.3199999999999998"/>
    <n v="0"/>
    <n v="31.62"/>
  </r>
  <r>
    <m/>
    <x v="41"/>
    <x v="8"/>
    <m/>
    <x v="2"/>
    <x v="2"/>
    <m/>
    <m/>
    <m/>
    <m/>
    <m/>
    <m/>
    <m/>
    <m/>
    <m/>
    <m/>
    <m/>
    <m/>
    <m/>
    <m/>
    <m/>
    <m/>
    <m/>
  </r>
  <r>
    <m/>
    <x v="41"/>
    <x v="8"/>
    <m/>
    <x v="2"/>
    <x v="2"/>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2">
  <r>
    <n v="807882095"/>
    <x v="0"/>
    <x v="0"/>
    <s v="OPEN BUY 0.2267 @ 44.10"/>
    <x v="0"/>
    <x v="0"/>
    <b v="1"/>
    <x v="0"/>
    <n v="-10"/>
  </r>
  <r>
    <n v="743536649"/>
    <x v="1"/>
    <x v="1"/>
    <s v="Profit of position #1393281432"/>
    <x v="1"/>
    <x v="1"/>
    <b v="1"/>
    <x v="1"/>
    <n v="0.21"/>
  </r>
  <r>
    <n v="743536650"/>
    <x v="2"/>
    <x v="1"/>
    <s v="CLOSE BUY 1/1.6706 @ 6.1860"/>
    <x v="1"/>
    <x v="1"/>
    <b v="1"/>
    <x v="1"/>
    <n v="5.98"/>
  </r>
  <r>
    <n v="743538255"/>
    <x v="1"/>
    <x v="2"/>
    <s v="Profit of position #1393281260"/>
    <x v="2"/>
    <x v="1"/>
    <b v="1"/>
    <x v="1"/>
    <n v="0.3"/>
  </r>
  <r>
    <n v="743538256"/>
    <x v="2"/>
    <x v="2"/>
    <s v="CLOSE BUY 1.4632/2.9908 @ 6.0200"/>
    <x v="2"/>
    <x v="1"/>
    <b v="1"/>
    <x v="1"/>
    <n v="8.51"/>
  </r>
  <r>
    <n v="743538257"/>
    <x v="1"/>
    <x v="2"/>
    <s v="Profit of position #1393287040"/>
    <x v="2"/>
    <x v="1"/>
    <b v="1"/>
    <x v="1"/>
    <n v="0.06"/>
  </r>
  <r>
    <n v="743538259"/>
    <x v="2"/>
    <x v="2"/>
    <s v="CLOSE BUY 0.2503/2.9908 @ 6.0200"/>
    <x v="2"/>
    <x v="1"/>
    <b v="1"/>
    <x v="1"/>
    <n v="1.45"/>
  </r>
  <r>
    <n v="743538262"/>
    <x v="1"/>
    <x v="2"/>
    <s v="Profit of position #1403180431"/>
    <x v="2"/>
    <x v="1"/>
    <b v="1"/>
    <x v="1"/>
    <n v="0.05"/>
  </r>
  <r>
    <n v="743538263"/>
    <x v="2"/>
    <x v="2"/>
    <s v="CLOSE BUY 0.2773/2.9908 @ 6.0200"/>
    <x v="2"/>
    <x v="1"/>
    <b v="1"/>
    <x v="1"/>
    <n v="1.62"/>
  </r>
  <r>
    <n v="743538266"/>
    <x v="1"/>
    <x v="2"/>
    <s v="Profit of position #1403180445"/>
    <x v="2"/>
    <x v="1"/>
    <b v="1"/>
    <x v="1"/>
    <n v="0.01"/>
  </r>
  <r>
    <n v="743538267"/>
    <x v="2"/>
    <x v="2"/>
    <s v="CLOSE BUY 0.0092/2.9908 @ 6.0200"/>
    <x v="2"/>
    <x v="1"/>
    <b v="1"/>
    <x v="1"/>
    <n v="0.05"/>
  </r>
  <r>
    <n v="743548157"/>
    <x v="1"/>
    <x v="3"/>
    <s v="Profit of position #1393735509"/>
    <x v="3"/>
    <x v="1"/>
    <b v="1"/>
    <x v="1"/>
    <n v="0.13"/>
  </r>
  <r>
    <n v="743548158"/>
    <x v="2"/>
    <x v="3"/>
    <s v="CLOSE BUY 0.0366/0.2569 @ 71.160"/>
    <x v="3"/>
    <x v="1"/>
    <b v="1"/>
    <x v="1"/>
    <n v="2.4700000000000002"/>
  </r>
  <r>
    <n v="743548159"/>
    <x v="1"/>
    <x v="3"/>
    <s v="Profit of position #1395218355"/>
    <x v="3"/>
    <x v="1"/>
    <b v="1"/>
    <x v="1"/>
    <n v="0.3"/>
  </r>
  <r>
    <n v="743548160"/>
    <x v="2"/>
    <x v="3"/>
    <s v="CLOSE BUY 0.074/0.2569 @ 71.160"/>
    <x v="3"/>
    <x v="1"/>
    <b v="1"/>
    <x v="1"/>
    <n v="4.97"/>
  </r>
  <r>
    <n v="743548161"/>
    <x v="1"/>
    <x v="3"/>
    <s v="Profit of position #1403166009"/>
    <x v="3"/>
    <x v="1"/>
    <b v="1"/>
    <x v="1"/>
    <n v="0.12"/>
  </r>
  <r>
    <n v="743548162"/>
    <x v="2"/>
    <x v="3"/>
    <s v="CLOSE BUY 0.0362/0.2569 @ 71.160"/>
    <x v="3"/>
    <x v="1"/>
    <b v="1"/>
    <x v="1"/>
    <n v="2.46"/>
  </r>
  <r>
    <n v="743548163"/>
    <x v="1"/>
    <x v="3"/>
    <s v="Profit of position #1403177543"/>
    <x v="3"/>
    <x v="1"/>
    <b v="1"/>
    <x v="1"/>
    <n v="0.12"/>
  </r>
  <r>
    <n v="743548164"/>
    <x v="2"/>
    <x v="3"/>
    <s v="CLOSE BUY 0.0368/0.2569 @ 71.160"/>
    <x v="3"/>
    <x v="1"/>
    <b v="1"/>
    <x v="1"/>
    <n v="2.5"/>
  </r>
  <r>
    <n v="743548165"/>
    <x v="1"/>
    <x v="3"/>
    <s v="Profit of position #1403180429"/>
    <x v="3"/>
    <x v="1"/>
    <b v="1"/>
    <x v="1"/>
    <n v="0.23"/>
  </r>
  <r>
    <n v="743548166"/>
    <x v="2"/>
    <x v="3"/>
    <s v="CLOSE BUY 0.0733/0.2569 @ 71.160"/>
    <x v="3"/>
    <x v="1"/>
    <b v="1"/>
    <x v="1"/>
    <n v="4.99"/>
  </r>
  <r>
    <n v="743719828"/>
    <x v="1"/>
    <x v="4"/>
    <s v="Profit of position #1403180445"/>
    <x v="2"/>
    <x v="1"/>
    <b v="1"/>
    <x v="1"/>
    <n v="0.18"/>
  </r>
  <r>
    <n v="743719829"/>
    <x v="2"/>
    <x v="4"/>
    <s v="CLOSE BUY 0.9908/2.9908 @ 6.0270"/>
    <x v="2"/>
    <x v="1"/>
    <b v="1"/>
    <x v="1"/>
    <n v="5.79"/>
  </r>
  <r>
    <n v="745059929"/>
    <x v="2"/>
    <x v="5"/>
    <s v="CLOSE BUY 0.1102/0.6706 @ 6.1760"/>
    <x v="1"/>
    <x v="1"/>
    <b v="1"/>
    <x v="2"/>
    <n v="0.66"/>
  </r>
  <r>
    <n v="745059930"/>
    <x v="1"/>
    <x v="5"/>
    <s v="Profit of position #1393301698"/>
    <x v="1"/>
    <x v="1"/>
    <b v="1"/>
    <x v="2"/>
    <n v="0.03"/>
  </r>
  <r>
    <n v="745059931"/>
    <x v="2"/>
    <x v="5"/>
    <s v="CLOSE BUY 0.1401/0.6706 @ 6.1760"/>
    <x v="1"/>
    <x v="1"/>
    <b v="1"/>
    <x v="2"/>
    <n v="0.84"/>
  </r>
  <r>
    <n v="745059932"/>
    <x v="1"/>
    <x v="5"/>
    <s v="Profit of position #1403180427"/>
    <x v="1"/>
    <x v="1"/>
    <b v="1"/>
    <x v="2"/>
    <n v="0.08"/>
  </r>
  <r>
    <n v="745059933"/>
    <x v="2"/>
    <x v="5"/>
    <s v="CLOSE BUY 0.4203/0.6706 @ 6.1760"/>
    <x v="1"/>
    <x v="1"/>
    <b v="1"/>
    <x v="2"/>
    <n v="2.52"/>
  </r>
  <r>
    <n v="745059994"/>
    <x v="3"/>
    <x v="6"/>
    <s v="Transfer from 50872299 to 50704832"/>
    <x v="4"/>
    <x v="2"/>
    <b v="1"/>
    <x v="2"/>
    <n v="-52.08"/>
  </r>
  <r>
    <n v="745059928"/>
    <x v="1"/>
    <x v="5"/>
    <s v="Profit of position #1393281432"/>
    <x v="1"/>
    <x v="1"/>
    <b v="1"/>
    <x v="2"/>
    <n v="0.02"/>
  </r>
  <r>
    <n v="584485943"/>
    <x v="3"/>
    <x v="7"/>
    <s v="Transfer from 50704832 to 50872299"/>
    <x v="4"/>
    <x v="2"/>
    <b v="1"/>
    <x v="3"/>
    <n v="50"/>
  </r>
  <r>
    <n v="584584545"/>
    <x v="0"/>
    <x v="8"/>
    <s v="OPEN BUY 4/4.1401 @ 5.9810"/>
    <x v="1"/>
    <x v="1"/>
    <b v="1"/>
    <x v="4"/>
    <n v="-23.92"/>
  </r>
  <r>
    <n v="584584380"/>
    <x v="0"/>
    <x v="9"/>
    <s v="OPEN BUY 4/4.2503 @ 5.8120"/>
    <x v="2"/>
    <x v="1"/>
    <b v="1"/>
    <x v="4"/>
    <n v="-23.25"/>
  </r>
  <r>
    <n v="584587915"/>
    <x v="0"/>
    <x v="10"/>
    <s v="OPEN BUY 0.2503/4.2503 @ 5.8110"/>
    <x v="2"/>
    <x v="1"/>
    <b v="1"/>
    <x v="4"/>
    <n v="-1.45"/>
  </r>
  <r>
    <n v="584598125"/>
    <x v="0"/>
    <x v="11"/>
    <s v="OPEN BUY 0.1401/4.1401 @ 5.9900"/>
    <x v="1"/>
    <x v="1"/>
    <b v="1"/>
    <x v="4"/>
    <n v="-0.84"/>
  </r>
  <r>
    <n v="584801661"/>
    <x v="0"/>
    <x v="12"/>
    <s v="OPEN BUY 0.0366 @ 67.370"/>
    <x v="3"/>
    <x v="1"/>
    <b v="1"/>
    <x v="4"/>
    <n v="-2.4700000000000002"/>
  </r>
  <r>
    <n v="584801647"/>
    <x v="1"/>
    <x v="13"/>
    <s v="Profit of position #1393281260"/>
    <x v="2"/>
    <x v="1"/>
    <b v="1"/>
    <x v="4"/>
    <n v="0"/>
  </r>
  <r>
    <n v="584801648"/>
    <x v="2"/>
    <x v="13"/>
    <s v="CLOSE BUY 0.5612 @ 5.8100"/>
    <x v="2"/>
    <x v="1"/>
    <b v="1"/>
    <x v="4"/>
    <n v="3.26"/>
  </r>
  <r>
    <n v="584801643"/>
    <x v="1"/>
    <x v="13"/>
    <s v="Profit of position #1393281432"/>
    <x v="1"/>
    <x v="1"/>
    <b v="1"/>
    <x v="4"/>
    <n v="-0.01"/>
  </r>
  <r>
    <n v="584801644"/>
    <x v="2"/>
    <x v="13"/>
    <s v="CLOSE BUY 0.632 @ 5.9670"/>
    <x v="1"/>
    <x v="1"/>
    <b v="1"/>
    <x v="4"/>
    <n v="3.78"/>
  </r>
  <r>
    <n v="585465634"/>
    <x v="0"/>
    <x v="14"/>
    <s v="OPEN BUY 0.074 @ 67.130"/>
    <x v="3"/>
    <x v="1"/>
    <b v="1"/>
    <x v="5"/>
    <n v="-4.97"/>
  </r>
  <r>
    <n v="585465630"/>
    <x v="1"/>
    <x v="14"/>
    <s v="Profit of position #1393281260"/>
    <x v="2"/>
    <x v="1"/>
    <b v="1"/>
    <x v="5"/>
    <n v="-0.01"/>
  </r>
  <r>
    <n v="585465631"/>
    <x v="2"/>
    <x v="14"/>
    <s v="CLOSE BUY 0.555/1.555 @ 5.8010"/>
    <x v="2"/>
    <x v="1"/>
    <b v="1"/>
    <x v="5"/>
    <n v="3.23"/>
  </r>
  <r>
    <n v="807888051"/>
    <x v="0"/>
    <x v="15"/>
    <s v="OPEN BUY 0.4757 @ 42.02"/>
    <x v="5"/>
    <x v="3"/>
    <b v="1"/>
    <x v="0"/>
    <n v="-19.989999999999998"/>
  </r>
  <r>
    <n v="585465632"/>
    <x v="1"/>
    <x v="14"/>
    <s v="Profit of position #1393281432"/>
    <x v="1"/>
    <x v="1"/>
    <b v="1"/>
    <x v="5"/>
    <n v="-0.01"/>
  </r>
  <r>
    <n v="585465633"/>
    <x v="2"/>
    <x v="14"/>
    <s v="CLOSE BUY 0.4344/1.4344 @ 5.9680"/>
    <x v="1"/>
    <x v="1"/>
    <b v="1"/>
    <x v="5"/>
    <n v="2.6"/>
  </r>
  <r>
    <n v="585515127"/>
    <x v="1"/>
    <x v="16"/>
    <s v="Profit of position #1393281432"/>
    <x v="1"/>
    <x v="1"/>
    <b v="1"/>
    <x v="5"/>
    <n v="0"/>
  </r>
  <r>
    <n v="585515128"/>
    <x v="2"/>
    <x v="16"/>
    <s v="CLOSE BUY 1/1.4344 @ 5.9780"/>
    <x v="1"/>
    <x v="1"/>
    <b v="1"/>
    <x v="5"/>
    <n v="5.98"/>
  </r>
  <r>
    <n v="585515124"/>
    <x v="1"/>
    <x v="16"/>
    <s v="Profit of position #1393281260"/>
    <x v="2"/>
    <x v="1"/>
    <b v="1"/>
    <x v="5"/>
    <n v="0"/>
  </r>
  <r>
    <n v="585515125"/>
    <x v="2"/>
    <x v="16"/>
    <s v="CLOSE BUY 1/1.555 @ 5.8140"/>
    <x v="2"/>
    <x v="1"/>
    <b v="1"/>
    <x v="5"/>
    <n v="5.81"/>
  </r>
  <r>
    <n v="589161439"/>
    <x v="1"/>
    <x v="17"/>
    <s v="Profit of position #1393281260"/>
    <x v="2"/>
    <x v="1"/>
    <b v="1"/>
    <x v="6"/>
    <n v="0.01"/>
  </r>
  <r>
    <n v="589161440"/>
    <x v="2"/>
    <x v="17"/>
    <s v="CLOSE BUY 0.4206 @ 5.8260"/>
    <x v="2"/>
    <x v="1"/>
    <b v="1"/>
    <x v="6"/>
    <n v="2.44"/>
  </r>
  <r>
    <n v="589161441"/>
    <x v="1"/>
    <x v="17"/>
    <s v="Profit of position #1393281432"/>
    <x v="1"/>
    <x v="1"/>
    <b v="1"/>
    <x v="6"/>
    <n v="0"/>
  </r>
  <r>
    <n v="589161442"/>
    <x v="2"/>
    <x v="17"/>
    <s v="CLOSE BUY 0.4033 @ 5.9800"/>
    <x v="1"/>
    <x v="1"/>
    <b v="1"/>
    <x v="6"/>
    <n v="2.41"/>
  </r>
  <r>
    <n v="750463509"/>
    <x v="4"/>
    <x v="18"/>
    <s v="NEE.US USD 0.5665/ SHR"/>
    <x v="6"/>
    <x v="0"/>
    <b v="1"/>
    <x v="7"/>
    <n v="0.15"/>
  </r>
  <r>
    <n v="589161443"/>
    <x v="0"/>
    <x v="17"/>
    <s v="OPEN BUY 0.0362 @ 68.050"/>
    <x v="3"/>
    <x v="1"/>
    <b v="1"/>
    <x v="6"/>
    <n v="-2.46"/>
  </r>
  <r>
    <n v="589165770"/>
    <x v="0"/>
    <x v="19"/>
    <s v="OPEN BUY 0.0368 @ 68.045"/>
    <x v="3"/>
    <x v="1"/>
    <b v="1"/>
    <x v="6"/>
    <n v="-2.5"/>
  </r>
  <r>
    <n v="589166859"/>
    <x v="0"/>
    <x v="20"/>
    <s v="OPEN BUY 0.0733 @ 68.010"/>
    <x v="3"/>
    <x v="1"/>
    <b v="1"/>
    <x v="6"/>
    <n v="-4.99"/>
  </r>
  <r>
    <n v="589165768"/>
    <x v="1"/>
    <x v="19"/>
    <s v="Profit of position #1393281432"/>
    <x v="1"/>
    <x v="1"/>
    <b v="1"/>
    <x v="6"/>
    <n v="0"/>
  </r>
  <r>
    <n v="589165769"/>
    <x v="2"/>
    <x v="19"/>
    <s v="CLOSE BUY 0.4201 @ 5.9800"/>
    <x v="1"/>
    <x v="1"/>
    <b v="1"/>
    <x v="6"/>
    <n v="2.5099999999999998"/>
  </r>
  <r>
    <n v="589166872"/>
    <x v="0"/>
    <x v="21"/>
    <s v="OPEN BUY 1/1.2773 @ 5.8360"/>
    <x v="2"/>
    <x v="1"/>
    <b v="1"/>
    <x v="6"/>
    <n v="-5.84"/>
  </r>
  <r>
    <n v="750463510"/>
    <x v="5"/>
    <x v="18"/>
    <s v="NEE.US USD WHT 30%"/>
    <x v="6"/>
    <x v="0"/>
    <b v="1"/>
    <x v="7"/>
    <n v="-0.05"/>
  </r>
  <r>
    <n v="750464758"/>
    <x v="4"/>
    <x v="18"/>
    <s v="NEE.US USD 0.5665/ SHR"/>
    <x v="6"/>
    <x v="0"/>
    <b v="1"/>
    <x v="7"/>
    <n v="0.11"/>
  </r>
  <r>
    <n v="589166858"/>
    <x v="0"/>
    <x v="20"/>
    <s v="OPEN BUY 0.4203 @ 5.9890"/>
    <x v="1"/>
    <x v="1"/>
    <b v="1"/>
    <x v="6"/>
    <n v="-2.52"/>
  </r>
  <r>
    <n v="589166860"/>
    <x v="0"/>
    <x v="20"/>
    <s v="OPEN BUY 0.2773/1.2773 @ 5.8400"/>
    <x v="2"/>
    <x v="1"/>
    <b v="1"/>
    <x v="6"/>
    <n v="-1.62"/>
  </r>
  <r>
    <n v="622623348"/>
    <x v="4"/>
    <x v="22"/>
    <s v="VHYD.UK USD 0.4947/ SHR"/>
    <x v="3"/>
    <x v="1"/>
    <b v="1"/>
    <x v="8"/>
    <n v="0.04"/>
  </r>
  <r>
    <n v="750464759"/>
    <x v="5"/>
    <x v="18"/>
    <s v="NEE.US USD WHT 30%"/>
    <x v="6"/>
    <x v="0"/>
    <b v="1"/>
    <x v="7"/>
    <n v="-0.03"/>
  </r>
  <r>
    <n v="622623355"/>
    <x v="4"/>
    <x v="22"/>
    <s v="VHYD.UK USD 0.4947/ SHR"/>
    <x v="3"/>
    <x v="1"/>
    <b v="1"/>
    <x v="8"/>
    <n v="0.02"/>
  </r>
  <r>
    <n v="750460423"/>
    <x v="4"/>
    <x v="18"/>
    <s v="NEE.US USD 0.5665/ SHR"/>
    <x v="6"/>
    <x v="0"/>
    <b v="1"/>
    <x v="7"/>
    <n v="0.17"/>
  </r>
  <r>
    <n v="622623917"/>
    <x v="4"/>
    <x v="23"/>
    <s v="VHYD.UK USD 0.4947/ SHR"/>
    <x v="3"/>
    <x v="1"/>
    <b v="1"/>
    <x v="8"/>
    <n v="0.04"/>
  </r>
  <r>
    <n v="622625644"/>
    <x v="4"/>
    <x v="23"/>
    <s v="VHYD.UK USD 0.4947/ SHR"/>
    <x v="3"/>
    <x v="1"/>
    <b v="1"/>
    <x v="8"/>
    <n v="0.02"/>
  </r>
  <r>
    <n v="622630052"/>
    <x v="4"/>
    <x v="24"/>
    <s v="VHYD.UK USD 0.4947/ SHR"/>
    <x v="3"/>
    <x v="1"/>
    <b v="1"/>
    <x v="8"/>
    <n v="0.02"/>
  </r>
  <r>
    <n v="750460424"/>
    <x v="5"/>
    <x v="18"/>
    <s v="NEE.US USD WHT 30%"/>
    <x v="6"/>
    <x v="0"/>
    <b v="1"/>
    <x v="7"/>
    <n v="-0.05"/>
  </r>
  <r>
    <n v="750624973"/>
    <x v="4"/>
    <x v="25"/>
    <s v="GOOGL.US USD 0.2000/ SHR"/>
    <x v="7"/>
    <x v="4"/>
    <b v="1"/>
    <x v="7"/>
    <n v="0.01"/>
  </r>
  <r>
    <n v="686256998"/>
    <x v="4"/>
    <x v="26"/>
    <s v="VHYD.UK USD 0.4296/ SHR"/>
    <x v="3"/>
    <x v="1"/>
    <b v="1"/>
    <x v="9"/>
    <n v="0.03"/>
  </r>
  <r>
    <n v="686258590"/>
    <x v="4"/>
    <x v="26"/>
    <s v="VHYD.UK USD 0.4296/ SHR"/>
    <x v="3"/>
    <x v="1"/>
    <b v="1"/>
    <x v="9"/>
    <n v="0.02"/>
  </r>
  <r>
    <n v="747747257"/>
    <x v="4"/>
    <x v="27"/>
    <s v="MSFT.US USD 0.8300/ SHR"/>
    <x v="8"/>
    <x v="4"/>
    <b v="1"/>
    <x v="10"/>
    <n v="0.02"/>
  </r>
  <r>
    <n v="686260561"/>
    <x v="4"/>
    <x v="28"/>
    <s v="VHYD.UK USD 0.4296/ SHR"/>
    <x v="3"/>
    <x v="1"/>
    <b v="1"/>
    <x v="9"/>
    <n v="0.02"/>
  </r>
  <r>
    <n v="686268778"/>
    <x v="4"/>
    <x v="29"/>
    <s v="VHYD.UK USD 0.4296/ SHR"/>
    <x v="3"/>
    <x v="1"/>
    <b v="1"/>
    <x v="9"/>
    <n v="0.02"/>
  </r>
  <r>
    <n v="747747258"/>
    <x v="5"/>
    <x v="27"/>
    <s v="MSFT.US USD WHT 30%"/>
    <x v="8"/>
    <x v="4"/>
    <b v="1"/>
    <x v="10"/>
    <n v="-0.01"/>
  </r>
  <r>
    <n v="735126956"/>
    <x v="6"/>
    <x v="30"/>
    <s v="SafetyPay deposit, SafetyPay provider transaction id=0125059444032332, SafetyPay merchant reference id=249604, id=17602808"/>
    <x v="4"/>
    <x v="2"/>
    <b v="1"/>
    <x v="11"/>
    <n v="85"/>
  </r>
  <r>
    <n v="686269321"/>
    <x v="4"/>
    <x v="31"/>
    <s v="VHYD.UK USD 0.4296/ SHR"/>
    <x v="3"/>
    <x v="1"/>
    <b v="1"/>
    <x v="9"/>
    <n v="0.03"/>
  </r>
  <r>
    <n v="735131727"/>
    <x v="0"/>
    <x v="32"/>
    <s v="OPEN BUY 0.1958 @ 178.67"/>
    <x v="9"/>
    <x v="4"/>
    <b v="1"/>
    <x v="11"/>
    <n v="-34.979999999999997"/>
  </r>
  <r>
    <n v="735132884"/>
    <x v="0"/>
    <x v="33"/>
    <s v="OPEN BUY 0.7278 @ 20.60"/>
    <x v="10"/>
    <x v="0"/>
    <b v="1"/>
    <x v="11"/>
    <n v="-14.99"/>
  </r>
  <r>
    <n v="747758629"/>
    <x v="4"/>
    <x v="34"/>
    <s v="MSFT.US USD 0.8300/ SHR"/>
    <x v="8"/>
    <x v="4"/>
    <b v="1"/>
    <x v="10"/>
    <n v="0.02"/>
  </r>
  <r>
    <n v="747758630"/>
    <x v="5"/>
    <x v="34"/>
    <s v="MSFT.US USD WHT 30%"/>
    <x v="8"/>
    <x v="4"/>
    <b v="1"/>
    <x v="10"/>
    <n v="-0.01"/>
  </r>
  <r>
    <n v="735132266"/>
    <x v="0"/>
    <x v="35"/>
    <s v="OPEN BUY 1 @ 44.49"/>
    <x v="11"/>
    <x v="5"/>
    <b v="1"/>
    <x v="11"/>
    <n v="-44.49"/>
  </r>
  <r>
    <n v="747790405"/>
    <x v="4"/>
    <x v="36"/>
    <s v="MSFT.US USD 0.8300/ SHR"/>
    <x v="8"/>
    <x v="4"/>
    <b v="1"/>
    <x v="10"/>
    <n v="0.03"/>
  </r>
  <r>
    <n v="747790406"/>
    <x v="5"/>
    <x v="36"/>
    <s v="MSFT.US USD WHT 30%"/>
    <x v="8"/>
    <x v="4"/>
    <b v="1"/>
    <x v="10"/>
    <n v="-0.01"/>
  </r>
  <r>
    <n v="747779319"/>
    <x v="4"/>
    <x v="37"/>
    <s v="MSFT.US USD 0.8300/ SHR"/>
    <x v="8"/>
    <x v="4"/>
    <b v="1"/>
    <x v="10"/>
    <n v="0.02"/>
  </r>
  <r>
    <n v="747779320"/>
    <x v="5"/>
    <x v="37"/>
    <s v="MSFT.US USD WHT 30%"/>
    <x v="8"/>
    <x v="4"/>
    <b v="1"/>
    <x v="10"/>
    <n v="-0.01"/>
  </r>
  <r>
    <n v="747786766"/>
    <x v="4"/>
    <x v="37"/>
    <s v="MSFT.US USD 0.8300/ SHR"/>
    <x v="8"/>
    <x v="4"/>
    <b v="1"/>
    <x v="10"/>
    <n v="0.04"/>
  </r>
  <r>
    <n v="747786767"/>
    <x v="5"/>
    <x v="37"/>
    <s v="MSFT.US USD WHT 30%"/>
    <x v="8"/>
    <x v="4"/>
    <b v="1"/>
    <x v="10"/>
    <n v="-0.01"/>
  </r>
  <r>
    <n v="810480537"/>
    <x v="1"/>
    <x v="38"/>
    <s v="Profit of position #1599454287"/>
    <x v="12"/>
    <x v="0"/>
    <b v="1"/>
    <x v="12"/>
    <n v="0.03"/>
  </r>
  <r>
    <n v="810480538"/>
    <x v="2"/>
    <x v="38"/>
    <s v="CLOSE BUY 0.0763/0.35 @ 196.89"/>
    <x v="12"/>
    <x v="0"/>
    <b v="1"/>
    <x v="12"/>
    <n v="14.99"/>
  </r>
  <r>
    <n v="810480539"/>
    <x v="1"/>
    <x v="38"/>
    <s v="Profit of position #1621495599"/>
    <x v="12"/>
    <x v="0"/>
    <b v="1"/>
    <x v="12"/>
    <n v="1.1100000000000001"/>
  </r>
  <r>
    <n v="810480540"/>
    <x v="2"/>
    <x v="38"/>
    <s v="CLOSE BUY 0.0817/0.35 @ 196.89"/>
    <x v="12"/>
    <x v="0"/>
    <b v="1"/>
    <x v="12"/>
    <n v="14.98"/>
  </r>
  <r>
    <n v="810480541"/>
    <x v="1"/>
    <x v="38"/>
    <s v="Profit of position #1631467534"/>
    <x v="12"/>
    <x v="0"/>
    <b v="1"/>
    <x v="12"/>
    <n v="3.48"/>
  </r>
  <r>
    <n v="810480542"/>
    <x v="2"/>
    <x v="38"/>
    <s v="CLOSE BUY 0.0937/0.35 @ 196.89"/>
    <x v="12"/>
    <x v="0"/>
    <b v="1"/>
    <x v="12"/>
    <n v="14.97"/>
  </r>
  <r>
    <n v="810480543"/>
    <x v="1"/>
    <x v="38"/>
    <s v="Profit of position #1666449688"/>
    <x v="12"/>
    <x v="0"/>
    <b v="1"/>
    <x v="12"/>
    <n v="3.37"/>
  </r>
  <r>
    <n v="810480544"/>
    <x v="2"/>
    <x v="38"/>
    <s v="CLOSE BUY 0.0932/0.35 @ 196.89"/>
    <x v="12"/>
    <x v="0"/>
    <b v="1"/>
    <x v="12"/>
    <n v="14.98"/>
  </r>
  <r>
    <n v="810480545"/>
    <x v="1"/>
    <x v="38"/>
    <s v="Profit of position #1701098878"/>
    <x v="12"/>
    <x v="0"/>
    <b v="1"/>
    <x v="12"/>
    <n v="0.28999999999999998"/>
  </r>
  <r>
    <n v="810480546"/>
    <x v="2"/>
    <x v="38"/>
    <s v="CLOSE BUY 0.0051/0.35 @ 196.89"/>
    <x v="12"/>
    <x v="0"/>
    <b v="1"/>
    <x v="12"/>
    <n v="0.71"/>
  </r>
  <r>
    <n v="811412437"/>
    <x v="4"/>
    <x v="39"/>
    <s v="AAPL.US USD 0.2600/ SHR"/>
    <x v="13"/>
    <x v="4"/>
    <b v="1"/>
    <x v="13"/>
    <n v="0"/>
  </r>
  <r>
    <n v="749122474"/>
    <x v="4"/>
    <x v="40"/>
    <s v="EXC.US USD 0.4000/ SHR"/>
    <x v="0"/>
    <x v="0"/>
    <b v="1"/>
    <x v="14"/>
    <n v="0.09"/>
  </r>
  <r>
    <n v="749122475"/>
    <x v="5"/>
    <x v="40"/>
    <s v="EXC.US USD WHT 30%"/>
    <x v="0"/>
    <x v="0"/>
    <b v="1"/>
    <x v="14"/>
    <n v="-0.03"/>
  </r>
  <r>
    <n v="749122538"/>
    <x v="4"/>
    <x v="40"/>
    <s v="EXC.US USD 0.4000/ SHR"/>
    <x v="0"/>
    <x v="0"/>
    <b v="1"/>
    <x v="14"/>
    <n v="0.1"/>
  </r>
  <r>
    <n v="749122539"/>
    <x v="5"/>
    <x v="40"/>
    <s v="EXC.US USD WHT 30%"/>
    <x v="0"/>
    <x v="0"/>
    <b v="1"/>
    <x v="14"/>
    <n v="-0.03"/>
  </r>
  <r>
    <n v="749122586"/>
    <x v="4"/>
    <x v="40"/>
    <s v="EXC.US USD 0.4000/ SHR"/>
    <x v="0"/>
    <x v="0"/>
    <b v="1"/>
    <x v="14"/>
    <n v="0.11"/>
  </r>
  <r>
    <n v="749122587"/>
    <x v="5"/>
    <x v="40"/>
    <s v="EXC.US USD WHT 30%"/>
    <x v="0"/>
    <x v="0"/>
    <b v="1"/>
    <x v="14"/>
    <n v="-0.03"/>
  </r>
  <r>
    <n v="705165194"/>
    <x v="1"/>
    <x v="41"/>
    <s v="Profit of position #1373744560"/>
    <x v="14"/>
    <x v="4"/>
    <b v="1"/>
    <x v="15"/>
    <n v="-3.8"/>
  </r>
  <r>
    <n v="705165195"/>
    <x v="2"/>
    <x v="41"/>
    <s v="CLOSE BUY 0.1248/0.1928 @ 172.09"/>
    <x v="14"/>
    <x v="4"/>
    <b v="1"/>
    <x v="15"/>
    <n v="25.28"/>
  </r>
  <r>
    <n v="705165196"/>
    <x v="1"/>
    <x v="41"/>
    <s v="Profit of position #1450039117"/>
    <x v="14"/>
    <x v="4"/>
    <b v="1"/>
    <x v="15"/>
    <n v="0.71"/>
  </r>
  <r>
    <n v="705165197"/>
    <x v="2"/>
    <x v="41"/>
    <s v="CLOSE BUY 0.068/0.1928 @ 172.09"/>
    <x v="14"/>
    <x v="4"/>
    <b v="1"/>
    <x v="15"/>
    <n v="10.99"/>
  </r>
  <r>
    <n v="812342414"/>
    <x v="1"/>
    <x v="42"/>
    <s v="Profit of position #1701098878"/>
    <x v="12"/>
    <x v="0"/>
    <b v="1"/>
    <x v="13"/>
    <n v="4.8600000000000003"/>
  </r>
  <r>
    <n v="812342415"/>
    <x v="2"/>
    <x v="42"/>
    <s v="CLOSE BUY 0.1 @ 188.02"/>
    <x v="12"/>
    <x v="0"/>
    <b v="1"/>
    <x v="13"/>
    <n v="13.94"/>
  </r>
  <r>
    <n v="812344995"/>
    <x v="0"/>
    <x v="43"/>
    <s v="OPEN BUY 0.1548 @ 129.17"/>
    <x v="15"/>
    <x v="6"/>
    <b v="1"/>
    <x v="13"/>
    <n v="-20"/>
  </r>
  <r>
    <n v="812344662"/>
    <x v="0"/>
    <x v="44"/>
    <s v="OPEN BUY 1 @ 21.66"/>
    <x v="16"/>
    <x v="6"/>
    <b v="1"/>
    <x v="13"/>
    <n v="-21.66"/>
  </r>
  <r>
    <n v="812345615"/>
    <x v="0"/>
    <x v="45"/>
    <s v="OPEN BUY 0.2344 @ 42.66"/>
    <x v="0"/>
    <x v="0"/>
    <b v="1"/>
    <x v="13"/>
    <n v="-10"/>
  </r>
  <r>
    <n v="812347477"/>
    <x v="1"/>
    <x v="46"/>
    <s v="Profit of position #1426782063"/>
    <x v="8"/>
    <x v="4"/>
    <b v="1"/>
    <x v="13"/>
    <n v="0.01"/>
  </r>
  <r>
    <n v="812347478"/>
    <x v="2"/>
    <x v="46"/>
    <s v="CLOSE BUY 0.0004/0.04 @ 452.34"/>
    <x v="8"/>
    <x v="4"/>
    <b v="1"/>
    <x v="13"/>
    <n v="0.17"/>
  </r>
  <r>
    <n v="812347479"/>
    <x v="1"/>
    <x v="46"/>
    <s v="Profit of position #1481614059"/>
    <x v="8"/>
    <x v="4"/>
    <b v="1"/>
    <x v="13"/>
    <n v="1.27"/>
  </r>
  <r>
    <n v="812347480"/>
    <x v="2"/>
    <x v="46"/>
    <s v="CLOSE BUY 0.0359/0.04 @ 452.34"/>
    <x v="8"/>
    <x v="4"/>
    <b v="1"/>
    <x v="13"/>
    <n v="14.97"/>
  </r>
  <r>
    <n v="812347481"/>
    <x v="1"/>
    <x v="46"/>
    <s v="Profit of position #1517514880"/>
    <x v="8"/>
    <x v="4"/>
    <b v="1"/>
    <x v="13"/>
    <n v="0.16"/>
  </r>
  <r>
    <n v="812347482"/>
    <x v="2"/>
    <x v="46"/>
    <s v="CLOSE BUY 0.0037/0.04 @ 452.34"/>
    <x v="8"/>
    <x v="4"/>
    <b v="1"/>
    <x v="13"/>
    <n v="1.51"/>
  </r>
  <r>
    <n v="812348265"/>
    <x v="0"/>
    <x v="47"/>
    <s v="OPEN BUY 0.2641 @ 56.78"/>
    <x v="17"/>
    <x v="6"/>
    <b v="1"/>
    <x v="13"/>
    <n v="-15"/>
  </r>
  <r>
    <n v="812396911"/>
    <x v="7"/>
    <x v="48"/>
    <s v="Sec Fee adj FSLR.US 20250514"/>
    <x v="12"/>
    <x v="0"/>
    <b v="1"/>
    <x v="13"/>
    <n v="0"/>
  </r>
  <r>
    <n v="749767690"/>
    <x v="6"/>
    <x v="49"/>
    <s v="SafetyPay deposit, SafetyPay provider transaction id=0125073485538638, SafetyPay merchant reference id=254335, id=18121108"/>
    <x v="4"/>
    <x v="2"/>
    <b v="1"/>
    <x v="14"/>
    <n v="85"/>
  </r>
  <r>
    <n v="812643919"/>
    <x v="0"/>
    <x v="50"/>
    <s v="OPEN BUY 0.3559 @ 28.09"/>
    <x v="18"/>
    <x v="7"/>
    <b v="1"/>
    <x v="13"/>
    <n v="-10"/>
  </r>
  <r>
    <n v="812644050"/>
    <x v="0"/>
    <x v="51"/>
    <s v="OPEN BUY 0.2894 @ 34.55"/>
    <x v="19"/>
    <x v="6"/>
    <b v="1"/>
    <x v="13"/>
    <n v="-10"/>
  </r>
  <r>
    <n v="752507751"/>
    <x v="0"/>
    <x v="52"/>
    <s v="OPEN BUY 0.0861 @ 127.72"/>
    <x v="12"/>
    <x v="0"/>
    <b v="1"/>
    <x v="16"/>
    <n v="-11"/>
  </r>
  <r>
    <n v="752508164"/>
    <x v="0"/>
    <x v="53"/>
    <s v="OPEN BUY 0.1244 @ 160.64"/>
    <x v="7"/>
    <x v="4"/>
    <b v="1"/>
    <x v="16"/>
    <n v="-19.98"/>
  </r>
  <r>
    <n v="754634504"/>
    <x v="1"/>
    <x v="54"/>
    <s v="Profit of position #1717095547"/>
    <x v="20"/>
    <x v="2"/>
    <b v="1"/>
    <x v="17"/>
    <n v="2.98"/>
  </r>
  <r>
    <n v="754634505"/>
    <x v="8"/>
    <x v="54"/>
    <s v="Swap of position #1717095547"/>
    <x v="20"/>
    <x v="2"/>
    <b v="1"/>
    <x v="17"/>
    <n v="-0.8"/>
  </r>
  <r>
    <n v="757003245"/>
    <x v="4"/>
    <x v="55"/>
    <s v="VWO.US USD 0.0468/ SHR"/>
    <x v="11"/>
    <x v="5"/>
    <b v="1"/>
    <x v="18"/>
    <n v="0.05"/>
  </r>
  <r>
    <n v="757003246"/>
    <x v="5"/>
    <x v="55"/>
    <s v="VWO.US USD WHT 30%"/>
    <x v="11"/>
    <x v="5"/>
    <b v="1"/>
    <x v="18"/>
    <n v="-0.02"/>
  </r>
  <r>
    <n v="757003247"/>
    <x v="4"/>
    <x v="55"/>
    <s v="VWO.US USD 0.0468/ SHR"/>
    <x v="11"/>
    <x v="5"/>
    <b v="1"/>
    <x v="18"/>
    <n v="0.05"/>
  </r>
  <r>
    <n v="757003248"/>
    <x v="5"/>
    <x v="55"/>
    <s v="VWO.US USD WHT 30%"/>
    <x v="11"/>
    <x v="5"/>
    <b v="1"/>
    <x v="18"/>
    <n v="-0.02"/>
  </r>
  <r>
    <n v="742196232"/>
    <x v="4"/>
    <x v="56"/>
    <s v="YUM.US USD 0.7100/ SHR"/>
    <x v="21"/>
    <x v="8"/>
    <b v="1"/>
    <x v="19"/>
    <n v="0"/>
  </r>
  <r>
    <n v="757634903"/>
    <x v="1"/>
    <x v="57"/>
    <s v="Profit of position #1554741910"/>
    <x v="22"/>
    <x v="3"/>
    <b v="1"/>
    <x v="18"/>
    <n v="3.05"/>
  </r>
  <r>
    <n v="757634904"/>
    <x v="2"/>
    <x v="57"/>
    <s v="CLOSE BUY 0.61 @ 20.29"/>
    <x v="22"/>
    <x v="3"/>
    <b v="1"/>
    <x v="18"/>
    <n v="9.33"/>
  </r>
  <r>
    <n v="758291256"/>
    <x v="7"/>
    <x v="58"/>
    <s v="Sec Fee adj ING.US 20250325"/>
    <x v="22"/>
    <x v="3"/>
    <b v="1"/>
    <x v="20"/>
    <n v="0"/>
  </r>
  <r>
    <n v="758733044"/>
    <x v="1"/>
    <x v="59"/>
    <s v="Profit of position #1414372592"/>
    <x v="23"/>
    <x v="3"/>
    <b v="1"/>
    <x v="20"/>
    <n v="0.92"/>
  </r>
  <r>
    <n v="758733045"/>
    <x v="2"/>
    <x v="59"/>
    <s v="CLOSE BUY 0.01 @ 547.14"/>
    <x v="23"/>
    <x v="3"/>
    <b v="1"/>
    <x v="20"/>
    <n v="4.55"/>
  </r>
  <r>
    <n v="758903820"/>
    <x v="6"/>
    <x v="60"/>
    <s v="SafetyPay deposit, SafetyPay provider transaction id=0125085947634834, SafetyPay merchant reference id=257598, id=18402027"/>
    <x v="4"/>
    <x v="2"/>
    <b v="1"/>
    <x v="21"/>
    <n v="85"/>
  </r>
  <r>
    <n v="759582657"/>
    <x v="7"/>
    <x v="61"/>
    <s v="Sec Fee adj MA.US 20250326"/>
    <x v="23"/>
    <x v="3"/>
    <b v="1"/>
    <x v="21"/>
    <n v="0"/>
  </r>
  <r>
    <n v="759868932"/>
    <x v="1"/>
    <x v="62"/>
    <s v="Profit of position #1358151307"/>
    <x v="15"/>
    <x v="6"/>
    <b v="1"/>
    <x v="21"/>
    <n v="-0.21"/>
  </r>
  <r>
    <n v="759868933"/>
    <x v="2"/>
    <x v="62"/>
    <s v="CLOSE BUY 0.0124 @ 149.33"/>
    <x v="15"/>
    <x v="6"/>
    <b v="1"/>
    <x v="21"/>
    <n v="2.06"/>
  </r>
  <r>
    <n v="759869187"/>
    <x v="0"/>
    <x v="63"/>
    <s v="OPEN BUY 1 @ 21.13"/>
    <x v="16"/>
    <x v="6"/>
    <b v="1"/>
    <x v="21"/>
    <n v="-21.13"/>
  </r>
  <r>
    <n v="759869902"/>
    <x v="1"/>
    <x v="64"/>
    <s v="Profit of position #1422773288"/>
    <x v="17"/>
    <x v="6"/>
    <b v="1"/>
    <x v="21"/>
    <n v="1.37"/>
  </r>
  <r>
    <n v="759869903"/>
    <x v="2"/>
    <x v="64"/>
    <s v="CLOSE BUY 0.2 @ 58.08"/>
    <x v="17"/>
    <x v="6"/>
    <b v="1"/>
    <x v="21"/>
    <n v="10.25"/>
  </r>
  <r>
    <n v="759864523"/>
    <x v="0"/>
    <x v="65"/>
    <s v="OPEN BUY 1 @ 46.11"/>
    <x v="11"/>
    <x v="5"/>
    <b v="1"/>
    <x v="21"/>
    <n v="-46.11"/>
  </r>
  <r>
    <n v="759865080"/>
    <x v="0"/>
    <x v="66"/>
    <s v="OPEN BUY 0.3274 @ 30.54"/>
    <x v="18"/>
    <x v="7"/>
    <b v="1"/>
    <x v="21"/>
    <n v="-10"/>
  </r>
  <r>
    <n v="759868722"/>
    <x v="1"/>
    <x v="67"/>
    <s v="Profit of position #1450043624"/>
    <x v="24"/>
    <x v="6"/>
    <b v="1"/>
    <x v="21"/>
    <n v="-0.11"/>
  </r>
  <r>
    <n v="759868723"/>
    <x v="2"/>
    <x v="67"/>
    <s v="CLOSE BUY 0.0138 @ 139.86"/>
    <x v="24"/>
    <x v="6"/>
    <b v="1"/>
    <x v="21"/>
    <n v="2.04"/>
  </r>
  <r>
    <n v="759875711"/>
    <x v="0"/>
    <x v="68"/>
    <s v="OPEN BUY 1 @ 72.87"/>
    <x v="25"/>
    <x v="5"/>
    <b v="1"/>
    <x v="21"/>
    <n v="-72.87"/>
  </r>
  <r>
    <n v="760803346"/>
    <x v="7"/>
    <x v="69"/>
    <s v="Sec Fee adj PEP.US 20250327"/>
    <x v="15"/>
    <x v="6"/>
    <b v="1"/>
    <x v="22"/>
    <n v="0"/>
  </r>
  <r>
    <n v="760808318"/>
    <x v="7"/>
    <x v="70"/>
    <s v="Sec Fee adj KMB.US 20250327"/>
    <x v="24"/>
    <x v="6"/>
    <b v="1"/>
    <x v="22"/>
    <n v="0"/>
  </r>
  <r>
    <n v="760796413"/>
    <x v="7"/>
    <x v="71"/>
    <s v="Sec Fee adj MO.US 20250327"/>
    <x v="17"/>
    <x v="6"/>
    <b v="1"/>
    <x v="22"/>
    <n v="0"/>
  </r>
  <r>
    <n v="761014425"/>
    <x v="0"/>
    <x v="72"/>
    <s v="OPEN BUY 0.0907 @ 165.35"/>
    <x v="9"/>
    <x v="4"/>
    <b v="1"/>
    <x v="22"/>
    <n v="-15"/>
  </r>
  <r>
    <n v="745059993"/>
    <x v="3"/>
    <x v="6"/>
    <s v="Transfer from 50872299 to 50704832"/>
    <x v="4"/>
    <x v="2"/>
    <b v="1"/>
    <x v="2"/>
    <n v="52.08"/>
  </r>
  <r>
    <n v="762151528"/>
    <x v="4"/>
    <x v="73"/>
    <s v="PEP.US USD 1.3550/ SHR"/>
    <x v="15"/>
    <x v="6"/>
    <b v="1"/>
    <x v="23"/>
    <n v="0.12"/>
  </r>
  <r>
    <n v="762151529"/>
    <x v="5"/>
    <x v="73"/>
    <s v="PEP.US USD WHT 30%"/>
    <x v="15"/>
    <x v="6"/>
    <b v="1"/>
    <x v="23"/>
    <n v="-0.04"/>
  </r>
  <r>
    <n v="762179517"/>
    <x v="4"/>
    <x v="74"/>
    <s v="PEP.US USD 1.3550/ SHR"/>
    <x v="15"/>
    <x v="6"/>
    <b v="1"/>
    <x v="23"/>
    <n v="0.16"/>
  </r>
  <r>
    <n v="762179518"/>
    <x v="5"/>
    <x v="74"/>
    <s v="PEP.US USD WHT 30%"/>
    <x v="15"/>
    <x v="6"/>
    <b v="1"/>
    <x v="23"/>
    <n v="-0.05"/>
  </r>
  <r>
    <n v="762177357"/>
    <x v="4"/>
    <x v="74"/>
    <s v="PEP.US USD 1.3550/ SHR"/>
    <x v="15"/>
    <x v="6"/>
    <b v="1"/>
    <x v="23"/>
    <n v="0.08"/>
  </r>
  <r>
    <n v="762177358"/>
    <x v="5"/>
    <x v="74"/>
    <s v="PEP.US USD WHT 30%"/>
    <x v="15"/>
    <x v="6"/>
    <b v="1"/>
    <x v="23"/>
    <n v="-0.02"/>
  </r>
  <r>
    <n v="762177784"/>
    <x v="4"/>
    <x v="74"/>
    <s v="PEP.US USD 1.3550/ SHR"/>
    <x v="15"/>
    <x v="6"/>
    <b v="1"/>
    <x v="23"/>
    <n v="0.1"/>
  </r>
  <r>
    <n v="762177785"/>
    <x v="5"/>
    <x v="74"/>
    <s v="PEP.US USD WHT 30%"/>
    <x v="15"/>
    <x v="6"/>
    <b v="1"/>
    <x v="23"/>
    <n v="-0.03"/>
  </r>
  <r>
    <n v="762184116"/>
    <x v="4"/>
    <x v="75"/>
    <s v="PEP.US USD 1.3550/ SHR"/>
    <x v="15"/>
    <x v="6"/>
    <b v="1"/>
    <x v="23"/>
    <n v="0.14000000000000001"/>
  </r>
  <r>
    <n v="762184117"/>
    <x v="5"/>
    <x v="75"/>
    <s v="PEP.US USD WHT 30%"/>
    <x v="15"/>
    <x v="6"/>
    <b v="1"/>
    <x v="23"/>
    <n v="-0.04"/>
  </r>
  <r>
    <n v="762201892"/>
    <x v="4"/>
    <x v="76"/>
    <s v="PEP.US USD 1.3550/ SHR"/>
    <x v="15"/>
    <x v="6"/>
    <b v="1"/>
    <x v="23"/>
    <n v="0.08"/>
  </r>
  <r>
    <n v="762201893"/>
    <x v="5"/>
    <x v="76"/>
    <s v="PEP.US USD WHT 30%"/>
    <x v="15"/>
    <x v="6"/>
    <b v="1"/>
    <x v="23"/>
    <n v="-0.02"/>
  </r>
  <r>
    <n v="746041827"/>
    <x v="0"/>
    <x v="77"/>
    <s v="OPEN BUY 0.1434 @ 139.41"/>
    <x v="12"/>
    <x v="0"/>
    <b v="1"/>
    <x v="2"/>
    <n v="-19.989999999999998"/>
  </r>
  <r>
    <n v="746042210"/>
    <x v="0"/>
    <x v="78"/>
    <s v="OPEN BUY 0.7812 @ 19.20"/>
    <x v="10"/>
    <x v="0"/>
    <b v="1"/>
    <x v="2"/>
    <n v="-15"/>
  </r>
  <r>
    <n v="746042387"/>
    <x v="0"/>
    <x v="79"/>
    <s v="OPEN BUY 0.0873 @ 171.67"/>
    <x v="9"/>
    <x v="4"/>
    <b v="1"/>
    <x v="2"/>
    <n v="-14.99"/>
  </r>
  <r>
    <n v="765269866"/>
    <x v="4"/>
    <x v="80"/>
    <s v="KMB.US USD 1.2600/ SHR"/>
    <x v="24"/>
    <x v="6"/>
    <b v="1"/>
    <x v="24"/>
    <n v="0.13"/>
  </r>
  <r>
    <n v="765269867"/>
    <x v="5"/>
    <x v="80"/>
    <s v="KMB.US USD WHT 30%"/>
    <x v="24"/>
    <x v="6"/>
    <b v="1"/>
    <x v="24"/>
    <n v="-0.04"/>
  </r>
  <r>
    <n v="765270069"/>
    <x v="4"/>
    <x v="80"/>
    <s v="KMB.US USD 1.2600/ SHR"/>
    <x v="24"/>
    <x v="6"/>
    <b v="1"/>
    <x v="24"/>
    <n v="0.1"/>
  </r>
  <r>
    <n v="765270070"/>
    <x v="5"/>
    <x v="80"/>
    <s v="KMB.US USD WHT 30%"/>
    <x v="24"/>
    <x v="6"/>
    <b v="1"/>
    <x v="24"/>
    <n v="-0.03"/>
  </r>
  <r>
    <n v="765270081"/>
    <x v="4"/>
    <x v="80"/>
    <s v="KMB.US USD 1.2600/ SHR"/>
    <x v="24"/>
    <x v="6"/>
    <b v="1"/>
    <x v="24"/>
    <n v="0.17"/>
  </r>
  <r>
    <n v="765270082"/>
    <x v="5"/>
    <x v="80"/>
    <s v="KMB.US USD WHT 30%"/>
    <x v="24"/>
    <x v="6"/>
    <b v="1"/>
    <x v="24"/>
    <n v="-0.05"/>
  </r>
  <r>
    <n v="765270529"/>
    <x v="4"/>
    <x v="80"/>
    <s v="KMB.US USD 1.2600/ SHR"/>
    <x v="24"/>
    <x v="6"/>
    <b v="1"/>
    <x v="24"/>
    <n v="0.1"/>
  </r>
  <r>
    <n v="765270530"/>
    <x v="5"/>
    <x v="80"/>
    <s v="KMB.US USD WHT 30%"/>
    <x v="24"/>
    <x v="6"/>
    <b v="1"/>
    <x v="24"/>
    <n v="-0.03"/>
  </r>
  <r>
    <n v="765270735"/>
    <x v="4"/>
    <x v="80"/>
    <s v="KMB.US USD 1.2600/ SHR"/>
    <x v="24"/>
    <x v="6"/>
    <b v="1"/>
    <x v="24"/>
    <n v="0.14000000000000001"/>
  </r>
  <r>
    <n v="765270736"/>
    <x v="5"/>
    <x v="80"/>
    <s v="KMB.US USD WHT 30%"/>
    <x v="24"/>
    <x v="6"/>
    <b v="1"/>
    <x v="24"/>
    <n v="-0.04"/>
  </r>
  <r>
    <n v="705653199"/>
    <x v="4"/>
    <x v="81"/>
    <s v="ING.US USD 0.1651/ SHR"/>
    <x v="22"/>
    <x v="3"/>
    <b v="1"/>
    <x v="25"/>
    <n v="0.16"/>
  </r>
  <r>
    <n v="705653200"/>
    <x v="5"/>
    <x v="81"/>
    <s v="ING.US USD WHT 15%"/>
    <x v="22"/>
    <x v="3"/>
    <b v="1"/>
    <x v="25"/>
    <n v="-0.02"/>
  </r>
  <r>
    <n v="705653234"/>
    <x v="4"/>
    <x v="81"/>
    <s v="ING.US USD 0.1651/ SHR"/>
    <x v="22"/>
    <x v="3"/>
    <b v="1"/>
    <x v="25"/>
    <n v="0.17"/>
  </r>
  <r>
    <n v="705653235"/>
    <x v="5"/>
    <x v="81"/>
    <s v="ING.US USD WHT 15%"/>
    <x v="22"/>
    <x v="3"/>
    <b v="1"/>
    <x v="25"/>
    <n v="-0.03"/>
  </r>
  <r>
    <n v="766566950"/>
    <x v="4"/>
    <x v="82"/>
    <s v="BND.US USD 0.2404/ SHR"/>
    <x v="25"/>
    <x v="5"/>
    <b v="1"/>
    <x v="26"/>
    <n v="0.24"/>
  </r>
  <r>
    <n v="766566951"/>
    <x v="5"/>
    <x v="82"/>
    <s v="BND.US USD WHT 30%"/>
    <x v="25"/>
    <x v="5"/>
    <b v="1"/>
    <x v="26"/>
    <n v="-7.0000000000000007E-2"/>
  </r>
  <r>
    <n v="769436100"/>
    <x v="0"/>
    <x v="83"/>
    <s v="OPEN BUY 0.643 @ 15.55"/>
    <x v="10"/>
    <x v="0"/>
    <b v="1"/>
    <x v="27"/>
    <n v="-10"/>
  </r>
  <r>
    <n v="769465419"/>
    <x v="6"/>
    <x v="84"/>
    <s v="SafetyPay deposit, SafetyPay provider transaction id=0125094541214514, SafetyPay merchant reference id=261181, id=18734513"/>
    <x v="4"/>
    <x v="2"/>
    <b v="1"/>
    <x v="27"/>
    <n v="200"/>
  </r>
  <r>
    <n v="769492457"/>
    <x v="0"/>
    <x v="85"/>
    <s v="OPEN BUY 0.0616 @ 324.48"/>
    <x v="26"/>
    <x v="3"/>
    <b v="1"/>
    <x v="27"/>
    <n v="-19.989999999999998"/>
  </r>
  <r>
    <n v="769493151"/>
    <x v="0"/>
    <x v="86"/>
    <s v="OPEN BUY 1 @ 74.13"/>
    <x v="25"/>
    <x v="5"/>
    <b v="1"/>
    <x v="27"/>
    <n v="-74.13"/>
  </r>
  <r>
    <n v="769480903"/>
    <x v="0"/>
    <x v="87"/>
    <s v="OPEN BUY 0.2701 @ 148.09"/>
    <x v="9"/>
    <x v="4"/>
    <b v="1"/>
    <x v="27"/>
    <n v="-40"/>
  </r>
  <r>
    <n v="769487423"/>
    <x v="0"/>
    <x v="88"/>
    <s v="OPEN BUY 1/1.4245 @ 17.54"/>
    <x v="22"/>
    <x v="3"/>
    <b v="1"/>
    <x v="27"/>
    <n v="-17.54"/>
  </r>
  <r>
    <n v="769487406"/>
    <x v="0"/>
    <x v="89"/>
    <s v="OPEN BUY 0.4245/1.4245 @ 17.54"/>
    <x v="22"/>
    <x v="3"/>
    <b v="1"/>
    <x v="27"/>
    <n v="-7.45"/>
  </r>
  <r>
    <n v="705921636"/>
    <x v="7"/>
    <x v="90"/>
    <s v="Sec Fee adj QCOM.US 20250123"/>
    <x v="14"/>
    <x v="4"/>
    <b v="1"/>
    <x v="25"/>
    <n v="0"/>
  </r>
  <r>
    <n v="772553486"/>
    <x v="0"/>
    <x v="91"/>
    <s v="OPEN BUY 1 @ 37.2580"/>
    <x v="27"/>
    <x v="5"/>
    <b v="1"/>
    <x v="28"/>
    <n v="-41.06"/>
  </r>
  <r>
    <n v="772744353"/>
    <x v="1"/>
    <x v="92"/>
    <s v="Profit of position #1631473921"/>
    <x v="0"/>
    <x v="0"/>
    <b v="1"/>
    <x v="28"/>
    <n v="1.31"/>
  </r>
  <r>
    <n v="772744354"/>
    <x v="2"/>
    <x v="92"/>
    <s v="CLOSE BUY 0.2745/0.7 @ 44.80"/>
    <x v="0"/>
    <x v="0"/>
    <b v="1"/>
    <x v="28"/>
    <n v="10.99"/>
  </r>
  <r>
    <n v="772744355"/>
    <x v="1"/>
    <x v="92"/>
    <s v="Profit of position #1642763333"/>
    <x v="0"/>
    <x v="0"/>
    <b v="1"/>
    <x v="28"/>
    <n v="1.02"/>
  </r>
  <r>
    <n v="772744356"/>
    <x v="2"/>
    <x v="92"/>
    <s v="CLOSE BUY 0.2459/0.7 @ 44.80"/>
    <x v="0"/>
    <x v="0"/>
    <b v="1"/>
    <x v="28"/>
    <n v="10"/>
  </r>
  <r>
    <n v="772744358"/>
    <x v="1"/>
    <x v="92"/>
    <s v="Profit of position #1666451221"/>
    <x v="0"/>
    <x v="0"/>
    <b v="1"/>
    <x v="28"/>
    <n v="0.33"/>
  </r>
  <r>
    <n v="772744359"/>
    <x v="2"/>
    <x v="92"/>
    <s v="CLOSE BUY 0.1796/0.7 @ 44.80"/>
    <x v="0"/>
    <x v="0"/>
    <b v="1"/>
    <x v="28"/>
    <n v="7.72"/>
  </r>
  <r>
    <n v="772791584"/>
    <x v="1"/>
    <x v="93"/>
    <s v="Profit of position #1749053104"/>
    <x v="28"/>
    <x v="2"/>
    <b v="1"/>
    <x v="28"/>
    <n v="6.3"/>
  </r>
  <r>
    <n v="775029431"/>
    <x v="7"/>
    <x v="94"/>
    <s v="Sec Fee adj EXC.US 20250407"/>
    <x v="0"/>
    <x v="0"/>
    <b v="1"/>
    <x v="29"/>
    <n v="0"/>
  </r>
  <r>
    <n v="775056419"/>
    <x v="0"/>
    <x v="95"/>
    <s v="OPEN BUY 0.3673 @ 27.17"/>
    <x v="29"/>
    <x v="0"/>
    <b v="1"/>
    <x v="29"/>
    <n v="-9.98"/>
  </r>
  <r>
    <n v="775057235"/>
    <x v="0"/>
    <x v="96"/>
    <s v="OPEN BUY 0.7137 @ 14.00"/>
    <x v="10"/>
    <x v="0"/>
    <b v="1"/>
    <x v="29"/>
    <n v="-9.99"/>
  </r>
  <r>
    <n v="776315372"/>
    <x v="1"/>
    <x v="97"/>
    <s v="Profit of position #1756767326"/>
    <x v="28"/>
    <x v="2"/>
    <b v="1"/>
    <x v="30"/>
    <n v="-0.25"/>
  </r>
  <r>
    <n v="776325461"/>
    <x v="1"/>
    <x v="98"/>
    <s v="Profit of position #1756797155"/>
    <x v="28"/>
    <x v="2"/>
    <b v="1"/>
    <x v="30"/>
    <n v="-10.6"/>
  </r>
  <r>
    <n v="777443872"/>
    <x v="4"/>
    <x v="99"/>
    <s v="TSM.US USD 0.6838/ SHR"/>
    <x v="9"/>
    <x v="4"/>
    <b v="1"/>
    <x v="31"/>
    <n v="0.06"/>
  </r>
  <r>
    <n v="777443873"/>
    <x v="5"/>
    <x v="99"/>
    <s v="TSM.US USD WHT 21%"/>
    <x v="9"/>
    <x v="4"/>
    <b v="1"/>
    <x v="31"/>
    <n v="-0.01"/>
  </r>
  <r>
    <n v="777469070"/>
    <x v="4"/>
    <x v="99"/>
    <s v="TSM.US USD 0.6838/ SHR"/>
    <x v="9"/>
    <x v="4"/>
    <b v="1"/>
    <x v="31"/>
    <n v="0.05"/>
  </r>
  <r>
    <n v="777469071"/>
    <x v="5"/>
    <x v="99"/>
    <s v="TSM.US USD WHT 21%"/>
    <x v="9"/>
    <x v="4"/>
    <b v="1"/>
    <x v="31"/>
    <n v="-0.01"/>
  </r>
  <r>
    <n v="777484070"/>
    <x v="4"/>
    <x v="100"/>
    <s v="TSM.US USD 0.6838/ SHR"/>
    <x v="9"/>
    <x v="4"/>
    <b v="1"/>
    <x v="31"/>
    <n v="0.13"/>
  </r>
  <r>
    <n v="777484071"/>
    <x v="5"/>
    <x v="100"/>
    <s v="TSM.US USD WHT 21%"/>
    <x v="9"/>
    <x v="4"/>
    <b v="1"/>
    <x v="31"/>
    <n v="-0.03"/>
  </r>
  <r>
    <n v="777471608"/>
    <x v="4"/>
    <x v="101"/>
    <s v="TSM.US USD 0.6838/ SHR"/>
    <x v="9"/>
    <x v="4"/>
    <b v="1"/>
    <x v="31"/>
    <n v="0.05"/>
  </r>
  <r>
    <n v="777471609"/>
    <x v="5"/>
    <x v="101"/>
    <s v="TSM.US USD WHT 21%"/>
    <x v="9"/>
    <x v="4"/>
    <b v="1"/>
    <x v="31"/>
    <n v="-0.01"/>
  </r>
  <r>
    <n v="777512370"/>
    <x v="4"/>
    <x v="102"/>
    <s v="TSM.US USD 0.6838/ SHR"/>
    <x v="9"/>
    <x v="4"/>
    <b v="1"/>
    <x v="31"/>
    <n v="0.05"/>
  </r>
  <r>
    <n v="777512371"/>
    <x v="5"/>
    <x v="102"/>
    <s v="TSM.US USD WHT 21%"/>
    <x v="9"/>
    <x v="4"/>
    <b v="1"/>
    <x v="31"/>
    <n v="-0.01"/>
  </r>
  <r>
    <n v="777513339"/>
    <x v="4"/>
    <x v="102"/>
    <s v="TSM.US USD 0.6838/ SHR"/>
    <x v="9"/>
    <x v="4"/>
    <b v="1"/>
    <x v="31"/>
    <n v="7.0000000000000007E-2"/>
  </r>
  <r>
    <n v="777513340"/>
    <x v="5"/>
    <x v="102"/>
    <s v="TSM.US USD WHT 21%"/>
    <x v="9"/>
    <x v="4"/>
    <b v="1"/>
    <x v="31"/>
    <n v="-0.01"/>
  </r>
  <r>
    <n v="777514620"/>
    <x v="4"/>
    <x v="102"/>
    <s v="TSM.US USD 0.6838/ SHR"/>
    <x v="9"/>
    <x v="4"/>
    <b v="1"/>
    <x v="31"/>
    <n v="0.06"/>
  </r>
  <r>
    <n v="777514621"/>
    <x v="5"/>
    <x v="102"/>
    <s v="TSM.US USD WHT 21%"/>
    <x v="9"/>
    <x v="4"/>
    <b v="1"/>
    <x v="31"/>
    <n v="-0.01"/>
  </r>
  <r>
    <n v="781556656"/>
    <x v="1"/>
    <x v="103"/>
    <s v="Profit of position #1767688540"/>
    <x v="20"/>
    <x v="2"/>
    <b v="1"/>
    <x v="32"/>
    <n v="-3.77"/>
  </r>
  <r>
    <n v="781762912"/>
    <x v="1"/>
    <x v="104"/>
    <s v="Profit of position #1768229183"/>
    <x v="20"/>
    <x v="2"/>
    <b v="1"/>
    <x v="32"/>
    <n v="1.69"/>
  </r>
  <r>
    <n v="782960927"/>
    <x v="1"/>
    <x v="105"/>
    <s v="Profit of position #1769815245"/>
    <x v="20"/>
    <x v="2"/>
    <b v="1"/>
    <x v="33"/>
    <n v="-4.0599999999999996"/>
  </r>
  <r>
    <n v="785659568"/>
    <x v="1"/>
    <x v="106"/>
    <s v="Profit of position #1666451221"/>
    <x v="0"/>
    <x v="0"/>
    <b v="1"/>
    <x v="34"/>
    <n v="0.25"/>
  </r>
  <r>
    <n v="785659569"/>
    <x v="2"/>
    <x v="106"/>
    <s v="CLOSE BUY 0.0528 @ 47.89"/>
    <x v="0"/>
    <x v="0"/>
    <b v="1"/>
    <x v="34"/>
    <n v="2.2799999999999998"/>
  </r>
  <r>
    <n v="785661086"/>
    <x v="1"/>
    <x v="107"/>
    <s v="Profit of position #1450043624"/>
    <x v="24"/>
    <x v="6"/>
    <b v="1"/>
    <x v="34"/>
    <n v="-0.42"/>
  </r>
  <r>
    <n v="785661087"/>
    <x v="2"/>
    <x v="107"/>
    <s v="CLOSE BUY 0.1 @ 143.22"/>
    <x v="24"/>
    <x v="6"/>
    <b v="1"/>
    <x v="34"/>
    <n v="14.74"/>
  </r>
  <r>
    <n v="785663603"/>
    <x v="0"/>
    <x v="108"/>
    <s v="OPEN BUY 0.6724 @ 14.87"/>
    <x v="30"/>
    <x v="3"/>
    <b v="1"/>
    <x v="34"/>
    <n v="-10"/>
  </r>
  <r>
    <n v="785899545"/>
    <x v="7"/>
    <x v="109"/>
    <s v="Sec Fee adj EXC.US 20250417"/>
    <x v="0"/>
    <x v="0"/>
    <b v="1"/>
    <x v="35"/>
    <n v="0"/>
  </r>
  <r>
    <n v="785900668"/>
    <x v="7"/>
    <x v="110"/>
    <s v="Sec Fee adj KMB.US 20250417"/>
    <x v="24"/>
    <x v="6"/>
    <b v="1"/>
    <x v="35"/>
    <n v="0"/>
  </r>
  <r>
    <n v="786345621"/>
    <x v="1"/>
    <x v="111"/>
    <s v="Profit of position #1777308201"/>
    <x v="20"/>
    <x v="2"/>
    <b v="1"/>
    <x v="36"/>
    <n v="0.51"/>
  </r>
  <r>
    <n v="787709607"/>
    <x v="4"/>
    <x v="112"/>
    <s v="INGR.US USD 0.8000/ SHR"/>
    <x v="31"/>
    <x v="6"/>
    <b v="1"/>
    <x v="37"/>
    <n v="0.15"/>
  </r>
  <r>
    <n v="787709608"/>
    <x v="5"/>
    <x v="112"/>
    <s v="INGR.US USD WHT 30%"/>
    <x v="31"/>
    <x v="6"/>
    <b v="1"/>
    <x v="37"/>
    <n v="-0.05"/>
  </r>
  <r>
    <n v="787709619"/>
    <x v="4"/>
    <x v="112"/>
    <s v="INGR.US USD 0.8000/ SHR"/>
    <x v="31"/>
    <x v="6"/>
    <b v="1"/>
    <x v="37"/>
    <n v="0.13"/>
  </r>
  <r>
    <n v="787709620"/>
    <x v="5"/>
    <x v="112"/>
    <s v="INGR.US USD WHT 30%"/>
    <x v="31"/>
    <x v="6"/>
    <b v="1"/>
    <x v="37"/>
    <n v="-0.04"/>
  </r>
  <r>
    <n v="788242299"/>
    <x v="1"/>
    <x v="113"/>
    <s v="Profit of position #1781449563"/>
    <x v="20"/>
    <x v="2"/>
    <b v="1"/>
    <x v="37"/>
    <n v="-2.79"/>
  </r>
  <r>
    <n v="556516261"/>
    <x v="6"/>
    <x v="114"/>
    <s v="ECOMMPAY card deposit, ECOMMPAY provider transaction id=1717160381025_178431418,ECOMMPAY merchant reference id=1717160381025_178431418, id=11821773"/>
    <x v="4"/>
    <x v="2"/>
    <b v="1"/>
    <x v="38"/>
    <n v="100"/>
  </r>
  <r>
    <n v="557153112"/>
    <x v="0"/>
    <x v="115"/>
    <s v="OPEN BUY 0.4139 @ 33.545"/>
    <x v="32"/>
    <x v="1"/>
    <b v="1"/>
    <x v="39"/>
    <n v="-15.15"/>
  </r>
  <r>
    <n v="557470756"/>
    <x v="0"/>
    <x v="116"/>
    <s v="OPEN BUY 0.1322 @ 155.59"/>
    <x v="9"/>
    <x v="4"/>
    <b v="1"/>
    <x v="39"/>
    <n v="-20.57"/>
  </r>
  <r>
    <n v="557778020"/>
    <x v="0"/>
    <x v="117"/>
    <s v="OPEN BUY 0.0975 @ 205.08"/>
    <x v="14"/>
    <x v="4"/>
    <b v="1"/>
    <x v="39"/>
    <n v="-20"/>
  </r>
  <r>
    <n v="557784122"/>
    <x v="0"/>
    <x v="118"/>
    <s v="OPEN BUY 1 @ 13.37"/>
    <x v="33"/>
    <x v="1"/>
    <b v="1"/>
    <x v="39"/>
    <n v="-13.37"/>
  </r>
  <r>
    <n v="559538038"/>
    <x v="0"/>
    <x v="119"/>
    <s v="OPEN BUY 0.0171 @ 1184.19"/>
    <x v="34"/>
    <x v="4"/>
    <b v="1"/>
    <x v="40"/>
    <n v="-20.25"/>
  </r>
  <r>
    <n v="560399287"/>
    <x v="0"/>
    <x v="120"/>
    <s v="OPEN BUY 0.1488 @ 67.20"/>
    <x v="35"/>
    <x v="6"/>
    <b v="1"/>
    <x v="41"/>
    <n v="-10"/>
  </r>
  <r>
    <n v="561654650"/>
    <x v="1"/>
    <x v="121"/>
    <s v="Profit of position #1342063955"/>
    <x v="32"/>
    <x v="1"/>
    <b v="1"/>
    <x v="42"/>
    <n v="-0.73"/>
  </r>
  <r>
    <n v="561654651"/>
    <x v="2"/>
    <x v="121"/>
    <s v="CLOSE BUY 0.4139 @ 32.605"/>
    <x v="32"/>
    <x v="1"/>
    <b v="1"/>
    <x v="42"/>
    <n v="15.15"/>
  </r>
  <r>
    <n v="561850164"/>
    <x v="1"/>
    <x v="122"/>
    <s v="Profit of position #1350877137"/>
    <x v="36"/>
    <x v="2"/>
    <b v="1"/>
    <x v="42"/>
    <n v="-1.55"/>
  </r>
  <r>
    <n v="561852140"/>
    <x v="0"/>
    <x v="123"/>
    <s v="OPEN BUY 0.0234 @ 427.17"/>
    <x v="8"/>
    <x v="4"/>
    <b v="1"/>
    <x v="42"/>
    <n v="-10"/>
  </r>
  <r>
    <n v="564919536"/>
    <x v="6"/>
    <x v="124"/>
    <s v="ECOMMPAY card deposit, ECOMMPAY provider transaction id=1718411934936_-192576474,ECOMMPAY merchant reference id=1718411934936_-192576474, id=12074149"/>
    <x v="4"/>
    <x v="2"/>
    <b v="1"/>
    <x v="43"/>
    <n v="50"/>
  </r>
  <r>
    <n v="565607855"/>
    <x v="0"/>
    <x v="125"/>
    <s v="OPEN BUY 0.123 @ 1.65"/>
    <x v="15"/>
    <x v="6"/>
    <b v="1"/>
    <x v="44"/>
    <n v="-0.2"/>
  </r>
  <r>
    <n v="565611180"/>
    <x v="0"/>
    <x v="126"/>
    <s v="OPEN BUY 1 @ 22.89"/>
    <x v="37"/>
    <x v="1"/>
    <b v="1"/>
    <x v="44"/>
    <n v="-22.89"/>
  </r>
  <r>
    <n v="565649663"/>
    <x v="0"/>
    <x v="127"/>
    <s v="OPEN BUY 0.0115 @ 1797.13"/>
    <x v="38"/>
    <x v="1"/>
    <b v="1"/>
    <x v="44"/>
    <n v="-20.67"/>
  </r>
  <r>
    <n v="565713107"/>
    <x v="2"/>
    <x v="128"/>
    <s v="CLOSE BUY 0.123 @ 165.24"/>
    <x v="15"/>
    <x v="6"/>
    <b v="1"/>
    <x v="44"/>
    <n v="0.2"/>
  </r>
  <r>
    <n v="565713108"/>
    <x v="9"/>
    <x v="128"/>
    <s v="Correction: Profit of position #1357581812"/>
    <x v="15"/>
    <x v="6"/>
    <b v="1"/>
    <x v="44"/>
    <n v="0"/>
  </r>
  <r>
    <n v="565713109"/>
    <x v="10"/>
    <x v="128"/>
    <s v="Correction: BUY 0.123 @ 1.65"/>
    <x v="15"/>
    <x v="6"/>
    <b v="1"/>
    <x v="44"/>
    <n v="0"/>
  </r>
  <r>
    <n v="565713106"/>
    <x v="1"/>
    <x v="128"/>
    <s v="Profit of position #1357581812"/>
    <x v="15"/>
    <x v="6"/>
    <b v="1"/>
    <x v="44"/>
    <n v="0"/>
  </r>
  <r>
    <n v="565825624"/>
    <x v="0"/>
    <x v="129"/>
    <s v="OPEN BUY 0.1205 @ 165.93"/>
    <x v="15"/>
    <x v="6"/>
    <b v="1"/>
    <x v="44"/>
    <n v="-19.989999999999998"/>
  </r>
  <r>
    <n v="565825453"/>
    <x v="1"/>
    <x v="130"/>
    <s v="Profit of position #1343394966"/>
    <x v="33"/>
    <x v="1"/>
    <b v="1"/>
    <x v="44"/>
    <n v="-0.75"/>
  </r>
  <r>
    <n v="565825454"/>
    <x v="2"/>
    <x v="130"/>
    <s v="CLOSE BUY 1 @ 12.62"/>
    <x v="33"/>
    <x v="1"/>
    <b v="1"/>
    <x v="44"/>
    <n v="13.37"/>
  </r>
  <r>
    <n v="566363866"/>
    <x v="7"/>
    <x v="131"/>
    <s v="Sec Fee adj SMFG.US 20240617"/>
    <x v="33"/>
    <x v="1"/>
    <b v="1"/>
    <x v="45"/>
    <n v="-0.01"/>
  </r>
  <r>
    <n v="566364612"/>
    <x v="7"/>
    <x v="132"/>
    <s v="Sec Fee adj PEP.US 20240617"/>
    <x v="15"/>
    <x v="6"/>
    <b v="1"/>
    <x v="45"/>
    <n v="0"/>
  </r>
  <r>
    <n v="568018754"/>
    <x v="1"/>
    <x v="133"/>
    <s v="Profit of position #1343379129"/>
    <x v="14"/>
    <x v="4"/>
    <b v="1"/>
    <x v="46"/>
    <n v="0.6"/>
  </r>
  <r>
    <n v="568018755"/>
    <x v="2"/>
    <x v="133"/>
    <s v="CLOSE BUY 0.0975 @ 211.24"/>
    <x v="14"/>
    <x v="4"/>
    <b v="1"/>
    <x v="46"/>
    <n v="20"/>
  </r>
  <r>
    <n v="568018581"/>
    <x v="1"/>
    <x v="133"/>
    <s v="Profit of position #1349530190"/>
    <x v="34"/>
    <x v="4"/>
    <b v="1"/>
    <x v="46"/>
    <n v="1"/>
  </r>
  <r>
    <n v="568018582"/>
    <x v="2"/>
    <x v="133"/>
    <s v="CLOSE BUY 0.12 @ 126.75"/>
    <x v="34"/>
    <x v="4"/>
    <b v="1"/>
    <x v="46"/>
    <n v="14.21"/>
  </r>
  <r>
    <n v="568018921"/>
    <x v="1"/>
    <x v="133"/>
    <s v="Profit of position #1349530190"/>
    <x v="34"/>
    <x v="4"/>
    <b v="1"/>
    <x v="46"/>
    <n v="0.42"/>
  </r>
  <r>
    <n v="568018922"/>
    <x v="2"/>
    <x v="133"/>
    <s v="CLOSE BUY 0.051 @ 126.76"/>
    <x v="34"/>
    <x v="4"/>
    <b v="1"/>
    <x v="46"/>
    <n v="6.04"/>
  </r>
  <r>
    <n v="568057989"/>
    <x v="1"/>
    <x v="134"/>
    <s v="Profit of position #1357737013"/>
    <x v="38"/>
    <x v="1"/>
    <b v="1"/>
    <x v="46"/>
    <n v="-1.28"/>
  </r>
  <r>
    <n v="568057990"/>
    <x v="2"/>
    <x v="134"/>
    <s v="CLOSE BUY 0.0115 @ 1686.26"/>
    <x v="38"/>
    <x v="1"/>
    <b v="1"/>
    <x v="46"/>
    <n v="20.67"/>
  </r>
  <r>
    <n v="568062921"/>
    <x v="0"/>
    <x v="135"/>
    <s v="OPEN BUY 0.2281 @ 88.67"/>
    <x v="39"/>
    <x v="1"/>
    <b v="1"/>
    <x v="46"/>
    <n v="-20.23"/>
  </r>
  <r>
    <n v="568061760"/>
    <x v="0"/>
    <x v="136"/>
    <s v="OPEN BUY 0.2742 @ 72.93"/>
    <x v="6"/>
    <x v="0"/>
    <b v="1"/>
    <x v="46"/>
    <n v="-20"/>
  </r>
  <r>
    <n v="568063320"/>
    <x v="0"/>
    <x v="137"/>
    <s v="OPEN BUY 0.2806 @ 71.61"/>
    <x v="40"/>
    <x v="1"/>
    <b v="1"/>
    <x v="46"/>
    <n v="-20.09"/>
  </r>
  <r>
    <n v="568079573"/>
    <x v="1"/>
    <x v="138"/>
    <s v="Profit of position #1362492338"/>
    <x v="40"/>
    <x v="1"/>
    <b v="1"/>
    <x v="46"/>
    <n v="-0.18"/>
  </r>
  <r>
    <n v="568079574"/>
    <x v="2"/>
    <x v="138"/>
    <s v="CLOSE BUY 0.2806 @ 70.96"/>
    <x v="40"/>
    <x v="1"/>
    <b v="1"/>
    <x v="46"/>
    <n v="20.09"/>
  </r>
  <r>
    <n v="568093433"/>
    <x v="0"/>
    <x v="139"/>
    <s v="OPEN BUY 0.202 @ 100.78"/>
    <x v="41"/>
    <x v="0"/>
    <b v="1"/>
    <x v="46"/>
    <n v="-20.36"/>
  </r>
  <r>
    <n v="568736466"/>
    <x v="7"/>
    <x v="140"/>
    <s v="Sec Fee adj QCOM.US 20240621"/>
    <x v="14"/>
    <x v="4"/>
    <b v="1"/>
    <x v="47"/>
    <n v="0"/>
  </r>
  <r>
    <n v="568741188"/>
    <x v="7"/>
    <x v="141"/>
    <s v="Sec Fee adj AVGO.US 20240621"/>
    <x v="38"/>
    <x v="1"/>
    <b v="1"/>
    <x v="47"/>
    <n v="0"/>
  </r>
  <r>
    <n v="568746399"/>
    <x v="7"/>
    <x v="142"/>
    <s v="Sec Fee adj GILD.US 20240621"/>
    <x v="40"/>
    <x v="1"/>
    <b v="1"/>
    <x v="47"/>
    <n v="0"/>
  </r>
  <r>
    <n v="568747147"/>
    <x v="7"/>
    <x v="143"/>
    <s v="Sec Fee adj NVDA.US 20240621"/>
    <x v="34"/>
    <x v="4"/>
    <b v="1"/>
    <x v="47"/>
    <n v="0"/>
  </r>
  <r>
    <n v="571591268"/>
    <x v="4"/>
    <x v="144"/>
    <s v="NVDA.US USD 0.0100/ SHR"/>
    <x v="34"/>
    <x v="4"/>
    <b v="1"/>
    <x v="48"/>
    <n v="0"/>
  </r>
  <r>
    <n v="573611029"/>
    <x v="6"/>
    <x v="145"/>
    <s v="ECOMMPAY card deposit, ECOMMPAY provider transaction id=1719955803875_-974459108,ECOMMPAY merchant reference id=1719955803875_-974459108, id=12331320"/>
    <x v="4"/>
    <x v="2"/>
    <b v="1"/>
    <x v="49"/>
    <n v="50"/>
  </r>
  <r>
    <n v="574228900"/>
    <x v="0"/>
    <x v="146"/>
    <s v="OPEN BUY 0.1248 @ 202.58"/>
    <x v="14"/>
    <x v="4"/>
    <b v="1"/>
    <x v="50"/>
    <n v="-25.28"/>
  </r>
  <r>
    <n v="574267846"/>
    <x v="0"/>
    <x v="147"/>
    <s v="OPEN BUY 0.0234 @ 459.24"/>
    <x v="8"/>
    <x v="4"/>
    <b v="1"/>
    <x v="50"/>
    <n v="-10.75"/>
  </r>
  <r>
    <n v="575788975"/>
    <x v="1"/>
    <x v="148"/>
    <s v="Profit of position #1342641165"/>
    <x v="9"/>
    <x v="4"/>
    <b v="1"/>
    <x v="51"/>
    <n v="3.7"/>
  </r>
  <r>
    <n v="575788976"/>
    <x v="2"/>
    <x v="148"/>
    <s v="CLOSE BUY 0.1322 @ 183.60"/>
    <x v="9"/>
    <x v="4"/>
    <b v="1"/>
    <x v="51"/>
    <n v="20.57"/>
  </r>
  <r>
    <n v="575800576"/>
    <x v="0"/>
    <x v="149"/>
    <s v="OPEN BUY 0.1078 @ 188.48"/>
    <x v="7"/>
    <x v="4"/>
    <b v="1"/>
    <x v="51"/>
    <n v="-20.32"/>
  </r>
  <r>
    <n v="575850675"/>
    <x v="0"/>
    <x v="150"/>
    <s v="OPEN BUY 0.1104 @ 183.00"/>
    <x v="9"/>
    <x v="4"/>
    <b v="1"/>
    <x v="51"/>
    <n v="-20.2"/>
  </r>
  <r>
    <n v="576520334"/>
    <x v="7"/>
    <x v="151"/>
    <s v="Sec Fee adj TSM.US 20240705"/>
    <x v="9"/>
    <x v="4"/>
    <b v="1"/>
    <x v="52"/>
    <n v="0"/>
  </r>
  <r>
    <n v="576566234"/>
    <x v="1"/>
    <x v="152"/>
    <s v="Profit of position #1347626622"/>
    <x v="35"/>
    <x v="6"/>
    <b v="1"/>
    <x v="52"/>
    <n v="0.36"/>
  </r>
  <r>
    <n v="576566235"/>
    <x v="2"/>
    <x v="152"/>
    <s v="CLOSE BUY 0.1488 @ 69.65"/>
    <x v="35"/>
    <x v="6"/>
    <b v="1"/>
    <x v="52"/>
    <n v="10"/>
  </r>
  <r>
    <n v="576566602"/>
    <x v="0"/>
    <x v="153"/>
    <s v="OPEN BUY 0.0772 @ 129.48"/>
    <x v="34"/>
    <x v="4"/>
    <b v="1"/>
    <x v="52"/>
    <n v="-10"/>
  </r>
  <r>
    <n v="576589618"/>
    <x v="1"/>
    <x v="154"/>
    <s v="Profit of position #1362562387"/>
    <x v="41"/>
    <x v="0"/>
    <b v="1"/>
    <x v="52"/>
    <n v="0.01"/>
  </r>
  <r>
    <n v="576589619"/>
    <x v="2"/>
    <x v="154"/>
    <s v="CLOSE BUY 0.202 @ 100.83"/>
    <x v="41"/>
    <x v="0"/>
    <b v="1"/>
    <x v="52"/>
    <n v="20.36"/>
  </r>
  <r>
    <n v="576644568"/>
    <x v="0"/>
    <x v="155"/>
    <s v="OPEN BUY 0.4841 @ 41.87"/>
    <x v="42"/>
    <x v="1"/>
    <b v="1"/>
    <x v="52"/>
    <n v="-20.27"/>
  </r>
  <r>
    <n v="576713365"/>
    <x v="0"/>
    <x v="156"/>
    <s v="OPEN BUY 0.0829 @ 244.47"/>
    <x v="43"/>
    <x v="4"/>
    <b v="1"/>
    <x v="52"/>
    <n v="-20.27"/>
  </r>
  <r>
    <n v="576713073"/>
    <x v="1"/>
    <x v="157"/>
    <s v="Profit of position #1362488938"/>
    <x v="6"/>
    <x v="0"/>
    <b v="1"/>
    <x v="52"/>
    <n v="-0.18"/>
  </r>
  <r>
    <n v="576713074"/>
    <x v="2"/>
    <x v="157"/>
    <s v="CLOSE BUY 0.2742 @ 72.29"/>
    <x v="6"/>
    <x v="0"/>
    <b v="1"/>
    <x v="52"/>
    <n v="20"/>
  </r>
  <r>
    <n v="576730639"/>
    <x v="1"/>
    <x v="158"/>
    <s v="Profit of position #1375967973"/>
    <x v="9"/>
    <x v="4"/>
    <b v="1"/>
    <x v="52"/>
    <n v="0.39"/>
  </r>
  <r>
    <n v="576730640"/>
    <x v="2"/>
    <x v="158"/>
    <s v="CLOSE BUY 0.109 @ 186.50"/>
    <x v="9"/>
    <x v="4"/>
    <b v="1"/>
    <x v="52"/>
    <n v="19.940000000000001"/>
  </r>
  <r>
    <n v="576738618"/>
    <x v="1"/>
    <x v="159"/>
    <s v="Profit of position #1375856858"/>
    <x v="7"/>
    <x v="4"/>
    <b v="1"/>
    <x v="52"/>
    <n v="7.0000000000000007E-2"/>
  </r>
  <r>
    <n v="576738619"/>
    <x v="2"/>
    <x v="159"/>
    <s v="CLOSE BUY 0.1052 @ 189.21"/>
    <x v="7"/>
    <x v="4"/>
    <b v="1"/>
    <x v="52"/>
    <n v="19.829999999999998"/>
  </r>
  <r>
    <n v="576740764"/>
    <x v="0"/>
    <x v="160"/>
    <s v="OPEN BUY 0.1088 @ 186.70"/>
    <x v="9"/>
    <x v="4"/>
    <b v="1"/>
    <x v="52"/>
    <n v="-20.309999999999999"/>
  </r>
  <r>
    <n v="577175969"/>
    <x v="7"/>
    <x v="161"/>
    <s v="Sec Fee adj GOOGL.US 20240708"/>
    <x v="7"/>
    <x v="4"/>
    <b v="1"/>
    <x v="53"/>
    <n v="0"/>
  </r>
  <r>
    <n v="577186491"/>
    <x v="7"/>
    <x v="162"/>
    <s v="Sec Fee adj NEE.US 20240708"/>
    <x v="6"/>
    <x v="0"/>
    <b v="1"/>
    <x v="53"/>
    <n v="0"/>
  </r>
  <r>
    <n v="577186824"/>
    <x v="7"/>
    <x v="163"/>
    <s v="Sec Fee adj WMT.US 20240708"/>
    <x v="35"/>
    <x v="6"/>
    <b v="1"/>
    <x v="53"/>
    <n v="0"/>
  </r>
  <r>
    <n v="577204395"/>
    <x v="7"/>
    <x v="164"/>
    <s v="Sec Fee adj TSM.US 20240708"/>
    <x v="9"/>
    <x v="4"/>
    <b v="1"/>
    <x v="53"/>
    <n v="0"/>
  </r>
  <r>
    <n v="577197569"/>
    <x v="7"/>
    <x v="165"/>
    <s v="Sec Fee adj DUK.US 20240708"/>
    <x v="41"/>
    <x v="0"/>
    <b v="1"/>
    <x v="53"/>
    <n v="0"/>
  </r>
  <r>
    <n v="577298495"/>
    <x v="0"/>
    <x v="166"/>
    <s v="OPEN BUY 1 @ 20.580"/>
    <x v="44"/>
    <x v="5"/>
    <b v="1"/>
    <x v="53"/>
    <n v="-20.58"/>
  </r>
  <r>
    <n v="577299140"/>
    <x v="0"/>
    <x v="167"/>
    <s v="OPEN BUY 0.0658 @ 227.77"/>
    <x v="13"/>
    <x v="4"/>
    <b v="1"/>
    <x v="53"/>
    <n v="-14.99"/>
  </r>
  <r>
    <n v="577298781"/>
    <x v="1"/>
    <x v="168"/>
    <s v="Profit of position #1357595824"/>
    <x v="37"/>
    <x v="1"/>
    <b v="1"/>
    <x v="53"/>
    <n v="-4.2699999999999996"/>
  </r>
  <r>
    <n v="577298782"/>
    <x v="2"/>
    <x v="168"/>
    <s v="CLOSE BUY 1 @ 18.62"/>
    <x v="37"/>
    <x v="1"/>
    <b v="1"/>
    <x v="53"/>
    <n v="22.89"/>
  </r>
  <r>
    <n v="577321581"/>
    <x v="1"/>
    <x v="169"/>
    <s v="Profit of position #1375967973"/>
    <x v="9"/>
    <x v="4"/>
    <b v="1"/>
    <x v="53"/>
    <n v="0"/>
  </r>
  <r>
    <n v="577321582"/>
    <x v="2"/>
    <x v="169"/>
    <s v="CLOSE BUY 0.0014/0.1091 @ 182.97"/>
    <x v="9"/>
    <x v="4"/>
    <b v="1"/>
    <x v="53"/>
    <n v="0.26"/>
  </r>
  <r>
    <n v="577321583"/>
    <x v="1"/>
    <x v="169"/>
    <s v="Profit of position #1377834040"/>
    <x v="9"/>
    <x v="4"/>
    <b v="1"/>
    <x v="53"/>
    <n v="-0.39"/>
  </r>
  <r>
    <n v="577321584"/>
    <x v="2"/>
    <x v="169"/>
    <s v="CLOSE BUY 0.1077/0.1091 @ 182.97"/>
    <x v="9"/>
    <x v="4"/>
    <b v="1"/>
    <x v="53"/>
    <n v="20.100000000000001"/>
  </r>
  <r>
    <n v="577413102"/>
    <x v="1"/>
    <x v="170"/>
    <s v="Profit of position #1377407433"/>
    <x v="34"/>
    <x v="4"/>
    <b v="1"/>
    <x v="53"/>
    <n v="0.09"/>
  </r>
  <r>
    <n v="577413103"/>
    <x v="2"/>
    <x v="170"/>
    <s v="CLOSE BUY 0.0771 @ 130.75"/>
    <x v="34"/>
    <x v="4"/>
    <b v="1"/>
    <x v="53"/>
    <n v="9.99"/>
  </r>
  <r>
    <n v="577432430"/>
    <x v="0"/>
    <x v="171"/>
    <s v="OPEN BUY 0.1521 @ 131.38"/>
    <x v="34"/>
    <x v="4"/>
    <b v="1"/>
    <x v="53"/>
    <n v="-19.98"/>
  </r>
  <r>
    <n v="577431994"/>
    <x v="1"/>
    <x v="172"/>
    <s v="Profit of position #1377834040"/>
    <x v="9"/>
    <x v="4"/>
    <b v="1"/>
    <x v="53"/>
    <n v="-0.01"/>
  </r>
  <r>
    <n v="577431995"/>
    <x v="2"/>
    <x v="172"/>
    <s v="CLOSE BUY 0.0011 @ 184.46"/>
    <x v="9"/>
    <x v="4"/>
    <b v="1"/>
    <x v="53"/>
    <n v="0.21"/>
  </r>
  <r>
    <n v="577431928"/>
    <x v="1"/>
    <x v="173"/>
    <s v="Profit of position #1377407433"/>
    <x v="34"/>
    <x v="4"/>
    <b v="1"/>
    <x v="53"/>
    <n v="0"/>
  </r>
  <r>
    <n v="577431929"/>
    <x v="2"/>
    <x v="173"/>
    <s v="CLOSE BUY 0.0001 @ 131.24"/>
    <x v="34"/>
    <x v="4"/>
    <b v="1"/>
    <x v="53"/>
    <n v="0.01"/>
  </r>
  <r>
    <n v="577964887"/>
    <x v="7"/>
    <x v="174"/>
    <s v="Sec Fee adj TSM.US 20240709"/>
    <x v="9"/>
    <x v="4"/>
    <b v="1"/>
    <x v="54"/>
    <n v="0"/>
  </r>
  <r>
    <n v="577968836"/>
    <x v="7"/>
    <x v="175"/>
    <s v="Sec Fee adj LEVI.US 20240709"/>
    <x v="37"/>
    <x v="1"/>
    <b v="1"/>
    <x v="54"/>
    <n v="-0.01"/>
  </r>
  <r>
    <n v="577972563"/>
    <x v="7"/>
    <x v="176"/>
    <s v="Sec Fee adj NVDA.US 20240709"/>
    <x v="34"/>
    <x v="4"/>
    <b v="1"/>
    <x v="54"/>
    <n v="0"/>
  </r>
  <r>
    <n v="578026861"/>
    <x v="1"/>
    <x v="177"/>
    <s v="Profit of position #1375856858"/>
    <x v="7"/>
    <x v="4"/>
    <b v="1"/>
    <x v="54"/>
    <n v="0"/>
  </r>
  <r>
    <n v="578026862"/>
    <x v="2"/>
    <x v="177"/>
    <s v="CLOSE BUY 0.0026 @ 190.30"/>
    <x v="7"/>
    <x v="4"/>
    <b v="1"/>
    <x v="54"/>
    <n v="0.49"/>
  </r>
  <r>
    <n v="578026598"/>
    <x v="1"/>
    <x v="178"/>
    <s v="Profit of position #1362491459"/>
    <x v="39"/>
    <x v="1"/>
    <b v="1"/>
    <x v="54"/>
    <n v="-0.2"/>
  </r>
  <r>
    <n v="578026599"/>
    <x v="2"/>
    <x v="178"/>
    <s v="CLOSE BUY 0.228 @ 87.81"/>
    <x v="39"/>
    <x v="1"/>
    <b v="1"/>
    <x v="54"/>
    <n v="20.22"/>
  </r>
  <r>
    <n v="578026789"/>
    <x v="1"/>
    <x v="179"/>
    <s v="Profit of position #1362491459"/>
    <x v="39"/>
    <x v="1"/>
    <b v="1"/>
    <x v="54"/>
    <n v="0"/>
  </r>
  <r>
    <n v="578026790"/>
    <x v="2"/>
    <x v="179"/>
    <s v="CLOSE BUY 0.0001 @ 87.82"/>
    <x v="39"/>
    <x v="1"/>
    <b v="1"/>
    <x v="54"/>
    <n v="0.01"/>
  </r>
  <r>
    <n v="578032273"/>
    <x v="0"/>
    <x v="180"/>
    <s v="OPEN BUY 0.131 @ 190.71"/>
    <x v="7"/>
    <x v="4"/>
    <b v="1"/>
    <x v="54"/>
    <n v="-24.98"/>
  </r>
  <r>
    <n v="578308877"/>
    <x v="4"/>
    <x v="181"/>
    <s v="TSM.US USD 0.5580/ SHR"/>
    <x v="9"/>
    <x v="4"/>
    <b v="1"/>
    <x v="55"/>
    <n v="7.0000000000000007E-2"/>
  </r>
  <r>
    <n v="578308878"/>
    <x v="5"/>
    <x v="181"/>
    <s v="TSM.US USD WHT 21%"/>
    <x v="9"/>
    <x v="4"/>
    <b v="1"/>
    <x v="55"/>
    <n v="-0.01"/>
  </r>
  <r>
    <n v="578626578"/>
    <x v="7"/>
    <x v="182"/>
    <s v="Sec Fee adj AEP.US 20240710"/>
    <x v="39"/>
    <x v="1"/>
    <b v="1"/>
    <x v="55"/>
    <n v="0"/>
  </r>
  <r>
    <n v="578638167"/>
    <x v="7"/>
    <x v="183"/>
    <s v="Sec Fee adj GOOGL.US 20240710"/>
    <x v="7"/>
    <x v="4"/>
    <b v="1"/>
    <x v="55"/>
    <n v="0"/>
  </r>
  <r>
    <n v="578670583"/>
    <x v="1"/>
    <x v="184"/>
    <s v="Profit of position #1377584836"/>
    <x v="42"/>
    <x v="1"/>
    <b v="1"/>
    <x v="55"/>
    <n v="0.01"/>
  </r>
  <r>
    <n v="578670584"/>
    <x v="2"/>
    <x v="184"/>
    <s v="CLOSE BUY 0.0013 @ 42.35"/>
    <x v="42"/>
    <x v="1"/>
    <b v="1"/>
    <x v="55"/>
    <n v="0.05"/>
  </r>
  <r>
    <n v="578670221"/>
    <x v="1"/>
    <x v="185"/>
    <s v="Profit of position #1377584836"/>
    <x v="42"/>
    <x v="1"/>
    <b v="1"/>
    <x v="55"/>
    <n v="0.23"/>
  </r>
  <r>
    <n v="578670222"/>
    <x v="2"/>
    <x v="185"/>
    <s v="CLOSE BUY 0.4828 @ 42.35"/>
    <x v="42"/>
    <x v="1"/>
    <b v="1"/>
    <x v="55"/>
    <n v="20.22"/>
  </r>
  <r>
    <n v="578676301"/>
    <x v="0"/>
    <x v="186"/>
    <s v="OPEN BUY 0.1057 @ 189.11"/>
    <x v="9"/>
    <x v="4"/>
    <b v="1"/>
    <x v="55"/>
    <n v="-19.989999999999998"/>
  </r>
  <r>
    <n v="578694140"/>
    <x v="1"/>
    <x v="187"/>
    <s v="Profit of position #1350885655"/>
    <x v="8"/>
    <x v="4"/>
    <b v="1"/>
    <x v="55"/>
    <n v="0.72"/>
  </r>
  <r>
    <n v="578694141"/>
    <x v="2"/>
    <x v="187"/>
    <s v="CLOSE BUY 0.0234 @ 458.18"/>
    <x v="8"/>
    <x v="4"/>
    <b v="1"/>
    <x v="55"/>
    <n v="10"/>
  </r>
  <r>
    <n v="578695109"/>
    <x v="0"/>
    <x v="188"/>
    <s v="OPEN BUY 1 @ 16.374"/>
    <x v="45"/>
    <x v="5"/>
    <b v="1"/>
    <x v="55"/>
    <n v="-17.899999999999999"/>
  </r>
  <r>
    <n v="579549186"/>
    <x v="7"/>
    <x v="189"/>
    <s v="Sec Fee adj MSFT.US 20240711"/>
    <x v="8"/>
    <x v="4"/>
    <b v="1"/>
    <x v="56"/>
    <n v="0"/>
  </r>
  <r>
    <n v="579549687"/>
    <x v="7"/>
    <x v="190"/>
    <s v="Sec Fee adj SQM.US 20240711"/>
    <x v="42"/>
    <x v="1"/>
    <b v="1"/>
    <x v="56"/>
    <n v="0"/>
  </r>
  <r>
    <n v="584480344"/>
    <x v="6"/>
    <x v="191"/>
    <s v="ECOMMPAY card deposit, ECOMMPAY provider transaction id=1721677919994_-147889676,ECOMMPAY merchant reference id=1721677919994_-147889676, id=12678911"/>
    <x v="4"/>
    <x v="2"/>
    <b v="1"/>
    <x v="3"/>
    <n v="50"/>
  </r>
  <r>
    <n v="584485942"/>
    <x v="3"/>
    <x v="7"/>
    <s v="Transfer from 50704832 to 50872299"/>
    <x v="4"/>
    <x v="2"/>
    <b v="1"/>
    <x v="3"/>
    <n v="-50"/>
  </r>
  <r>
    <n v="594633130"/>
    <x v="6"/>
    <x v="192"/>
    <s v="SafetyPay deposit, SafetyPay provider transaction id=0124219768284884, SafetyPay merchant reference id=209396, id=13010440"/>
    <x v="4"/>
    <x v="2"/>
    <b v="1"/>
    <x v="57"/>
    <n v="50"/>
  </r>
  <r>
    <n v="595322553"/>
    <x v="0"/>
    <x v="193"/>
    <s v="OPEN BUY 0.0481 @ 311.85"/>
    <x v="46"/>
    <x v="1"/>
    <b v="1"/>
    <x v="58"/>
    <n v="-15"/>
  </r>
  <r>
    <n v="595321799"/>
    <x v="0"/>
    <x v="194"/>
    <s v="OPEN BUY 0.0575 @ 260.80"/>
    <x v="26"/>
    <x v="3"/>
    <b v="1"/>
    <x v="58"/>
    <n v="-15"/>
  </r>
  <r>
    <n v="595321958"/>
    <x v="0"/>
    <x v="195"/>
    <s v="OPEN BUY 0.0329 @ 455.40"/>
    <x v="23"/>
    <x v="3"/>
    <b v="1"/>
    <x v="58"/>
    <n v="-14.98"/>
  </r>
  <r>
    <n v="595464540"/>
    <x v="0"/>
    <x v="196"/>
    <s v="OPEN BUY 0.1933 @ 77.53"/>
    <x v="6"/>
    <x v="0"/>
    <b v="1"/>
    <x v="58"/>
    <n v="-14.99"/>
  </r>
  <r>
    <n v="595464014"/>
    <x v="1"/>
    <x v="197"/>
    <s v="Profit of position #1414374074"/>
    <x v="46"/>
    <x v="1"/>
    <b v="1"/>
    <x v="58"/>
    <n v="-0.19"/>
  </r>
  <r>
    <n v="595464015"/>
    <x v="2"/>
    <x v="197"/>
    <s v="CLOSE BUY 0.0481 @ 308.00"/>
    <x v="46"/>
    <x v="1"/>
    <b v="1"/>
    <x v="58"/>
    <n v="15"/>
  </r>
  <r>
    <n v="596003741"/>
    <x v="7"/>
    <x v="198"/>
    <s v="Sec Fee adj PANW.US 20240807"/>
    <x v="46"/>
    <x v="1"/>
    <b v="1"/>
    <x v="59"/>
    <n v="0"/>
  </r>
  <r>
    <n v="599394769"/>
    <x v="0"/>
    <x v="199"/>
    <s v="OPEN BUY 0.683 @ 51.24"/>
    <x v="17"/>
    <x v="6"/>
    <b v="1"/>
    <x v="60"/>
    <n v="-35"/>
  </r>
  <r>
    <n v="599394362"/>
    <x v="6"/>
    <x v="200"/>
    <s v="SafetyPay deposit, SafetyPay provider transaction id=0124227695622822, SafetyPay merchant reference id=210479, id=13157538"/>
    <x v="4"/>
    <x v="2"/>
    <b v="1"/>
    <x v="60"/>
    <n v="50"/>
  </r>
  <r>
    <n v="599899127"/>
    <x v="4"/>
    <x v="201"/>
    <s v="AAPL.US USD 0.2500/ SHR"/>
    <x v="13"/>
    <x v="4"/>
    <b v="1"/>
    <x v="61"/>
    <n v="0.02"/>
  </r>
  <r>
    <n v="599899128"/>
    <x v="5"/>
    <x v="201"/>
    <s v="AAPL.US USD WHT 30%"/>
    <x v="13"/>
    <x v="4"/>
    <b v="1"/>
    <x v="61"/>
    <n v="-0.01"/>
  </r>
  <r>
    <n v="601597696"/>
    <x v="0"/>
    <x v="202"/>
    <s v="OPEN BUY 0.0476 @ 419.46"/>
    <x v="8"/>
    <x v="4"/>
    <b v="1"/>
    <x v="62"/>
    <n v="-19.97"/>
  </r>
  <r>
    <n v="609056665"/>
    <x v="4"/>
    <x v="203"/>
    <s v="V.US USD 0.5200/ SHR"/>
    <x v="26"/>
    <x v="3"/>
    <b v="1"/>
    <x v="63"/>
    <n v="0.03"/>
  </r>
  <r>
    <n v="609056666"/>
    <x v="5"/>
    <x v="203"/>
    <s v="V.US USD WHT 30%"/>
    <x v="26"/>
    <x v="3"/>
    <b v="1"/>
    <x v="63"/>
    <n v="-0.01"/>
  </r>
  <r>
    <n v="610786133"/>
    <x v="6"/>
    <x v="204"/>
    <s v="SafetyPay deposit, SafetyPay provider transaction id=0124248579845545, SafetyPay merchant reference id=213579, id=13480399"/>
    <x v="4"/>
    <x v="2"/>
    <b v="1"/>
    <x v="64"/>
    <n v="50"/>
  </r>
  <r>
    <n v="613190556"/>
    <x v="0"/>
    <x v="205"/>
    <s v="OPEN BUY 0.068 @ 161.58"/>
    <x v="14"/>
    <x v="4"/>
    <b v="1"/>
    <x v="65"/>
    <n v="-10.99"/>
  </r>
  <r>
    <n v="613192452"/>
    <x v="0"/>
    <x v="206"/>
    <s v="OPEN BUY 0.1369 @ 147.48"/>
    <x v="24"/>
    <x v="6"/>
    <b v="1"/>
    <x v="65"/>
    <n v="-20.190000000000001"/>
  </r>
  <r>
    <n v="615263903"/>
    <x v="4"/>
    <x v="207"/>
    <s v="AMAT.US USD 0.4000/ SHR"/>
    <x v="43"/>
    <x v="4"/>
    <b v="1"/>
    <x v="66"/>
    <n v="0.03"/>
  </r>
  <r>
    <n v="615263904"/>
    <x v="5"/>
    <x v="207"/>
    <s v="AMAT.US USD WHT 30%"/>
    <x v="43"/>
    <x v="4"/>
    <b v="1"/>
    <x v="66"/>
    <n v="-0.01"/>
  </r>
  <r>
    <n v="615378337"/>
    <x v="4"/>
    <x v="208"/>
    <s v="MSFT.US USD 0.7500/ SHR"/>
    <x v="8"/>
    <x v="4"/>
    <b v="1"/>
    <x v="66"/>
    <n v="0.02"/>
  </r>
  <r>
    <n v="615378338"/>
    <x v="5"/>
    <x v="208"/>
    <s v="MSFT.US USD WHT 30%"/>
    <x v="8"/>
    <x v="4"/>
    <b v="1"/>
    <x v="66"/>
    <n v="-0.01"/>
  </r>
  <r>
    <n v="616536164"/>
    <x v="0"/>
    <x v="209"/>
    <s v="OPEN BUY 0.0665 @ 222.94"/>
    <x v="13"/>
    <x v="4"/>
    <b v="1"/>
    <x v="67"/>
    <n v="-14.83"/>
  </r>
  <r>
    <n v="617156293"/>
    <x v="4"/>
    <x v="210"/>
    <s v="NEE.US USD 0.5150/ SHR"/>
    <x v="6"/>
    <x v="0"/>
    <b v="1"/>
    <x v="68"/>
    <n v="0.1"/>
  </r>
  <r>
    <n v="617156294"/>
    <x v="5"/>
    <x v="210"/>
    <s v="NEE.US USD WHT 30%"/>
    <x v="6"/>
    <x v="0"/>
    <b v="1"/>
    <x v="68"/>
    <n v="-0.03"/>
  </r>
  <r>
    <n v="617274948"/>
    <x v="4"/>
    <x v="211"/>
    <s v="GOOGL.US USD 0.2000/ SHR"/>
    <x v="7"/>
    <x v="4"/>
    <b v="1"/>
    <x v="68"/>
    <n v="0.03"/>
  </r>
  <r>
    <n v="617274949"/>
    <x v="5"/>
    <x v="211"/>
    <s v="GOOGL.US USD WHT 30%"/>
    <x v="7"/>
    <x v="4"/>
    <b v="1"/>
    <x v="68"/>
    <n v="-0.01"/>
  </r>
  <r>
    <n v="617756754"/>
    <x v="1"/>
    <x v="212"/>
    <s v="Profit of position #1414372067"/>
    <x v="26"/>
    <x v="3"/>
    <b v="1"/>
    <x v="68"/>
    <n v="1.69"/>
  </r>
  <r>
    <n v="617756755"/>
    <x v="2"/>
    <x v="212"/>
    <s v="CLOSE BUY 0.0575 @ 290.19"/>
    <x v="26"/>
    <x v="3"/>
    <b v="1"/>
    <x v="68"/>
    <n v="15"/>
  </r>
  <r>
    <n v="618248730"/>
    <x v="7"/>
    <x v="213"/>
    <s v="Sec Fee adj V.US 20240916"/>
    <x v="26"/>
    <x v="3"/>
    <b v="1"/>
    <x v="69"/>
    <n v="0"/>
  </r>
  <r>
    <n v="618841181"/>
    <x v="0"/>
    <x v="214"/>
    <s v="OPEN BUY 0.3922 @ 50.99"/>
    <x v="17"/>
    <x v="6"/>
    <b v="1"/>
    <x v="70"/>
    <n v="-20"/>
  </r>
  <r>
    <n v="622025744"/>
    <x v="6"/>
    <x v="215"/>
    <s v="SafetyPay deposit, SafetyPay provider transaction id=0124268294186786, SafetyPay merchant reference id=216768, id=13802734"/>
    <x v="4"/>
    <x v="2"/>
    <b v="1"/>
    <x v="71"/>
    <n v="50"/>
  </r>
  <r>
    <n v="622028220"/>
    <x v="1"/>
    <x v="216"/>
    <s v="Profit of position #1377764546"/>
    <x v="43"/>
    <x v="4"/>
    <b v="1"/>
    <x v="71"/>
    <n v="-3.7"/>
  </r>
  <r>
    <n v="622028221"/>
    <x v="2"/>
    <x v="216"/>
    <s v="CLOSE BUY 0.0778 @ 196.86"/>
    <x v="43"/>
    <x v="4"/>
    <b v="1"/>
    <x v="71"/>
    <n v="19.02"/>
  </r>
  <r>
    <n v="622029304"/>
    <x v="1"/>
    <x v="217"/>
    <s v="Profit of position #1377764546"/>
    <x v="43"/>
    <x v="4"/>
    <b v="1"/>
    <x v="71"/>
    <n v="-0.25"/>
  </r>
  <r>
    <n v="622029305"/>
    <x v="2"/>
    <x v="217"/>
    <s v="CLOSE BUY 0.0051 @ 196.91"/>
    <x v="43"/>
    <x v="4"/>
    <b v="1"/>
    <x v="71"/>
    <n v="1.25"/>
  </r>
  <r>
    <n v="622031424"/>
    <x v="0"/>
    <x v="218"/>
    <s v="OPEN BUY 0.0719 @ 277.82"/>
    <x v="26"/>
    <x v="3"/>
    <b v="1"/>
    <x v="71"/>
    <n v="-19.98"/>
  </r>
  <r>
    <n v="622869620"/>
    <x v="7"/>
    <x v="219"/>
    <s v="Sec Fee adj AMAT.US 20240924"/>
    <x v="43"/>
    <x v="4"/>
    <b v="1"/>
    <x v="8"/>
    <n v="0"/>
  </r>
  <r>
    <n v="623020975"/>
    <x v="1"/>
    <x v="220"/>
    <s v="Profit of position #1380259753"/>
    <x v="7"/>
    <x v="4"/>
    <b v="1"/>
    <x v="8"/>
    <n v="-3.78"/>
  </r>
  <r>
    <n v="623020976"/>
    <x v="2"/>
    <x v="220"/>
    <s v="CLOSE BUY 0.131 @ 161.87"/>
    <x v="7"/>
    <x v="4"/>
    <b v="1"/>
    <x v="8"/>
    <n v="24.98"/>
  </r>
  <r>
    <n v="623021070"/>
    <x v="0"/>
    <x v="221"/>
    <s v="OPEN BUY 0.0742 @ 269.23"/>
    <x v="26"/>
    <x v="3"/>
    <b v="1"/>
    <x v="8"/>
    <n v="-19.98"/>
  </r>
  <r>
    <n v="623393703"/>
    <x v="4"/>
    <x v="222"/>
    <s v="QCOM.US USD 0.8500/ SHR"/>
    <x v="14"/>
    <x v="4"/>
    <b v="1"/>
    <x v="72"/>
    <n v="0.11"/>
  </r>
  <r>
    <n v="623393704"/>
    <x v="5"/>
    <x v="222"/>
    <s v="QCOM.US USD WHT 30%"/>
    <x v="14"/>
    <x v="4"/>
    <b v="1"/>
    <x v="72"/>
    <n v="-0.03"/>
  </r>
  <r>
    <n v="623769557"/>
    <x v="7"/>
    <x v="223"/>
    <s v="Sec Fee adj GOOGL.US 20240925"/>
    <x v="7"/>
    <x v="4"/>
    <b v="1"/>
    <x v="72"/>
    <n v="0"/>
  </r>
  <r>
    <n v="624734365"/>
    <x v="0"/>
    <x v="224"/>
    <s v="OPEN BUY 0.019 @ 700.80"/>
    <x v="47"/>
    <x v="1"/>
    <b v="1"/>
    <x v="73"/>
    <n v="-14.97"/>
  </r>
  <r>
    <n v="625432441"/>
    <x v="4"/>
    <x v="225"/>
    <s v="PEP.US USD 1.3550/ SHR"/>
    <x v="15"/>
    <x v="6"/>
    <b v="1"/>
    <x v="74"/>
    <n v="0.16"/>
  </r>
  <r>
    <n v="625432442"/>
    <x v="5"/>
    <x v="225"/>
    <s v="PEP.US USD WHT 30%"/>
    <x v="15"/>
    <x v="6"/>
    <b v="1"/>
    <x v="74"/>
    <n v="-0.05"/>
  </r>
  <r>
    <n v="629113311"/>
    <x v="0"/>
    <x v="226"/>
    <s v="OPEN BUY 0.107 @ 140.18"/>
    <x v="24"/>
    <x v="6"/>
    <b v="1"/>
    <x v="75"/>
    <n v="-15"/>
  </r>
  <r>
    <n v="629115436"/>
    <x v="0"/>
    <x v="227"/>
    <s v="OPEN BUY 0.0359 @ 417.10"/>
    <x v="8"/>
    <x v="4"/>
    <b v="1"/>
    <x v="75"/>
    <n v="-14.97"/>
  </r>
  <r>
    <n v="633298355"/>
    <x v="4"/>
    <x v="228"/>
    <s v="TSM.US USD 0.6248/ SHR"/>
    <x v="9"/>
    <x v="4"/>
    <b v="1"/>
    <x v="76"/>
    <n v="7.0000000000000007E-2"/>
  </r>
  <r>
    <n v="633298356"/>
    <x v="5"/>
    <x v="228"/>
    <s v="TSM.US USD WHT 21%"/>
    <x v="9"/>
    <x v="4"/>
    <b v="1"/>
    <x v="76"/>
    <n v="-0.01"/>
  </r>
  <r>
    <n v="633410154"/>
    <x v="6"/>
    <x v="229"/>
    <s v="SafetyPay deposit, SafetyPay provider transaction id=0124283900268168, SafetyPay merchant reference id=219355, id=14078346"/>
    <x v="4"/>
    <x v="2"/>
    <b v="1"/>
    <x v="76"/>
    <n v="50"/>
  </r>
  <r>
    <n v="634064188"/>
    <x v="4"/>
    <x v="230"/>
    <s v="MO.US USD 1.0200/ SHR"/>
    <x v="17"/>
    <x v="6"/>
    <b v="1"/>
    <x v="77"/>
    <n v="0.7"/>
  </r>
  <r>
    <n v="634064189"/>
    <x v="5"/>
    <x v="230"/>
    <s v="MO.US USD WHT 30%"/>
    <x v="17"/>
    <x v="6"/>
    <b v="1"/>
    <x v="77"/>
    <n v="-0.21"/>
  </r>
  <r>
    <n v="636140921"/>
    <x v="0"/>
    <x v="231"/>
    <s v="OPEN BUY 0.0213 @ 640.30"/>
    <x v="47"/>
    <x v="1"/>
    <b v="1"/>
    <x v="78"/>
    <n v="-14.96"/>
  </r>
  <r>
    <n v="637256966"/>
    <x v="0"/>
    <x v="232"/>
    <s v="OPEN BUY 0.1047 @ 133.61"/>
    <x v="21"/>
    <x v="8"/>
    <b v="1"/>
    <x v="79"/>
    <n v="-13.99"/>
  </r>
  <r>
    <n v="637257905"/>
    <x v="0"/>
    <x v="233"/>
    <s v="OPEN BUY 0.1914 @ 135.82"/>
    <x v="31"/>
    <x v="6"/>
    <b v="1"/>
    <x v="79"/>
    <n v="-26"/>
  </r>
  <r>
    <n v="638738821"/>
    <x v="6"/>
    <x v="234"/>
    <s v="SafetyPay deposit, SafetyPay provider transaction id=0124291718006106, SafetyPay merchant reference id=220773, id=14251235"/>
    <x v="4"/>
    <x v="2"/>
    <b v="1"/>
    <x v="80"/>
    <n v="50"/>
  </r>
  <r>
    <n v="638869237"/>
    <x v="0"/>
    <x v="235"/>
    <s v="OPEN BUY 0.0559 @ 232.20"/>
    <x v="13"/>
    <x v="4"/>
    <b v="1"/>
    <x v="80"/>
    <n v="-12.98"/>
  </r>
  <r>
    <n v="639420863"/>
    <x v="0"/>
    <x v="236"/>
    <s v="OPEN BUY 0.0285 @ 718.50"/>
    <x v="48"/>
    <x v="4"/>
    <b v="1"/>
    <x v="81"/>
    <n v="-20.48"/>
  </r>
  <r>
    <n v="643423005"/>
    <x v="1"/>
    <x v="237"/>
    <s v="Profit of position #1509051251"/>
    <x v="20"/>
    <x v="2"/>
    <b v="1"/>
    <x v="82"/>
    <n v="-1.05"/>
  </r>
  <r>
    <n v="643423645"/>
    <x v="1"/>
    <x v="238"/>
    <s v="Profit of position #1508055372"/>
    <x v="20"/>
    <x v="2"/>
    <b v="1"/>
    <x v="82"/>
    <n v="3.94"/>
  </r>
  <r>
    <n v="644357419"/>
    <x v="0"/>
    <x v="239"/>
    <s v="OPEN BUY 0.0761 @ 196.90"/>
    <x v="9"/>
    <x v="4"/>
    <b v="1"/>
    <x v="83"/>
    <n v="-14.98"/>
  </r>
  <r>
    <n v="645678853"/>
    <x v="1"/>
    <x v="240"/>
    <s v="Profit of position #1512925323"/>
    <x v="20"/>
    <x v="2"/>
    <b v="1"/>
    <x v="84"/>
    <n v="3.68"/>
  </r>
  <r>
    <n v="645678854"/>
    <x v="8"/>
    <x v="240"/>
    <s v="Swap of position #1512925323"/>
    <x v="20"/>
    <x v="2"/>
    <b v="1"/>
    <x v="84"/>
    <n v="-0.22"/>
  </r>
  <r>
    <n v="646078662"/>
    <x v="1"/>
    <x v="241"/>
    <s v="Profit of position #1514707570"/>
    <x v="20"/>
    <x v="2"/>
    <b v="1"/>
    <x v="84"/>
    <n v="-1.56"/>
  </r>
  <r>
    <n v="647068636"/>
    <x v="1"/>
    <x v="242"/>
    <s v="Profit of position #1516787001"/>
    <x v="49"/>
    <x v="2"/>
    <b v="1"/>
    <x v="85"/>
    <n v="0.25"/>
  </r>
  <r>
    <n v="647065903"/>
    <x v="6"/>
    <x v="243"/>
    <s v="SafetyPay deposit, SafetyPay provider transaction id=0124306832442642, SafetyPay merchant reference id=223172, id=14514093"/>
    <x v="4"/>
    <x v="2"/>
    <b v="1"/>
    <x v="85"/>
    <n v="50"/>
  </r>
  <r>
    <n v="647072891"/>
    <x v="1"/>
    <x v="244"/>
    <s v="Profit of position #1516798655"/>
    <x v="49"/>
    <x v="2"/>
    <b v="1"/>
    <x v="85"/>
    <n v="-1.27"/>
  </r>
  <r>
    <n v="647070712"/>
    <x v="1"/>
    <x v="245"/>
    <s v="Profit of position #1516790032"/>
    <x v="49"/>
    <x v="2"/>
    <b v="1"/>
    <x v="85"/>
    <n v="0.02"/>
  </r>
  <r>
    <n v="647071946"/>
    <x v="1"/>
    <x v="246"/>
    <s v="Profit of position #1516793905"/>
    <x v="49"/>
    <x v="2"/>
    <b v="1"/>
    <x v="85"/>
    <n v="-0.66"/>
  </r>
  <r>
    <n v="647076126"/>
    <x v="1"/>
    <x v="247"/>
    <s v="Profit of position #1516805560"/>
    <x v="49"/>
    <x v="2"/>
    <b v="1"/>
    <x v="85"/>
    <n v="0.33"/>
  </r>
  <r>
    <n v="647072694"/>
    <x v="1"/>
    <x v="248"/>
    <s v="Profit of position #1516796610"/>
    <x v="49"/>
    <x v="2"/>
    <b v="1"/>
    <x v="85"/>
    <n v="-1.83"/>
  </r>
  <r>
    <n v="647080286"/>
    <x v="1"/>
    <x v="249"/>
    <s v="Profit of position #1516814771"/>
    <x v="49"/>
    <x v="2"/>
    <b v="1"/>
    <x v="85"/>
    <n v="0.06"/>
  </r>
  <r>
    <n v="647462354"/>
    <x v="1"/>
    <x v="250"/>
    <s v="Profit of position #1516838270"/>
    <x v="49"/>
    <x v="2"/>
    <b v="1"/>
    <x v="85"/>
    <n v="4.3899999999999997"/>
  </r>
  <r>
    <n v="647535263"/>
    <x v="0"/>
    <x v="251"/>
    <s v="OPEN BUY 0.0602 @ 166.03"/>
    <x v="15"/>
    <x v="6"/>
    <b v="1"/>
    <x v="85"/>
    <n v="-10"/>
  </r>
  <r>
    <n v="647535778"/>
    <x v="0"/>
    <x v="252"/>
    <s v="OPEN BUY 0.0754 @ 132.62"/>
    <x v="21"/>
    <x v="8"/>
    <b v="1"/>
    <x v="85"/>
    <n v="-10"/>
  </r>
  <r>
    <n v="647537243"/>
    <x v="0"/>
    <x v="253"/>
    <s v="OPEN BUY 0.0268 @ 409.38"/>
    <x v="8"/>
    <x v="4"/>
    <b v="1"/>
    <x v="85"/>
    <n v="-10.97"/>
  </r>
  <r>
    <n v="647724835"/>
    <x v="1"/>
    <x v="254"/>
    <s v="Profit of position #1517450167"/>
    <x v="20"/>
    <x v="2"/>
    <b v="1"/>
    <x v="85"/>
    <n v="5"/>
  </r>
  <r>
    <n v="647724904"/>
    <x v="1"/>
    <x v="255"/>
    <s v="Profit of position #1517930572"/>
    <x v="20"/>
    <x v="2"/>
    <b v="1"/>
    <x v="85"/>
    <n v="-0.2"/>
  </r>
  <r>
    <n v="647724830"/>
    <x v="1"/>
    <x v="254"/>
    <s v="Profit of position #1515520253"/>
    <x v="20"/>
    <x v="2"/>
    <b v="1"/>
    <x v="85"/>
    <n v="-0.63"/>
  </r>
  <r>
    <n v="647724831"/>
    <x v="8"/>
    <x v="254"/>
    <s v="Swap of position #1515520253"/>
    <x v="20"/>
    <x v="2"/>
    <b v="1"/>
    <x v="85"/>
    <n v="-0.22"/>
  </r>
  <r>
    <n v="647814243"/>
    <x v="0"/>
    <x v="256"/>
    <s v="OPEN BUY 1 @ 10.92"/>
    <x v="50"/>
    <x v="4"/>
    <b v="1"/>
    <x v="85"/>
    <n v="-10.92"/>
  </r>
  <r>
    <n v="648737875"/>
    <x v="1"/>
    <x v="257"/>
    <s v="Profit of position #1517879253"/>
    <x v="51"/>
    <x v="2"/>
    <b v="1"/>
    <x v="86"/>
    <n v="-18"/>
  </r>
  <r>
    <n v="648737876"/>
    <x v="8"/>
    <x v="257"/>
    <s v="Swap of position #1517879253"/>
    <x v="51"/>
    <x v="2"/>
    <b v="1"/>
    <x v="86"/>
    <n v="-0.63"/>
  </r>
  <r>
    <n v="652089671"/>
    <x v="4"/>
    <x v="258"/>
    <s v="ASML.US USD 1.6554/ SHR"/>
    <x v="48"/>
    <x v="4"/>
    <b v="1"/>
    <x v="87"/>
    <n v="0.05"/>
  </r>
  <r>
    <n v="652089672"/>
    <x v="5"/>
    <x v="258"/>
    <s v="ASML.US USD WHT 15%"/>
    <x v="48"/>
    <x v="4"/>
    <b v="1"/>
    <x v="87"/>
    <n v="-0.01"/>
  </r>
  <r>
    <n v="652707392"/>
    <x v="1"/>
    <x v="259"/>
    <s v="Profit of position #1379227659"/>
    <x v="34"/>
    <x v="4"/>
    <b v="1"/>
    <x v="87"/>
    <n v="2.56"/>
  </r>
  <r>
    <n v="652707393"/>
    <x v="2"/>
    <x v="259"/>
    <s v="CLOSE BUY 0.1521 @ 148.18"/>
    <x v="34"/>
    <x v="4"/>
    <b v="1"/>
    <x v="87"/>
    <n v="19.98"/>
  </r>
  <r>
    <n v="653094912"/>
    <x v="4"/>
    <x v="260"/>
    <s v="MA.US USD 0.6600/ SHR"/>
    <x v="23"/>
    <x v="3"/>
    <b v="1"/>
    <x v="88"/>
    <n v="0.02"/>
  </r>
  <r>
    <n v="653094913"/>
    <x v="5"/>
    <x v="260"/>
    <s v="MA.US USD WHT 30%"/>
    <x v="23"/>
    <x v="3"/>
    <b v="1"/>
    <x v="88"/>
    <n v="-0.01"/>
  </r>
  <r>
    <n v="653168652"/>
    <x v="1"/>
    <x v="261"/>
    <s v="Profit of position #1527051962"/>
    <x v="20"/>
    <x v="2"/>
    <b v="1"/>
    <x v="88"/>
    <n v="6.9"/>
  </r>
  <r>
    <n v="653175365"/>
    <x v="1"/>
    <x v="262"/>
    <s v="Profit of position #1527744522"/>
    <x v="20"/>
    <x v="2"/>
    <b v="1"/>
    <x v="88"/>
    <n v="-1.44"/>
  </r>
  <r>
    <n v="653429116"/>
    <x v="1"/>
    <x v="263"/>
    <s v="Profit of position #1528126100"/>
    <x v="20"/>
    <x v="2"/>
    <b v="1"/>
    <x v="88"/>
    <n v="2.79"/>
  </r>
  <r>
    <n v="653433262"/>
    <x v="1"/>
    <x v="264"/>
    <s v="Profit of position #1528325630"/>
    <x v="20"/>
    <x v="2"/>
    <b v="1"/>
    <x v="88"/>
    <n v="-0.94"/>
  </r>
  <r>
    <n v="653493016"/>
    <x v="7"/>
    <x v="265"/>
    <s v="Sec Fee adj NVDA.US 20241107"/>
    <x v="34"/>
    <x v="4"/>
    <b v="1"/>
    <x v="88"/>
    <n v="0"/>
  </r>
  <r>
    <n v="654801447"/>
    <x v="1"/>
    <x v="266"/>
    <s v="Profit of position #1531227124"/>
    <x v="52"/>
    <x v="2"/>
    <b v="1"/>
    <x v="89"/>
    <n v="0.16"/>
  </r>
  <r>
    <n v="654800962"/>
    <x v="1"/>
    <x v="267"/>
    <s v="Profit of position #1531224336"/>
    <x v="52"/>
    <x v="2"/>
    <b v="1"/>
    <x v="89"/>
    <n v="-0.79"/>
  </r>
  <r>
    <n v="654802429"/>
    <x v="1"/>
    <x v="268"/>
    <s v="Profit of position #1531230129"/>
    <x v="52"/>
    <x v="2"/>
    <b v="1"/>
    <x v="89"/>
    <n v="-0.37"/>
  </r>
  <r>
    <n v="654850443"/>
    <x v="1"/>
    <x v="269"/>
    <s v="Profit of position #1531192665"/>
    <x v="20"/>
    <x v="2"/>
    <b v="1"/>
    <x v="89"/>
    <n v="2.94"/>
  </r>
  <r>
    <n v="654851068"/>
    <x v="1"/>
    <x v="270"/>
    <s v="Profit of position #1531349564"/>
    <x v="20"/>
    <x v="2"/>
    <b v="1"/>
    <x v="89"/>
    <n v="-0.8"/>
  </r>
  <r>
    <n v="654859242"/>
    <x v="1"/>
    <x v="271"/>
    <s v="Profit of position #1531351286"/>
    <x v="20"/>
    <x v="2"/>
    <b v="1"/>
    <x v="89"/>
    <n v="-0.26"/>
  </r>
  <r>
    <n v="654861769"/>
    <x v="1"/>
    <x v="272"/>
    <s v="Profit of position #1531358421"/>
    <x v="20"/>
    <x v="2"/>
    <b v="1"/>
    <x v="89"/>
    <n v="-1.18"/>
  </r>
  <r>
    <n v="655562013"/>
    <x v="0"/>
    <x v="273"/>
    <s v="OPEN BUY 0.0681 @ 190.67"/>
    <x v="9"/>
    <x v="4"/>
    <b v="1"/>
    <x v="89"/>
    <n v="-12.98"/>
  </r>
  <r>
    <n v="655597544"/>
    <x v="1"/>
    <x v="274"/>
    <s v="Profit of position #1532703059"/>
    <x v="20"/>
    <x v="2"/>
    <b v="1"/>
    <x v="89"/>
    <n v="0.37"/>
  </r>
  <r>
    <n v="655600989"/>
    <x v="1"/>
    <x v="275"/>
    <s v="Profit of position #1532729622"/>
    <x v="52"/>
    <x v="2"/>
    <b v="1"/>
    <x v="89"/>
    <n v="0.13"/>
  </r>
  <r>
    <n v="656141644"/>
    <x v="0"/>
    <x v="276"/>
    <s v="OPEN BUY 0.5 @ 21.905"/>
    <x v="44"/>
    <x v="5"/>
    <b v="1"/>
    <x v="90"/>
    <n v="-10.95"/>
  </r>
  <r>
    <n v="656196484"/>
    <x v="1"/>
    <x v="277"/>
    <s v="Profit of position #1533930062"/>
    <x v="20"/>
    <x v="2"/>
    <b v="1"/>
    <x v="90"/>
    <n v="2.2400000000000002"/>
  </r>
  <r>
    <n v="657069237"/>
    <x v="4"/>
    <x v="278"/>
    <s v="AAPL.US USD 0.2500/ SHR"/>
    <x v="13"/>
    <x v="4"/>
    <b v="1"/>
    <x v="91"/>
    <n v="0.01"/>
  </r>
  <r>
    <n v="657103074"/>
    <x v="4"/>
    <x v="279"/>
    <s v="AAPL.US USD 0.2500/ SHR"/>
    <x v="13"/>
    <x v="4"/>
    <b v="1"/>
    <x v="91"/>
    <n v="0.02"/>
  </r>
  <r>
    <n v="657103075"/>
    <x v="5"/>
    <x v="279"/>
    <s v="AAPL.US USD WHT 30%"/>
    <x v="13"/>
    <x v="4"/>
    <b v="1"/>
    <x v="91"/>
    <n v="-0.01"/>
  </r>
  <r>
    <n v="657106041"/>
    <x v="4"/>
    <x v="279"/>
    <s v="AAPL.US USD 0.2500/ SHR"/>
    <x v="13"/>
    <x v="4"/>
    <b v="1"/>
    <x v="91"/>
    <n v="0.02"/>
  </r>
  <r>
    <n v="657106042"/>
    <x v="5"/>
    <x v="279"/>
    <s v="AAPL.US USD WHT 30%"/>
    <x v="13"/>
    <x v="4"/>
    <b v="1"/>
    <x v="91"/>
    <n v="-0.01"/>
  </r>
  <r>
    <n v="657684815"/>
    <x v="1"/>
    <x v="280"/>
    <s v="Profit of position #1536772518"/>
    <x v="20"/>
    <x v="2"/>
    <b v="1"/>
    <x v="91"/>
    <n v="5.97"/>
  </r>
  <r>
    <n v="660182366"/>
    <x v="1"/>
    <x v="281"/>
    <s v="Profit of position #1540892910"/>
    <x v="20"/>
    <x v="2"/>
    <b v="1"/>
    <x v="92"/>
    <n v="7.97"/>
  </r>
  <r>
    <n v="660182367"/>
    <x v="8"/>
    <x v="281"/>
    <s v="Swap of position #1540892910"/>
    <x v="20"/>
    <x v="2"/>
    <b v="1"/>
    <x v="92"/>
    <n v="-0.45"/>
  </r>
  <r>
    <n v="660370123"/>
    <x v="1"/>
    <x v="282"/>
    <s v="Profit of position #1541930457"/>
    <x v="20"/>
    <x v="2"/>
    <b v="1"/>
    <x v="92"/>
    <n v="2.54"/>
  </r>
  <r>
    <n v="664734305"/>
    <x v="0"/>
    <x v="283"/>
    <s v="OPEN BUY 0.1195 @ 167.24"/>
    <x v="7"/>
    <x v="4"/>
    <b v="1"/>
    <x v="93"/>
    <n v="-19.989999999999998"/>
  </r>
  <r>
    <n v="665617403"/>
    <x v="6"/>
    <x v="284"/>
    <s v="SafetyPay deposit, SafetyPay provider transaction id=0124332163245345, SafetyPay merchant reference id=227880, id=15124289"/>
    <x v="4"/>
    <x v="2"/>
    <b v="1"/>
    <x v="94"/>
    <n v="85"/>
  </r>
  <r>
    <n v="666045644"/>
    <x v="1"/>
    <x v="285"/>
    <s v="Profit of position #1553997553"/>
    <x v="20"/>
    <x v="2"/>
    <b v="1"/>
    <x v="94"/>
    <n v="-3.33"/>
  </r>
  <r>
    <n v="666045860"/>
    <x v="1"/>
    <x v="286"/>
    <s v="Profit of position #1554074835"/>
    <x v="20"/>
    <x v="2"/>
    <b v="1"/>
    <x v="94"/>
    <n v="-1.63"/>
  </r>
  <r>
    <n v="666341644"/>
    <x v="0"/>
    <x v="287"/>
    <s v="OPEN BUY 0.084 @ 178.48"/>
    <x v="9"/>
    <x v="4"/>
    <b v="1"/>
    <x v="94"/>
    <n v="-14.99"/>
  </r>
  <r>
    <n v="666341273"/>
    <x v="0"/>
    <x v="288"/>
    <s v="OPEN BUY 0.9595/1.9595 @ 15.30"/>
    <x v="22"/>
    <x v="3"/>
    <b v="1"/>
    <x v="94"/>
    <n v="-14.68"/>
  </r>
  <r>
    <n v="666341280"/>
    <x v="0"/>
    <x v="289"/>
    <s v="OPEN BUY 1/1.9595 @ 15.30"/>
    <x v="22"/>
    <x v="3"/>
    <b v="1"/>
    <x v="94"/>
    <n v="-15.3"/>
  </r>
  <r>
    <n v="666890881"/>
    <x v="1"/>
    <x v="290"/>
    <s v="Profit of position #1555669398"/>
    <x v="20"/>
    <x v="2"/>
    <b v="1"/>
    <x v="95"/>
    <n v="10.17"/>
  </r>
  <r>
    <n v="667794212"/>
    <x v="6"/>
    <x v="291"/>
    <s v="SafetyPay deposit, SafetyPay provider transaction id=0124335960710210, SafetyPay merchant reference id=228458, id=15199907"/>
    <x v="4"/>
    <x v="2"/>
    <b v="1"/>
    <x v="96"/>
    <n v="85"/>
  </r>
  <r>
    <n v="668479884"/>
    <x v="4"/>
    <x v="292"/>
    <s v="V.US USD 0.5900/ SHR"/>
    <x v="26"/>
    <x v="3"/>
    <b v="1"/>
    <x v="97"/>
    <n v="0.04"/>
  </r>
  <r>
    <n v="668479885"/>
    <x v="5"/>
    <x v="292"/>
    <s v="V.US USD WHT 30%"/>
    <x v="26"/>
    <x v="3"/>
    <b v="1"/>
    <x v="97"/>
    <n v="-0.01"/>
  </r>
  <r>
    <n v="668491369"/>
    <x v="4"/>
    <x v="293"/>
    <s v="V.US USD 0.5900/ SHR"/>
    <x v="26"/>
    <x v="3"/>
    <b v="1"/>
    <x v="97"/>
    <n v="0.04"/>
  </r>
  <r>
    <n v="668491370"/>
    <x v="5"/>
    <x v="293"/>
    <s v="V.US USD WHT 30%"/>
    <x v="26"/>
    <x v="3"/>
    <b v="1"/>
    <x v="97"/>
    <n v="-0.01"/>
  </r>
  <r>
    <n v="669282156"/>
    <x v="0"/>
    <x v="294"/>
    <s v="OPEN BUY 0.2585 @ 77.35"/>
    <x v="6"/>
    <x v="0"/>
    <b v="1"/>
    <x v="97"/>
    <n v="-19.989999999999998"/>
  </r>
  <r>
    <n v="669283159"/>
    <x v="0"/>
    <x v="295"/>
    <s v="OPEN BUY 0.1076 @ 139.40"/>
    <x v="24"/>
    <x v="6"/>
    <b v="1"/>
    <x v="97"/>
    <n v="-15"/>
  </r>
  <r>
    <n v="669282425"/>
    <x v="0"/>
    <x v="296"/>
    <s v="OPEN BUY 0.092 @ 162.85"/>
    <x v="15"/>
    <x v="6"/>
    <b v="1"/>
    <x v="97"/>
    <n v="-14.98"/>
  </r>
  <r>
    <n v="669863641"/>
    <x v="0"/>
    <x v="297"/>
    <s v="OPEN BUY 1 @ 48.6800"/>
    <x v="27"/>
    <x v="5"/>
    <b v="1"/>
    <x v="98"/>
    <n v="-51.41"/>
  </r>
  <r>
    <n v="670941452"/>
    <x v="4"/>
    <x v="298"/>
    <s v="MC.FR EUR 5.5000/ SHR"/>
    <x v="47"/>
    <x v="1"/>
    <b v="1"/>
    <x v="99"/>
    <n v="0.11"/>
  </r>
  <r>
    <n v="670941453"/>
    <x v="5"/>
    <x v="298"/>
    <s v="MC.FR EUR WHT 25%"/>
    <x v="47"/>
    <x v="1"/>
    <b v="1"/>
    <x v="99"/>
    <n v="-0.03"/>
  </r>
  <r>
    <n v="670946699"/>
    <x v="4"/>
    <x v="299"/>
    <s v="MC.FR EUR 5.5000/ SHR"/>
    <x v="47"/>
    <x v="1"/>
    <b v="1"/>
    <x v="99"/>
    <n v="0.12"/>
  </r>
  <r>
    <n v="670946700"/>
    <x v="5"/>
    <x v="299"/>
    <s v="MC.FR EUR WHT 25%"/>
    <x v="47"/>
    <x v="1"/>
    <b v="1"/>
    <x v="99"/>
    <n v="-0.03"/>
  </r>
  <r>
    <n v="671472375"/>
    <x v="0"/>
    <x v="300"/>
    <s v="OPEN BUY 0.0626 @ 159.74"/>
    <x v="15"/>
    <x v="6"/>
    <b v="1"/>
    <x v="99"/>
    <n v="-10"/>
  </r>
  <r>
    <n v="672045605"/>
    <x v="1"/>
    <x v="301"/>
    <s v="Profit of position #1563562241"/>
    <x v="20"/>
    <x v="2"/>
    <b v="1"/>
    <x v="100"/>
    <n v="-6.99"/>
  </r>
  <r>
    <n v="673182775"/>
    <x v="0"/>
    <x v="302"/>
    <s v="OPEN BUY 0.9385 @ 21.31"/>
    <x v="10"/>
    <x v="0"/>
    <b v="1"/>
    <x v="101"/>
    <n v="-20"/>
  </r>
  <r>
    <n v="676475396"/>
    <x v="4"/>
    <x v="303"/>
    <s v="MSFT.US USD 0.8300/ SHR"/>
    <x v="8"/>
    <x v="4"/>
    <b v="1"/>
    <x v="102"/>
    <n v="0.02"/>
  </r>
  <r>
    <n v="676475397"/>
    <x v="5"/>
    <x v="303"/>
    <s v="MSFT.US USD WHT 30%"/>
    <x v="8"/>
    <x v="4"/>
    <b v="1"/>
    <x v="102"/>
    <n v="-0.01"/>
  </r>
  <r>
    <n v="676495775"/>
    <x v="4"/>
    <x v="304"/>
    <s v="MSFT.US USD 0.8300/ SHR"/>
    <x v="8"/>
    <x v="4"/>
    <b v="1"/>
    <x v="102"/>
    <n v="0.03"/>
  </r>
  <r>
    <n v="676495776"/>
    <x v="5"/>
    <x v="304"/>
    <s v="MSFT.US USD WHT 30%"/>
    <x v="8"/>
    <x v="4"/>
    <b v="1"/>
    <x v="102"/>
    <n v="-0.01"/>
  </r>
  <r>
    <n v="676570737"/>
    <x v="4"/>
    <x v="305"/>
    <s v="MSFT.US USD 0.8300/ SHR"/>
    <x v="8"/>
    <x v="4"/>
    <b v="1"/>
    <x v="102"/>
    <n v="0.02"/>
  </r>
  <r>
    <n v="676570738"/>
    <x v="5"/>
    <x v="305"/>
    <s v="MSFT.US USD WHT 30%"/>
    <x v="8"/>
    <x v="4"/>
    <b v="1"/>
    <x v="102"/>
    <n v="-0.01"/>
  </r>
  <r>
    <n v="676584703"/>
    <x v="4"/>
    <x v="306"/>
    <s v="MSFT.US USD 0.8300/ SHR"/>
    <x v="8"/>
    <x v="4"/>
    <b v="1"/>
    <x v="102"/>
    <n v="0.04"/>
  </r>
  <r>
    <n v="676584704"/>
    <x v="5"/>
    <x v="306"/>
    <s v="MSFT.US USD WHT 30%"/>
    <x v="8"/>
    <x v="4"/>
    <b v="1"/>
    <x v="102"/>
    <n v="-0.01"/>
  </r>
  <r>
    <n v="677730046"/>
    <x v="4"/>
    <x v="307"/>
    <s v="YUM.US USD 0.6700/ SHR"/>
    <x v="21"/>
    <x v="8"/>
    <b v="1"/>
    <x v="103"/>
    <n v="0.05"/>
  </r>
  <r>
    <n v="677730047"/>
    <x v="5"/>
    <x v="307"/>
    <s v="YUM.US USD WHT 30%"/>
    <x v="21"/>
    <x v="8"/>
    <b v="1"/>
    <x v="103"/>
    <n v="-0.02"/>
  </r>
  <r>
    <n v="677730112"/>
    <x v="4"/>
    <x v="307"/>
    <s v="YUM.US USD 0.6700/ SHR"/>
    <x v="21"/>
    <x v="8"/>
    <b v="1"/>
    <x v="103"/>
    <n v="7.0000000000000007E-2"/>
  </r>
  <r>
    <n v="677730113"/>
    <x v="5"/>
    <x v="307"/>
    <s v="YUM.US USD WHT 30%"/>
    <x v="21"/>
    <x v="8"/>
    <b v="1"/>
    <x v="103"/>
    <n v="-0.02"/>
  </r>
  <r>
    <n v="678748131"/>
    <x v="4"/>
    <x v="308"/>
    <s v="NEE.US USD 0.5150/ SHR"/>
    <x v="6"/>
    <x v="0"/>
    <b v="1"/>
    <x v="104"/>
    <n v="0.1"/>
  </r>
  <r>
    <n v="678748132"/>
    <x v="5"/>
    <x v="308"/>
    <s v="NEE.US USD WHT 30%"/>
    <x v="6"/>
    <x v="0"/>
    <b v="1"/>
    <x v="104"/>
    <n v="-0.03"/>
  </r>
  <r>
    <n v="678961049"/>
    <x v="4"/>
    <x v="309"/>
    <s v="GOOGL.US USD 0.2000/ SHR"/>
    <x v="7"/>
    <x v="4"/>
    <b v="1"/>
    <x v="104"/>
    <n v="0.02"/>
  </r>
  <r>
    <n v="678961050"/>
    <x v="5"/>
    <x v="309"/>
    <s v="GOOGL.US USD WHT 30%"/>
    <x v="7"/>
    <x v="4"/>
    <b v="1"/>
    <x v="104"/>
    <n v="-0.01"/>
  </r>
  <r>
    <n v="681900917"/>
    <x v="4"/>
    <x v="310"/>
    <s v="QCOM.US USD 0.8500/ SHR"/>
    <x v="14"/>
    <x v="4"/>
    <b v="1"/>
    <x v="105"/>
    <n v="0.06"/>
  </r>
  <r>
    <n v="681900918"/>
    <x v="5"/>
    <x v="310"/>
    <s v="QCOM.US USD WHT 30%"/>
    <x v="14"/>
    <x v="4"/>
    <b v="1"/>
    <x v="105"/>
    <n v="-0.02"/>
  </r>
  <r>
    <n v="681905673"/>
    <x v="4"/>
    <x v="310"/>
    <s v="QCOM.US USD 0.8500/ SHR"/>
    <x v="14"/>
    <x v="4"/>
    <b v="1"/>
    <x v="105"/>
    <n v="0.11"/>
  </r>
  <r>
    <n v="681905674"/>
    <x v="5"/>
    <x v="310"/>
    <s v="QCOM.US USD WHT 30%"/>
    <x v="14"/>
    <x v="4"/>
    <b v="1"/>
    <x v="105"/>
    <n v="-0.03"/>
  </r>
  <r>
    <n v="682453507"/>
    <x v="6"/>
    <x v="311"/>
    <s v="SafetyPay deposit, SafetyPay provider transaction id=0124354463627227, SafetyPay merchant reference id=232152, id=15694711"/>
    <x v="4"/>
    <x v="2"/>
    <b v="1"/>
    <x v="105"/>
    <n v="85"/>
  </r>
  <r>
    <n v="682459169"/>
    <x v="0"/>
    <x v="312"/>
    <s v="OPEN BUY 0.4847 @ 20.62"/>
    <x v="10"/>
    <x v="0"/>
    <b v="1"/>
    <x v="105"/>
    <n v="-9.99"/>
  </r>
  <r>
    <n v="682456363"/>
    <x v="0"/>
    <x v="313"/>
    <s v="OPEN BUY 0.0769 @ 195.11"/>
    <x v="9"/>
    <x v="4"/>
    <b v="1"/>
    <x v="105"/>
    <n v="-15"/>
  </r>
  <r>
    <n v="682462693"/>
    <x v="0"/>
    <x v="314"/>
    <s v="OPEN BUY 0.3755 @ 53.26"/>
    <x v="17"/>
    <x v="6"/>
    <b v="1"/>
    <x v="105"/>
    <n v="-20"/>
  </r>
  <r>
    <n v="682468725"/>
    <x v="0"/>
    <x v="315"/>
    <s v="OPEN BUY 0.0381 @ 524.43"/>
    <x v="23"/>
    <x v="3"/>
    <b v="1"/>
    <x v="105"/>
    <n v="-19.98"/>
  </r>
  <r>
    <n v="682467895"/>
    <x v="0"/>
    <x v="316"/>
    <s v="OPEN BUY 0.0766 @ 130.51"/>
    <x v="21"/>
    <x v="8"/>
    <b v="1"/>
    <x v="105"/>
    <n v="-10"/>
  </r>
  <r>
    <n v="683227034"/>
    <x v="0"/>
    <x v="317"/>
    <s v="OPEN BUY 0.5 @ 20.645"/>
    <x v="44"/>
    <x v="5"/>
    <b v="1"/>
    <x v="106"/>
    <n v="-10.32"/>
  </r>
  <r>
    <n v="683238772"/>
    <x v="1"/>
    <x v="318"/>
    <s v="Profit of position #1473693877"/>
    <x v="47"/>
    <x v="1"/>
    <b v="1"/>
    <x v="106"/>
    <n v="-2.69"/>
  </r>
  <r>
    <n v="683238773"/>
    <x v="2"/>
    <x v="318"/>
    <s v="CLOSE BUY 0.019/0.0403 @ 623.80"/>
    <x v="47"/>
    <x v="1"/>
    <b v="1"/>
    <x v="106"/>
    <n v="14.97"/>
  </r>
  <r>
    <n v="683238774"/>
    <x v="1"/>
    <x v="318"/>
    <s v="Profit of position #1493848938"/>
    <x v="47"/>
    <x v="1"/>
    <b v="1"/>
    <x v="106"/>
    <n v="-1.19"/>
  </r>
  <r>
    <n v="683238775"/>
    <x v="2"/>
    <x v="318"/>
    <s v="CLOSE BUY 0.0213/0.0403 @ 623.80"/>
    <x v="47"/>
    <x v="1"/>
    <b v="1"/>
    <x v="106"/>
    <n v="14.96"/>
  </r>
  <r>
    <n v="683439715"/>
    <x v="1"/>
    <x v="319"/>
    <s v="Profit of position #1583724019"/>
    <x v="20"/>
    <x v="2"/>
    <b v="1"/>
    <x v="106"/>
    <n v="-10.130000000000001"/>
  </r>
  <r>
    <n v="683461430"/>
    <x v="1"/>
    <x v="320"/>
    <s v="Profit of position #1583841034"/>
    <x v="20"/>
    <x v="2"/>
    <b v="1"/>
    <x v="106"/>
    <n v="-3.88"/>
  </r>
  <r>
    <n v="684315075"/>
    <x v="1"/>
    <x v="321"/>
    <s v="Profit of position #1585474078"/>
    <x v="20"/>
    <x v="2"/>
    <b v="1"/>
    <x v="107"/>
    <n v="7.65"/>
  </r>
  <r>
    <n v="684388073"/>
    <x v="1"/>
    <x v="322"/>
    <s v="Profit of position #1586033461"/>
    <x v="20"/>
    <x v="2"/>
    <b v="1"/>
    <x v="107"/>
    <n v="-0.5"/>
  </r>
  <r>
    <n v="684881764"/>
    <x v="1"/>
    <x v="323"/>
    <s v="Profit of position #1587036381"/>
    <x v="20"/>
    <x v="2"/>
    <b v="1"/>
    <x v="108"/>
    <n v="1.64"/>
  </r>
  <r>
    <n v="689024286"/>
    <x v="0"/>
    <x v="324"/>
    <s v="OPEN BUY 1 @ 16.425"/>
    <x v="45"/>
    <x v="5"/>
    <b v="1"/>
    <x v="109"/>
    <n v="-17.11"/>
  </r>
  <r>
    <n v="690233312"/>
    <x v="4"/>
    <x v="325"/>
    <s v="KMB.US USD 1.2200/ SHR"/>
    <x v="24"/>
    <x v="6"/>
    <b v="1"/>
    <x v="110"/>
    <n v="0.17"/>
  </r>
  <r>
    <n v="690233313"/>
    <x v="5"/>
    <x v="325"/>
    <s v="KMB.US USD WHT 30%"/>
    <x v="24"/>
    <x v="6"/>
    <b v="1"/>
    <x v="110"/>
    <n v="-0.05"/>
  </r>
  <r>
    <n v="690233388"/>
    <x v="4"/>
    <x v="325"/>
    <s v="KMB.US USD 1.2200/ SHR"/>
    <x v="24"/>
    <x v="6"/>
    <b v="1"/>
    <x v="110"/>
    <n v="0.13"/>
  </r>
  <r>
    <n v="690233389"/>
    <x v="5"/>
    <x v="325"/>
    <s v="KMB.US USD WHT 30%"/>
    <x v="24"/>
    <x v="6"/>
    <b v="1"/>
    <x v="110"/>
    <n v="-0.04"/>
  </r>
  <r>
    <n v="690233761"/>
    <x v="4"/>
    <x v="325"/>
    <s v="KMB.US USD 1.2200/ SHR"/>
    <x v="24"/>
    <x v="6"/>
    <b v="1"/>
    <x v="110"/>
    <n v="0.13"/>
  </r>
  <r>
    <n v="690233762"/>
    <x v="5"/>
    <x v="325"/>
    <s v="KMB.US USD WHT 30%"/>
    <x v="24"/>
    <x v="6"/>
    <b v="1"/>
    <x v="110"/>
    <n v="-0.04"/>
  </r>
  <r>
    <n v="692064979"/>
    <x v="4"/>
    <x v="326"/>
    <s v="PEP.US USD 1.3550/ SHR"/>
    <x v="15"/>
    <x v="6"/>
    <b v="1"/>
    <x v="111"/>
    <n v="0.08"/>
  </r>
  <r>
    <n v="692064980"/>
    <x v="5"/>
    <x v="326"/>
    <s v="PEP.US USD WHT 30%"/>
    <x v="15"/>
    <x v="6"/>
    <b v="1"/>
    <x v="111"/>
    <n v="-0.02"/>
  </r>
  <r>
    <n v="692075624"/>
    <x v="4"/>
    <x v="327"/>
    <s v="PEP.US USD 1.3550/ SHR"/>
    <x v="15"/>
    <x v="6"/>
    <b v="1"/>
    <x v="111"/>
    <n v="0.12"/>
  </r>
  <r>
    <n v="692075625"/>
    <x v="5"/>
    <x v="327"/>
    <s v="PEP.US USD WHT 30%"/>
    <x v="15"/>
    <x v="6"/>
    <b v="1"/>
    <x v="111"/>
    <n v="-0.04"/>
  </r>
  <r>
    <n v="692078079"/>
    <x v="4"/>
    <x v="328"/>
    <s v="PEP.US USD 1.3550/ SHR"/>
    <x v="15"/>
    <x v="6"/>
    <b v="1"/>
    <x v="111"/>
    <n v="0.08"/>
  </r>
  <r>
    <n v="692078080"/>
    <x v="5"/>
    <x v="328"/>
    <s v="PEP.US USD WHT 30%"/>
    <x v="15"/>
    <x v="6"/>
    <b v="1"/>
    <x v="111"/>
    <n v="-0.02"/>
  </r>
  <r>
    <n v="692080474"/>
    <x v="4"/>
    <x v="328"/>
    <s v="PEP.US USD 1.3550/ SHR"/>
    <x v="15"/>
    <x v="6"/>
    <b v="1"/>
    <x v="111"/>
    <n v="0.16"/>
  </r>
  <r>
    <n v="692080475"/>
    <x v="5"/>
    <x v="328"/>
    <s v="PEP.US USD WHT 30%"/>
    <x v="15"/>
    <x v="6"/>
    <b v="1"/>
    <x v="111"/>
    <n v="-0.05"/>
  </r>
  <r>
    <n v="692401140"/>
    <x v="1"/>
    <x v="329"/>
    <s v="Profit of position #1500272843"/>
    <x v="48"/>
    <x v="4"/>
    <b v="1"/>
    <x v="111"/>
    <n v="0.08"/>
  </r>
  <r>
    <n v="692401141"/>
    <x v="2"/>
    <x v="329"/>
    <s v="CLOSE BUY 0.0021 @ 758.27"/>
    <x v="48"/>
    <x v="4"/>
    <b v="1"/>
    <x v="111"/>
    <n v="1.51"/>
  </r>
  <r>
    <n v="692400722"/>
    <x v="1"/>
    <x v="330"/>
    <s v="Profit of position #1500272843"/>
    <x v="48"/>
    <x v="4"/>
    <b v="1"/>
    <x v="111"/>
    <n v="1.04"/>
  </r>
  <r>
    <n v="692400723"/>
    <x v="2"/>
    <x v="330"/>
    <s v="CLOSE BUY 0.0264 @ 757.79"/>
    <x v="48"/>
    <x v="4"/>
    <b v="1"/>
    <x v="111"/>
    <n v="18.97"/>
  </r>
  <r>
    <n v="692515037"/>
    <x v="6"/>
    <x v="331"/>
    <s v="SafetyPay deposit, SafetyPay provider transaction id=0125006532655855, SafetyPay merchant reference id=234626, id=16036774"/>
    <x v="4"/>
    <x v="2"/>
    <b v="1"/>
    <x v="111"/>
    <n v="85"/>
  </r>
  <r>
    <n v="692519621"/>
    <x v="0"/>
    <x v="332"/>
    <s v="OPEN BUY 0.1013 @ 148.02"/>
    <x v="15"/>
    <x v="6"/>
    <b v="1"/>
    <x v="111"/>
    <n v="-14.99"/>
  </r>
  <r>
    <n v="692521626"/>
    <x v="0"/>
    <x v="333"/>
    <s v="OPEN BUY 0.0289 @ 517.70"/>
    <x v="23"/>
    <x v="3"/>
    <b v="1"/>
    <x v="111"/>
    <n v="-14.96"/>
  </r>
  <r>
    <n v="692526871"/>
    <x v="0"/>
    <x v="334"/>
    <s v="OPEN BUY 0.4145 @ 24.11"/>
    <x v="10"/>
    <x v="0"/>
    <b v="1"/>
    <x v="111"/>
    <n v="-9.99"/>
  </r>
  <r>
    <n v="692521445"/>
    <x v="0"/>
    <x v="335"/>
    <s v="OPEN BUY 0.0477 @ 313.98"/>
    <x v="26"/>
    <x v="3"/>
    <b v="1"/>
    <x v="111"/>
    <n v="-14.98"/>
  </r>
  <r>
    <n v="692526325"/>
    <x v="0"/>
    <x v="336"/>
    <s v="OPEN BUY 0.2839 @ 52.83"/>
    <x v="17"/>
    <x v="6"/>
    <b v="1"/>
    <x v="111"/>
    <n v="-15"/>
  </r>
  <r>
    <n v="692528706"/>
    <x v="0"/>
    <x v="337"/>
    <s v="OPEN BUY 0.0763 @ 196.49"/>
    <x v="12"/>
    <x v="0"/>
    <b v="1"/>
    <x v="111"/>
    <n v="-14.99"/>
  </r>
  <r>
    <n v="692529073"/>
    <x v="0"/>
    <x v="338"/>
    <s v="OPEN BUY 0.2195 @ 45.55"/>
    <x v="29"/>
    <x v="0"/>
    <b v="1"/>
    <x v="111"/>
    <n v="-10"/>
  </r>
  <r>
    <n v="693444257"/>
    <x v="7"/>
    <x v="339"/>
    <s v="Sec Fee adj ASML.US 20250106"/>
    <x v="48"/>
    <x v="4"/>
    <b v="1"/>
    <x v="112"/>
    <n v="0"/>
  </r>
  <r>
    <n v="694995334"/>
    <x v="4"/>
    <x v="340"/>
    <s v="TSM.US USD 0.6156/ SHR"/>
    <x v="9"/>
    <x v="4"/>
    <b v="1"/>
    <x v="113"/>
    <n v="0.05"/>
  </r>
  <r>
    <n v="694995335"/>
    <x v="5"/>
    <x v="340"/>
    <s v="TSM.US USD WHT 21%"/>
    <x v="9"/>
    <x v="4"/>
    <b v="1"/>
    <x v="113"/>
    <n v="-0.01"/>
  </r>
  <r>
    <n v="695010751"/>
    <x v="4"/>
    <x v="341"/>
    <s v="TSM.US USD 0.6156/ SHR"/>
    <x v="9"/>
    <x v="4"/>
    <b v="1"/>
    <x v="113"/>
    <n v="0.05"/>
  </r>
  <r>
    <n v="695010752"/>
    <x v="5"/>
    <x v="341"/>
    <s v="TSM.US USD WHT 21%"/>
    <x v="9"/>
    <x v="4"/>
    <b v="1"/>
    <x v="113"/>
    <n v="-0.01"/>
  </r>
  <r>
    <n v="695022436"/>
    <x v="4"/>
    <x v="342"/>
    <s v="TSM.US USD 0.6156/ SHR"/>
    <x v="9"/>
    <x v="4"/>
    <b v="1"/>
    <x v="113"/>
    <n v="0.04"/>
  </r>
  <r>
    <n v="695022437"/>
    <x v="5"/>
    <x v="342"/>
    <s v="TSM.US USD WHT 21%"/>
    <x v="9"/>
    <x v="4"/>
    <b v="1"/>
    <x v="113"/>
    <n v="-0.01"/>
  </r>
  <r>
    <n v="695029197"/>
    <x v="4"/>
    <x v="343"/>
    <s v="TSM.US USD 0.6156/ SHR"/>
    <x v="9"/>
    <x v="4"/>
    <b v="1"/>
    <x v="113"/>
    <n v="7.0000000000000007E-2"/>
  </r>
  <r>
    <n v="695029198"/>
    <x v="5"/>
    <x v="343"/>
    <s v="TSM.US USD WHT 21%"/>
    <x v="9"/>
    <x v="4"/>
    <b v="1"/>
    <x v="113"/>
    <n v="-0.01"/>
  </r>
  <r>
    <n v="695727025"/>
    <x v="4"/>
    <x v="344"/>
    <s v="MO.US USD 1.0200/ SHR"/>
    <x v="17"/>
    <x v="6"/>
    <b v="1"/>
    <x v="114"/>
    <n v="0.7"/>
  </r>
  <r>
    <n v="695727026"/>
    <x v="5"/>
    <x v="344"/>
    <s v="MO.US USD WHT 30%"/>
    <x v="17"/>
    <x v="6"/>
    <b v="1"/>
    <x v="114"/>
    <n v="-0.21"/>
  </r>
  <r>
    <n v="695728830"/>
    <x v="4"/>
    <x v="344"/>
    <s v="MO.US USD 1.0200/ SHR"/>
    <x v="17"/>
    <x v="6"/>
    <b v="1"/>
    <x v="114"/>
    <n v="0.38"/>
  </r>
  <r>
    <n v="695728831"/>
    <x v="5"/>
    <x v="344"/>
    <s v="MO.US USD WHT 30%"/>
    <x v="17"/>
    <x v="6"/>
    <b v="1"/>
    <x v="114"/>
    <n v="-0.11"/>
  </r>
  <r>
    <n v="695763647"/>
    <x v="4"/>
    <x v="345"/>
    <s v="MO.US USD 1.0200/ SHR"/>
    <x v="17"/>
    <x v="6"/>
    <b v="1"/>
    <x v="114"/>
    <n v="0.4"/>
  </r>
  <r>
    <n v="695763648"/>
    <x v="5"/>
    <x v="345"/>
    <s v="MO.US USD WHT 30%"/>
    <x v="17"/>
    <x v="6"/>
    <b v="1"/>
    <x v="114"/>
    <n v="-0.12"/>
  </r>
  <r>
    <n v="696180073"/>
    <x v="1"/>
    <x v="346"/>
    <s v="Profit of position #1518147105"/>
    <x v="50"/>
    <x v="4"/>
    <b v="1"/>
    <x v="114"/>
    <n v="-4.4000000000000004"/>
  </r>
  <r>
    <n v="696180074"/>
    <x v="2"/>
    <x v="346"/>
    <s v="CLOSE BUY 1 @ 6.52"/>
    <x v="50"/>
    <x v="4"/>
    <b v="1"/>
    <x v="114"/>
    <n v="10.92"/>
  </r>
  <r>
    <n v="696196321"/>
    <x v="0"/>
    <x v="347"/>
    <s v="OPEN BUY 0.0295 @ 507.68"/>
    <x v="23"/>
    <x v="3"/>
    <b v="1"/>
    <x v="114"/>
    <n v="-14.98"/>
  </r>
  <r>
    <n v="697270768"/>
    <x v="7"/>
    <x v="348"/>
    <s v="Sec Fee adj MAXN.US 20250110"/>
    <x v="50"/>
    <x v="4"/>
    <b v="1"/>
    <x v="115"/>
    <n v="-0.01"/>
  </r>
  <r>
    <n v="703110980"/>
    <x v="4"/>
    <x v="349"/>
    <s v="INGR.US USD 0.8000/ SHR"/>
    <x v="31"/>
    <x v="6"/>
    <b v="1"/>
    <x v="116"/>
    <n v="0.15"/>
  </r>
  <r>
    <n v="703110981"/>
    <x v="5"/>
    <x v="349"/>
    <s v="INGR.US USD WHT 30%"/>
    <x v="31"/>
    <x v="6"/>
    <b v="1"/>
    <x v="116"/>
    <n v="-0.05"/>
  </r>
  <r>
    <n v="703481728"/>
    <x v="1"/>
    <x v="350"/>
    <s v="Profit of position #1551373923"/>
    <x v="7"/>
    <x v="4"/>
    <b v="1"/>
    <x v="116"/>
    <n v="3.77"/>
  </r>
  <r>
    <n v="703481729"/>
    <x v="2"/>
    <x v="350"/>
    <s v="CLOSE BUY 0.1195 @ 198.83"/>
    <x v="7"/>
    <x v="4"/>
    <b v="1"/>
    <x v="116"/>
    <n v="19.989999999999998"/>
  </r>
  <r>
    <n v="703626569"/>
    <x v="0"/>
    <x v="351"/>
    <s v="OPEN BUY 0.0817 @ 183.39"/>
    <x v="12"/>
    <x v="0"/>
    <b v="1"/>
    <x v="116"/>
    <n v="-14.98"/>
  </r>
  <r>
    <n v="703626333"/>
    <x v="0"/>
    <x v="352"/>
    <s v="OPEN BUY 0.2318 @ 43.27"/>
    <x v="29"/>
    <x v="0"/>
    <b v="1"/>
    <x v="116"/>
    <n v="-10.029999999999999"/>
  </r>
  <r>
    <n v="704327714"/>
    <x v="7"/>
    <x v="353"/>
    <s v="Sec Fee adj GOOGL.US 20250121"/>
    <x v="7"/>
    <x v="4"/>
    <b v="1"/>
    <x v="117"/>
    <n v="0"/>
  </r>
  <r>
    <n v="708512436"/>
    <x v="0"/>
    <x v="354"/>
    <s v="OPEN BUY 0.0937 @ 159.74"/>
    <x v="12"/>
    <x v="0"/>
    <b v="1"/>
    <x v="118"/>
    <n v="-14.97"/>
  </r>
  <r>
    <n v="708515250"/>
    <x v="0"/>
    <x v="355"/>
    <s v="OPEN BUY 0.2745 @ 40.05"/>
    <x v="0"/>
    <x v="0"/>
    <b v="1"/>
    <x v="118"/>
    <n v="-10.99"/>
  </r>
  <r>
    <n v="708515779"/>
    <x v="0"/>
    <x v="356"/>
    <s v="OPEN BUY 0.2592 @ 38.58"/>
    <x v="29"/>
    <x v="0"/>
    <b v="1"/>
    <x v="118"/>
    <n v="-10"/>
  </r>
  <r>
    <n v="708517289"/>
    <x v="1"/>
    <x v="357"/>
    <s v="Profit of position #1468472119"/>
    <x v="26"/>
    <x v="3"/>
    <b v="1"/>
    <x v="118"/>
    <n v="4.2300000000000004"/>
  </r>
  <r>
    <n v="708517290"/>
    <x v="2"/>
    <x v="357"/>
    <s v="CLOSE BUY 0.0719/0.1938 @ 336.69"/>
    <x v="26"/>
    <x v="3"/>
    <b v="1"/>
    <x v="118"/>
    <n v="19.98"/>
  </r>
  <r>
    <n v="708517291"/>
    <x v="1"/>
    <x v="357"/>
    <s v="Profit of position #1470564087"/>
    <x v="26"/>
    <x v="3"/>
    <b v="1"/>
    <x v="118"/>
    <n v="5"/>
  </r>
  <r>
    <n v="708517292"/>
    <x v="2"/>
    <x v="357"/>
    <s v="CLOSE BUY 0.0742/0.1938 @ 336.69"/>
    <x v="26"/>
    <x v="3"/>
    <b v="1"/>
    <x v="118"/>
    <n v="19.98"/>
  </r>
  <r>
    <n v="708517293"/>
    <x v="1"/>
    <x v="357"/>
    <s v="Profit of position #1599434998"/>
    <x v="26"/>
    <x v="3"/>
    <b v="1"/>
    <x v="118"/>
    <n v="1.08"/>
  </r>
  <r>
    <n v="708517294"/>
    <x v="2"/>
    <x v="357"/>
    <s v="CLOSE BUY 0.0477/0.1938 @ 336.69"/>
    <x v="26"/>
    <x v="3"/>
    <b v="1"/>
    <x v="118"/>
    <n v="14.98"/>
  </r>
  <r>
    <n v="709140247"/>
    <x v="7"/>
    <x v="358"/>
    <s v="Sec Fee adj V.US 20250128"/>
    <x v="26"/>
    <x v="3"/>
    <b v="1"/>
    <x v="119"/>
    <n v="0"/>
  </r>
  <r>
    <n v="709340471"/>
    <x v="0"/>
    <x v="359"/>
    <s v="OPEN BUY 1 @ 44.24"/>
    <x v="11"/>
    <x v="5"/>
    <b v="1"/>
    <x v="119"/>
    <n v="-44.24"/>
  </r>
  <r>
    <n v="710345560"/>
    <x v="0"/>
    <x v="360"/>
    <s v="OPEN BUY 0.2479 @ 40.33"/>
    <x v="29"/>
    <x v="0"/>
    <b v="1"/>
    <x v="120"/>
    <n v="-10"/>
  </r>
  <r>
    <n v="710345829"/>
    <x v="0"/>
    <x v="361"/>
    <s v="OPEN BUY 0.2875 @ 34.78"/>
    <x v="18"/>
    <x v="7"/>
    <b v="1"/>
    <x v="120"/>
    <n v="-10"/>
  </r>
  <r>
    <n v="715229761"/>
    <x v="6"/>
    <x v="362"/>
    <s v="SafetyPay deposit, SafetyPay provider transaction id=0125035674302102, SafetyPay merchant reference id=242033, id=16874424"/>
    <x v="4"/>
    <x v="2"/>
    <b v="1"/>
    <x v="121"/>
    <n v="85"/>
  </r>
  <r>
    <n v="715235949"/>
    <x v="0"/>
    <x v="363"/>
    <s v="OPEN BUY 0.1572 @ 127.16"/>
    <x v="31"/>
    <x v="6"/>
    <b v="1"/>
    <x v="121"/>
    <n v="-19.989999999999998"/>
  </r>
  <r>
    <n v="715236504"/>
    <x v="0"/>
    <x v="364"/>
    <s v="OPEN BUY 0.2459 @ 40.66"/>
    <x v="0"/>
    <x v="0"/>
    <b v="1"/>
    <x v="121"/>
    <n v="-10"/>
  </r>
  <r>
    <n v="716194906"/>
    <x v="0"/>
    <x v="365"/>
    <s v="OPEN BUY 0.0813 @ 129.08"/>
    <x v="24"/>
    <x v="6"/>
    <b v="1"/>
    <x v="122"/>
    <n v="-10.49"/>
  </r>
  <r>
    <n v="716194701"/>
    <x v="0"/>
    <x v="366"/>
    <s v="OPEN BUY 0.0758 @ 144.94"/>
    <x v="15"/>
    <x v="6"/>
    <b v="1"/>
    <x v="122"/>
    <n v="-10.99"/>
  </r>
  <r>
    <n v="716197918"/>
    <x v="0"/>
    <x v="367"/>
    <s v="OPEN BUY 1 @ 20.36"/>
    <x v="16"/>
    <x v="6"/>
    <b v="1"/>
    <x v="122"/>
    <n v="-20.36"/>
  </r>
  <r>
    <n v="717482234"/>
    <x v="4"/>
    <x v="368"/>
    <s v="MA.US USD 0.7600/ SHR"/>
    <x v="23"/>
    <x v="3"/>
    <b v="1"/>
    <x v="123"/>
    <n v="0.02"/>
  </r>
  <r>
    <n v="717482235"/>
    <x v="5"/>
    <x v="368"/>
    <s v="MA.US USD WHT 30%"/>
    <x v="23"/>
    <x v="3"/>
    <b v="1"/>
    <x v="123"/>
    <n v="-0.01"/>
  </r>
  <r>
    <n v="717488582"/>
    <x v="4"/>
    <x v="369"/>
    <s v="MA.US USD 0.7600/ SHR"/>
    <x v="23"/>
    <x v="3"/>
    <b v="1"/>
    <x v="123"/>
    <n v="0.03"/>
  </r>
  <r>
    <n v="717488583"/>
    <x v="5"/>
    <x v="369"/>
    <s v="MA.US USD WHT 30%"/>
    <x v="23"/>
    <x v="3"/>
    <b v="1"/>
    <x v="123"/>
    <n v="-0.01"/>
  </r>
  <r>
    <n v="717489995"/>
    <x v="4"/>
    <x v="369"/>
    <s v="MA.US USD 0.7600/ SHR"/>
    <x v="23"/>
    <x v="3"/>
    <b v="1"/>
    <x v="123"/>
    <n v="0.03"/>
  </r>
  <r>
    <n v="717489996"/>
    <x v="5"/>
    <x v="369"/>
    <s v="MA.US USD WHT 30%"/>
    <x v="23"/>
    <x v="3"/>
    <b v="1"/>
    <x v="123"/>
    <n v="-0.01"/>
  </r>
  <r>
    <n v="718132555"/>
    <x v="1"/>
    <x v="370"/>
    <s v="Profit of position #1495548850"/>
    <x v="21"/>
    <x v="8"/>
    <b v="1"/>
    <x v="123"/>
    <n v="1"/>
  </r>
  <r>
    <n v="718132556"/>
    <x v="2"/>
    <x v="370"/>
    <s v="CLOSE BUY 0.1047/0.2564 @ 143.18"/>
    <x v="21"/>
    <x v="8"/>
    <b v="1"/>
    <x v="123"/>
    <n v="13.99"/>
  </r>
  <r>
    <n v="718132557"/>
    <x v="1"/>
    <x v="370"/>
    <s v="Profit of position #1517512112"/>
    <x v="21"/>
    <x v="8"/>
    <b v="1"/>
    <x v="123"/>
    <n v="0.8"/>
  </r>
  <r>
    <n v="718132558"/>
    <x v="2"/>
    <x v="370"/>
    <s v="CLOSE BUY 0.0754/0.2564 @ 143.18"/>
    <x v="21"/>
    <x v="8"/>
    <b v="1"/>
    <x v="123"/>
    <n v="10"/>
  </r>
  <r>
    <n v="718132559"/>
    <x v="1"/>
    <x v="370"/>
    <s v="Profit of position #1582735114"/>
    <x v="21"/>
    <x v="8"/>
    <b v="1"/>
    <x v="123"/>
    <n v="0.96"/>
  </r>
  <r>
    <n v="718132560"/>
    <x v="2"/>
    <x v="370"/>
    <s v="CLOSE BUY 0.0763/0.2564 @ 143.18"/>
    <x v="21"/>
    <x v="8"/>
    <b v="1"/>
    <x v="123"/>
    <n v="9.9600000000000009"/>
  </r>
  <r>
    <n v="718134321"/>
    <x v="0"/>
    <x v="371"/>
    <s v="OPEN BUY 0.081 @ 129.56"/>
    <x v="24"/>
    <x v="6"/>
    <b v="1"/>
    <x v="123"/>
    <n v="-10.49"/>
  </r>
  <r>
    <n v="718134914"/>
    <x v="0"/>
    <x v="372"/>
    <s v="OPEN BUY 0.4576 @ 21.85"/>
    <x v="10"/>
    <x v="0"/>
    <b v="1"/>
    <x v="123"/>
    <n v="-10"/>
  </r>
  <r>
    <n v="718135708"/>
    <x v="0"/>
    <x v="373"/>
    <s v="OPEN BUY 0.0269 @ 408.33"/>
    <x v="8"/>
    <x v="4"/>
    <b v="1"/>
    <x v="123"/>
    <n v="-10.98"/>
  </r>
  <r>
    <n v="718137014"/>
    <x v="0"/>
    <x v="374"/>
    <s v="OPEN BUY 0.0538 @ 185.82"/>
    <x v="7"/>
    <x v="4"/>
    <b v="1"/>
    <x v="123"/>
    <n v="-10"/>
  </r>
  <r>
    <n v="719025187"/>
    <x v="7"/>
    <x v="375"/>
    <s v="Sec Fee adj YUM.US 20250207"/>
    <x v="21"/>
    <x v="8"/>
    <b v="1"/>
    <x v="124"/>
    <n v="0"/>
  </r>
  <r>
    <n v="720418557"/>
    <x v="0"/>
    <x v="376"/>
    <s v="OPEN BUY 0.277 @ 36.10"/>
    <x v="29"/>
    <x v="0"/>
    <b v="1"/>
    <x v="125"/>
    <n v="-10"/>
  </r>
  <r>
    <n v="721917858"/>
    <x v="4"/>
    <x v="377"/>
    <s v="AAPL.US USD 0.2500/ SHR"/>
    <x v="13"/>
    <x v="4"/>
    <b v="1"/>
    <x v="126"/>
    <n v="0.01"/>
  </r>
  <r>
    <n v="721966505"/>
    <x v="4"/>
    <x v="378"/>
    <s v="AAPL.US USD 0.2500/ SHR"/>
    <x v="13"/>
    <x v="4"/>
    <b v="1"/>
    <x v="126"/>
    <n v="0.02"/>
  </r>
  <r>
    <n v="721966506"/>
    <x v="5"/>
    <x v="378"/>
    <s v="AAPL.US USD WHT 30%"/>
    <x v="13"/>
    <x v="4"/>
    <b v="1"/>
    <x v="126"/>
    <n v="-0.01"/>
  </r>
  <r>
    <n v="722084649"/>
    <x v="4"/>
    <x v="379"/>
    <s v="AAPL.US USD 0.2500/ SHR"/>
    <x v="13"/>
    <x v="4"/>
    <b v="1"/>
    <x v="126"/>
    <n v="0.02"/>
  </r>
  <r>
    <n v="722084650"/>
    <x v="5"/>
    <x v="379"/>
    <s v="AAPL.US USD WHT 30%"/>
    <x v="13"/>
    <x v="4"/>
    <b v="1"/>
    <x v="126"/>
    <n v="-0.01"/>
  </r>
  <r>
    <n v="722789984"/>
    <x v="6"/>
    <x v="380"/>
    <s v="SafetyPay deposit, SafetyPay provider transaction id=0125045351248748, SafetyPay merchant reference id=245034, id=17165543"/>
    <x v="4"/>
    <x v="2"/>
    <b v="1"/>
    <x v="127"/>
    <n v="85"/>
  </r>
  <r>
    <n v="723423556"/>
    <x v="1"/>
    <x v="381"/>
    <s v="Profit of position #1657658561"/>
    <x v="20"/>
    <x v="2"/>
    <b v="1"/>
    <x v="127"/>
    <n v="-5.9"/>
  </r>
  <r>
    <n v="724854002"/>
    <x v="1"/>
    <x v="382"/>
    <s v="Profit of position #1660829104"/>
    <x v="20"/>
    <x v="2"/>
    <b v="1"/>
    <x v="128"/>
    <n v="-4.92"/>
  </r>
  <r>
    <n v="725610908"/>
    <x v="1"/>
    <x v="383"/>
    <s v="Profit of position #1378903852"/>
    <x v="13"/>
    <x v="4"/>
    <b v="1"/>
    <x v="129"/>
    <n v="0.06"/>
  </r>
  <r>
    <n v="725610909"/>
    <x v="2"/>
    <x v="383"/>
    <s v="CLOSE BUY 0.0042/0.1265 @ 243.45"/>
    <x v="13"/>
    <x v="4"/>
    <b v="1"/>
    <x v="129"/>
    <n v="0.96"/>
  </r>
  <r>
    <n v="725610910"/>
    <x v="1"/>
    <x v="383"/>
    <s v="Profit of position #1456814919"/>
    <x v="13"/>
    <x v="4"/>
    <b v="1"/>
    <x v="129"/>
    <n v="1.36"/>
  </r>
  <r>
    <n v="725610911"/>
    <x v="2"/>
    <x v="383"/>
    <s v="CLOSE BUY 0.0665/0.1265 @ 243.45"/>
    <x v="13"/>
    <x v="4"/>
    <b v="1"/>
    <x v="129"/>
    <n v="14.83"/>
  </r>
  <r>
    <n v="725610912"/>
    <x v="1"/>
    <x v="383"/>
    <s v="Profit of position #1499061783"/>
    <x v="13"/>
    <x v="4"/>
    <b v="1"/>
    <x v="129"/>
    <n v="0.62"/>
  </r>
  <r>
    <n v="725610913"/>
    <x v="2"/>
    <x v="383"/>
    <s v="CLOSE BUY 0.0558/0.1265 @ 243.45"/>
    <x v="13"/>
    <x v="4"/>
    <b v="1"/>
    <x v="129"/>
    <n v="12.96"/>
  </r>
  <r>
    <n v="725610339"/>
    <x v="1"/>
    <x v="384"/>
    <s v="Profit of position #1378903852"/>
    <x v="13"/>
    <x v="4"/>
    <b v="1"/>
    <x v="129"/>
    <n v="0.97"/>
  </r>
  <r>
    <n v="725610340"/>
    <x v="2"/>
    <x v="384"/>
    <s v="CLOSE BUY 0.0616 @ 243.58"/>
    <x v="13"/>
    <x v="4"/>
    <b v="1"/>
    <x v="129"/>
    <n v="14.03"/>
  </r>
  <r>
    <n v="725970924"/>
    <x v="0"/>
    <x v="385"/>
    <s v="OPEN BUY 1 @ 20.65"/>
    <x v="16"/>
    <x v="6"/>
    <b v="1"/>
    <x v="129"/>
    <n v="-20.65"/>
  </r>
  <r>
    <n v="725971691"/>
    <x v="0"/>
    <x v="386"/>
    <s v="OPEN BUY 0.2943 @ 67.97"/>
    <x v="6"/>
    <x v="0"/>
    <b v="1"/>
    <x v="129"/>
    <n v="-20"/>
  </r>
  <r>
    <n v="726975241"/>
    <x v="7"/>
    <x v="387"/>
    <s v="Sec Fee adj AAPL.US 20250218"/>
    <x v="13"/>
    <x v="4"/>
    <b v="1"/>
    <x v="130"/>
    <n v="0"/>
  </r>
  <r>
    <n v="727909376"/>
    <x v="0"/>
    <x v="388"/>
    <s v="OPEN BUY 0.0932 @ 160.68"/>
    <x v="12"/>
    <x v="0"/>
    <b v="1"/>
    <x v="131"/>
    <n v="-14.98"/>
  </r>
  <r>
    <n v="727910108"/>
    <x v="0"/>
    <x v="389"/>
    <s v="OPEN BUY 0.2325 @ 43.00"/>
    <x v="0"/>
    <x v="0"/>
    <b v="1"/>
    <x v="131"/>
    <n v="-10"/>
  </r>
  <r>
    <n v="727913673"/>
    <x v="0"/>
    <x v="390"/>
    <s v="OPEN BUY 0.1641/1.1641 @ 17.18"/>
    <x v="22"/>
    <x v="3"/>
    <b v="1"/>
    <x v="131"/>
    <n v="-2.82"/>
  </r>
  <r>
    <n v="727914573"/>
    <x v="0"/>
    <x v="391"/>
    <s v="OPEN BUY 0.2651 @ 37.70"/>
    <x v="29"/>
    <x v="0"/>
    <b v="1"/>
    <x v="131"/>
    <n v="-9.99"/>
  </r>
  <r>
    <n v="727913035"/>
    <x v="0"/>
    <x v="392"/>
    <s v="OPEN BUY 0.5227 @ 38.23"/>
    <x v="19"/>
    <x v="6"/>
    <b v="1"/>
    <x v="131"/>
    <n v="-19.98"/>
  </r>
  <r>
    <n v="727913744"/>
    <x v="0"/>
    <x v="393"/>
    <s v="OPEN BUY 1/1.1641 @ 17.18"/>
    <x v="22"/>
    <x v="3"/>
    <b v="1"/>
    <x v="131"/>
    <n v="-17.18"/>
  </r>
  <r>
    <n v="728514779"/>
    <x v="4"/>
    <x v="394"/>
    <s v="APA.US USD 0.2500/ SHR"/>
    <x v="10"/>
    <x v="0"/>
    <b v="1"/>
    <x v="132"/>
    <n v="0.23"/>
  </r>
  <r>
    <n v="728514780"/>
    <x v="5"/>
    <x v="394"/>
    <s v="APA.US USD WHT 30%"/>
    <x v="10"/>
    <x v="0"/>
    <b v="1"/>
    <x v="132"/>
    <n v="-7.0000000000000007E-2"/>
  </r>
  <r>
    <n v="728515262"/>
    <x v="4"/>
    <x v="394"/>
    <s v="APA.US USD 0.2500/ SHR"/>
    <x v="10"/>
    <x v="0"/>
    <b v="1"/>
    <x v="132"/>
    <n v="0.1"/>
  </r>
  <r>
    <n v="728515263"/>
    <x v="5"/>
    <x v="394"/>
    <s v="APA.US USD WHT 30%"/>
    <x v="10"/>
    <x v="0"/>
    <b v="1"/>
    <x v="132"/>
    <n v="-0.03"/>
  </r>
  <r>
    <n v="728515432"/>
    <x v="4"/>
    <x v="394"/>
    <s v="APA.US USD 0.2500/ SHR"/>
    <x v="10"/>
    <x v="0"/>
    <b v="1"/>
    <x v="132"/>
    <n v="0.12"/>
  </r>
  <r>
    <n v="728515433"/>
    <x v="5"/>
    <x v="394"/>
    <s v="APA.US USD WHT 30%"/>
    <x v="10"/>
    <x v="0"/>
    <b v="1"/>
    <x v="132"/>
    <n v="-0.04"/>
  </r>
  <r>
    <n v="795444603"/>
    <x v="4"/>
    <x v="395"/>
    <s v="MO.US USD 1.0200/ SHR"/>
    <x v="17"/>
    <x v="6"/>
    <b v="1"/>
    <x v="133"/>
    <n v="0.38"/>
  </r>
  <r>
    <n v="795444604"/>
    <x v="5"/>
    <x v="395"/>
    <s v="MO.US USD WHT 30%"/>
    <x v="17"/>
    <x v="6"/>
    <b v="1"/>
    <x v="133"/>
    <n v="-0.11"/>
  </r>
  <r>
    <n v="795449894"/>
    <x v="4"/>
    <x v="395"/>
    <s v="MO.US USD 1.0200/ SHR"/>
    <x v="17"/>
    <x v="6"/>
    <b v="1"/>
    <x v="133"/>
    <n v="0.7"/>
  </r>
  <r>
    <n v="795449895"/>
    <x v="5"/>
    <x v="395"/>
    <s v="MO.US USD WHT 30%"/>
    <x v="17"/>
    <x v="6"/>
    <b v="1"/>
    <x v="133"/>
    <n v="-0.21"/>
  </r>
  <r>
    <n v="795479623"/>
    <x v="4"/>
    <x v="396"/>
    <s v="MO.US USD 1.0200/ SHR"/>
    <x v="17"/>
    <x v="6"/>
    <b v="1"/>
    <x v="133"/>
    <n v="0.4"/>
  </r>
  <r>
    <n v="795479624"/>
    <x v="5"/>
    <x v="396"/>
    <s v="MO.US USD WHT 30%"/>
    <x v="17"/>
    <x v="6"/>
    <b v="1"/>
    <x v="133"/>
    <n v="-0.12"/>
  </r>
  <r>
    <n v="795480415"/>
    <x v="4"/>
    <x v="396"/>
    <s v="MO.US USD 1.0200/ SHR"/>
    <x v="17"/>
    <x v="6"/>
    <b v="1"/>
    <x v="133"/>
    <n v="0.28999999999999998"/>
  </r>
  <r>
    <n v="795480416"/>
    <x v="5"/>
    <x v="396"/>
    <s v="MO.US USD WHT 30%"/>
    <x v="17"/>
    <x v="6"/>
    <b v="1"/>
    <x v="133"/>
    <n v="-0.09"/>
  </r>
  <r>
    <n v="795876878"/>
    <x v="0"/>
    <x v="397"/>
    <s v="OPEN BUY 0.6422 @ 15.57"/>
    <x v="30"/>
    <x v="3"/>
    <b v="1"/>
    <x v="133"/>
    <n v="-10"/>
  </r>
  <r>
    <n v="800672690"/>
    <x v="1"/>
    <x v="398"/>
    <s v="Profit of position #1560258921"/>
    <x v="27"/>
    <x v="5"/>
    <b v="1"/>
    <x v="134"/>
    <n v="-1.57"/>
  </r>
  <r>
    <n v="800672691"/>
    <x v="2"/>
    <x v="398"/>
    <s v="CLOSE BUY 1/2 @ 44.1500"/>
    <x v="27"/>
    <x v="5"/>
    <b v="1"/>
    <x v="134"/>
    <n v="51.41"/>
  </r>
  <r>
    <n v="800672692"/>
    <x v="1"/>
    <x v="398"/>
    <s v="Profit of position #1748583646"/>
    <x v="27"/>
    <x v="5"/>
    <b v="1"/>
    <x v="134"/>
    <n v="8.7799999999999994"/>
  </r>
  <r>
    <n v="800672693"/>
    <x v="2"/>
    <x v="398"/>
    <s v="CLOSE BUY 1/2 @ 44.1500"/>
    <x v="27"/>
    <x v="5"/>
    <b v="1"/>
    <x v="134"/>
    <n v="41.06"/>
  </r>
  <r>
    <n v="800749462"/>
    <x v="4"/>
    <x v="399"/>
    <s v="BND.US USD 0.2364/ SHR"/>
    <x v="25"/>
    <x v="5"/>
    <b v="1"/>
    <x v="134"/>
    <n v="0.24"/>
  </r>
  <r>
    <n v="800749463"/>
    <x v="5"/>
    <x v="399"/>
    <s v="BND.US USD WHT 30%"/>
    <x v="25"/>
    <x v="5"/>
    <b v="1"/>
    <x v="134"/>
    <n v="-7.0000000000000007E-2"/>
  </r>
  <r>
    <n v="800749464"/>
    <x v="4"/>
    <x v="399"/>
    <s v="BND.US USD 0.2364/ SHR"/>
    <x v="25"/>
    <x v="5"/>
    <b v="1"/>
    <x v="134"/>
    <n v="0.24"/>
  </r>
  <r>
    <n v="800749465"/>
    <x v="5"/>
    <x v="399"/>
    <s v="BND.US USD WHT 30%"/>
    <x v="25"/>
    <x v="5"/>
    <b v="1"/>
    <x v="134"/>
    <n v="-7.0000000000000007E-2"/>
  </r>
  <r>
    <n v="802343729"/>
    <x v="0"/>
    <x v="400"/>
    <s v="OPEN BUY 0.0867 @ 126.78"/>
    <x v="12"/>
    <x v="0"/>
    <b v="1"/>
    <x v="135"/>
    <n v="-10.99"/>
  </r>
  <r>
    <n v="802343856"/>
    <x v="0"/>
    <x v="401"/>
    <s v="OPEN BUY 0.6361 @ 15.72"/>
    <x v="10"/>
    <x v="0"/>
    <b v="1"/>
    <x v="135"/>
    <n v="-10"/>
  </r>
  <r>
    <n v="802343243"/>
    <x v="0"/>
    <x v="402"/>
    <s v="OPEN BUY 0.3367 @ 29.70"/>
    <x v="29"/>
    <x v="0"/>
    <b v="1"/>
    <x v="135"/>
    <n v="-10"/>
  </r>
  <r>
    <n v="802344460"/>
    <x v="0"/>
    <x v="403"/>
    <s v="OPEN BUY 0.2406/1.2406 @ 16.12"/>
    <x v="30"/>
    <x v="3"/>
    <b v="1"/>
    <x v="135"/>
    <n v="-3.88"/>
  </r>
  <r>
    <n v="802344465"/>
    <x v="0"/>
    <x v="404"/>
    <s v="OPEN BUY 1/1.2406 @ 16.12"/>
    <x v="30"/>
    <x v="3"/>
    <b v="1"/>
    <x v="135"/>
    <n v="-16.12"/>
  </r>
  <r>
    <n v="803547670"/>
    <x v="1"/>
    <x v="405"/>
    <s v="Profit of position #1373808226"/>
    <x v="8"/>
    <x v="4"/>
    <b v="1"/>
    <x v="136"/>
    <n v="-0.57999999999999996"/>
  </r>
  <r>
    <n v="803547671"/>
    <x v="2"/>
    <x v="405"/>
    <s v="CLOSE BUY 0.0234/0.0606 @ 434.71"/>
    <x v="8"/>
    <x v="4"/>
    <b v="1"/>
    <x v="136"/>
    <n v="10.75"/>
  </r>
  <r>
    <n v="803547672"/>
    <x v="1"/>
    <x v="405"/>
    <s v="Profit of position #1426782063"/>
    <x v="8"/>
    <x v="4"/>
    <b v="1"/>
    <x v="136"/>
    <n v="0.56000000000000005"/>
  </r>
  <r>
    <n v="803547673"/>
    <x v="2"/>
    <x v="405"/>
    <s v="CLOSE BUY 0.0372/0.0606 @ 434.71"/>
    <x v="8"/>
    <x v="4"/>
    <b v="1"/>
    <x v="136"/>
    <n v="15.61"/>
  </r>
  <r>
    <n v="804628837"/>
    <x v="7"/>
    <x v="406"/>
    <s v="Sec Fee adj MSFT.US 20250507"/>
    <x v="8"/>
    <x v="4"/>
    <b v="1"/>
    <x v="137"/>
    <n v="0"/>
  </r>
  <r>
    <n v="804603006"/>
    <x v="1"/>
    <x v="407"/>
    <s v="Profit of position #1414372592"/>
    <x v="23"/>
    <x v="3"/>
    <b v="1"/>
    <x v="137"/>
    <n v="2.6"/>
  </r>
  <r>
    <n v="804603007"/>
    <x v="2"/>
    <x v="407"/>
    <s v="CLOSE BUY 0.0229/0.06 @ 568.93"/>
    <x v="23"/>
    <x v="3"/>
    <b v="1"/>
    <x v="137"/>
    <n v="10.43"/>
  </r>
  <r>
    <n v="804603008"/>
    <x v="1"/>
    <x v="407"/>
    <s v="Profit of position #1582737192"/>
    <x v="23"/>
    <x v="3"/>
    <b v="1"/>
    <x v="137"/>
    <n v="1.65"/>
  </r>
  <r>
    <n v="804603009"/>
    <x v="2"/>
    <x v="407"/>
    <s v="CLOSE BUY 0.0371/0.06 @ 568.93"/>
    <x v="23"/>
    <x v="3"/>
    <b v="1"/>
    <x v="137"/>
    <n v="19.46"/>
  </r>
  <r>
    <n v="804598680"/>
    <x v="1"/>
    <x v="408"/>
    <s v="Profit of position #1426782063"/>
    <x v="8"/>
    <x v="4"/>
    <b v="1"/>
    <x v="137"/>
    <n v="0.18"/>
  </r>
  <r>
    <n v="804598681"/>
    <x v="2"/>
    <x v="408"/>
    <s v="CLOSE BUY 0.01 @ 437.05"/>
    <x v="8"/>
    <x v="4"/>
    <b v="1"/>
    <x v="137"/>
    <n v="4.1900000000000004"/>
  </r>
  <r>
    <n v="804599219"/>
    <x v="1"/>
    <x v="409"/>
    <s v="Profit of position #1744929368"/>
    <x v="26"/>
    <x v="3"/>
    <b v="1"/>
    <x v="137"/>
    <n v="1.21"/>
  </r>
  <r>
    <n v="804599220"/>
    <x v="2"/>
    <x v="409"/>
    <s v="CLOSE BUY 0.0424 @ 353.02"/>
    <x v="26"/>
    <x v="3"/>
    <b v="1"/>
    <x v="137"/>
    <n v="13.76"/>
  </r>
  <r>
    <n v="804605657"/>
    <x v="0"/>
    <x v="410"/>
    <s v="OPEN BUY 0.0856 @ 128.46"/>
    <x v="12"/>
    <x v="0"/>
    <b v="1"/>
    <x v="137"/>
    <n v="-11"/>
  </r>
  <r>
    <n v="804628753"/>
    <x v="0"/>
    <x v="411"/>
    <s v="OPEN BUY 0.7256/1.7256 @ 12.750"/>
    <x v="53"/>
    <x v="3"/>
    <b v="1"/>
    <x v="137"/>
    <n v="-10.51"/>
  </r>
  <r>
    <n v="804628793"/>
    <x v="0"/>
    <x v="412"/>
    <s v="OPEN BUY 1/1.7256 @ 12.750"/>
    <x v="53"/>
    <x v="3"/>
    <b v="1"/>
    <x v="137"/>
    <n v="-14.49"/>
  </r>
  <r>
    <n v="805574824"/>
    <x v="4"/>
    <x v="413"/>
    <s v="ACI.US USD 0.1500/ SHR"/>
    <x v="16"/>
    <x v="6"/>
    <b v="1"/>
    <x v="138"/>
    <n v="0.15"/>
  </r>
  <r>
    <n v="805574825"/>
    <x v="5"/>
    <x v="413"/>
    <s v="ACI.US USD WHT 30%"/>
    <x v="16"/>
    <x v="6"/>
    <b v="1"/>
    <x v="138"/>
    <n v="-0.05"/>
  </r>
  <r>
    <n v="805574880"/>
    <x v="4"/>
    <x v="413"/>
    <s v="ACI.US USD 0.1500/ SHR"/>
    <x v="16"/>
    <x v="6"/>
    <b v="1"/>
    <x v="138"/>
    <n v="0.15"/>
  </r>
  <r>
    <n v="805574881"/>
    <x v="5"/>
    <x v="413"/>
    <s v="ACI.US USD WHT 30%"/>
    <x v="16"/>
    <x v="6"/>
    <b v="1"/>
    <x v="138"/>
    <n v="-0.05"/>
  </r>
  <r>
    <n v="805574898"/>
    <x v="4"/>
    <x v="413"/>
    <s v="ACI.US USD 0.1500/ SHR"/>
    <x v="16"/>
    <x v="6"/>
    <b v="1"/>
    <x v="138"/>
    <n v="0.15"/>
  </r>
  <r>
    <n v="805574899"/>
    <x v="5"/>
    <x v="413"/>
    <s v="ACI.US USD WHT 30%"/>
    <x v="16"/>
    <x v="6"/>
    <b v="1"/>
    <x v="138"/>
    <n v="-0.05"/>
  </r>
  <r>
    <n v="805645054"/>
    <x v="4"/>
    <x v="414"/>
    <s v="ING.US USD 0.7678/ SHR"/>
    <x v="22"/>
    <x v="3"/>
    <b v="1"/>
    <x v="138"/>
    <n v="0.77"/>
  </r>
  <r>
    <n v="805644992"/>
    <x v="4"/>
    <x v="414"/>
    <s v="ING.US USD 0.7678/ SHR"/>
    <x v="22"/>
    <x v="3"/>
    <b v="1"/>
    <x v="138"/>
    <n v="0.13"/>
  </r>
  <r>
    <n v="805644993"/>
    <x v="5"/>
    <x v="414"/>
    <s v="ING.US USD WHT 15%"/>
    <x v="22"/>
    <x v="3"/>
    <b v="1"/>
    <x v="138"/>
    <n v="-0.02"/>
  </r>
  <r>
    <n v="805645052"/>
    <x v="4"/>
    <x v="414"/>
    <s v="ING.US USD 0.7678/ SHR"/>
    <x v="22"/>
    <x v="3"/>
    <b v="1"/>
    <x v="138"/>
    <n v="0.77"/>
  </r>
  <r>
    <n v="805645053"/>
    <x v="5"/>
    <x v="414"/>
    <s v="ING.US USD WHT 15%"/>
    <x v="22"/>
    <x v="3"/>
    <b v="1"/>
    <x v="138"/>
    <n v="-0.12"/>
  </r>
  <r>
    <n v="805645055"/>
    <x v="5"/>
    <x v="414"/>
    <s v="ING.US USD WHT 15%"/>
    <x v="22"/>
    <x v="3"/>
    <b v="1"/>
    <x v="138"/>
    <n v="-0.12"/>
  </r>
  <r>
    <n v="805645070"/>
    <x v="4"/>
    <x v="414"/>
    <s v="ING.US USD 0.7678/ SHR"/>
    <x v="22"/>
    <x v="3"/>
    <b v="1"/>
    <x v="138"/>
    <n v="0.27"/>
  </r>
  <r>
    <n v="805645071"/>
    <x v="5"/>
    <x v="414"/>
    <s v="ING.US USD WHT 15%"/>
    <x v="22"/>
    <x v="3"/>
    <b v="1"/>
    <x v="138"/>
    <n v="-0.04"/>
  </r>
  <r>
    <n v="805645081"/>
    <x v="4"/>
    <x v="414"/>
    <s v="ING.US USD 0.7678/ SHR"/>
    <x v="22"/>
    <x v="3"/>
    <b v="1"/>
    <x v="138"/>
    <n v="0.77"/>
  </r>
  <r>
    <n v="805645082"/>
    <x v="5"/>
    <x v="414"/>
    <s v="ING.US USD WHT 15%"/>
    <x v="22"/>
    <x v="3"/>
    <b v="1"/>
    <x v="138"/>
    <n v="-0.12"/>
  </r>
  <r>
    <n v="805645097"/>
    <x v="4"/>
    <x v="414"/>
    <s v="ING.US USD 0.7678/ SHR"/>
    <x v="22"/>
    <x v="3"/>
    <b v="1"/>
    <x v="138"/>
    <n v="0.33"/>
  </r>
  <r>
    <n v="805645098"/>
    <x v="5"/>
    <x v="414"/>
    <s v="ING.US USD WHT 15%"/>
    <x v="22"/>
    <x v="3"/>
    <b v="1"/>
    <x v="138"/>
    <n v="-0.05"/>
  </r>
  <r>
    <n v="805687465"/>
    <x v="4"/>
    <x v="415"/>
    <s v="MA.US USD 0.7600/ SHR"/>
    <x v="23"/>
    <x v="3"/>
    <b v="1"/>
    <x v="138"/>
    <n v="0.02"/>
  </r>
  <r>
    <n v="805687466"/>
    <x v="5"/>
    <x v="415"/>
    <s v="MA.US USD WHT 30%"/>
    <x v="23"/>
    <x v="3"/>
    <b v="1"/>
    <x v="138"/>
    <n v="-0.01"/>
  </r>
  <r>
    <n v="805689087"/>
    <x v="4"/>
    <x v="415"/>
    <s v="MA.US USD 0.7600/ SHR"/>
    <x v="23"/>
    <x v="3"/>
    <b v="1"/>
    <x v="138"/>
    <n v="0.03"/>
  </r>
  <r>
    <n v="805689088"/>
    <x v="5"/>
    <x v="415"/>
    <s v="MA.US USD WHT 30%"/>
    <x v="23"/>
    <x v="3"/>
    <b v="1"/>
    <x v="138"/>
    <n v="-0.01"/>
  </r>
  <r>
    <n v="805690690"/>
    <x v="4"/>
    <x v="415"/>
    <s v="MA.US USD 0.7600/ SHR"/>
    <x v="23"/>
    <x v="3"/>
    <b v="1"/>
    <x v="138"/>
    <n v="0.02"/>
  </r>
  <r>
    <n v="805690691"/>
    <x v="5"/>
    <x v="415"/>
    <s v="MA.US USD WHT 30%"/>
    <x v="23"/>
    <x v="3"/>
    <b v="1"/>
    <x v="138"/>
    <n v="-0.01"/>
  </r>
  <r>
    <n v="805694982"/>
    <x v="4"/>
    <x v="416"/>
    <s v="MA.US USD 0.7600/ SHR"/>
    <x v="23"/>
    <x v="3"/>
    <b v="1"/>
    <x v="138"/>
    <n v="0.02"/>
  </r>
  <r>
    <n v="805694983"/>
    <x v="5"/>
    <x v="416"/>
    <s v="MA.US USD WHT 30%"/>
    <x v="23"/>
    <x v="3"/>
    <b v="1"/>
    <x v="138"/>
    <n v="-0.01"/>
  </r>
  <r>
    <n v="805917679"/>
    <x v="7"/>
    <x v="417"/>
    <s v="Sec Fee adj MSFT.US 20250508"/>
    <x v="8"/>
    <x v="4"/>
    <b v="1"/>
    <x v="138"/>
    <n v="0"/>
  </r>
  <r>
    <n v="806007951"/>
    <x v="11"/>
    <x v="418"/>
    <s v="FTT Spain adj BBVA.ES 20250508"/>
    <x v="53"/>
    <x v="3"/>
    <b v="1"/>
    <x v="138"/>
    <n v="-0.03"/>
  </r>
  <r>
    <n v="806008450"/>
    <x v="7"/>
    <x v="419"/>
    <s v="Sec Fee adj V.US 20250508"/>
    <x v="26"/>
    <x v="3"/>
    <b v="1"/>
    <x v="138"/>
    <n v="0"/>
  </r>
  <r>
    <n v="806017443"/>
    <x v="7"/>
    <x v="420"/>
    <s v="Sec Fee adj MA.US 20250508"/>
    <x v="23"/>
    <x v="3"/>
    <b v="1"/>
    <x v="138"/>
    <n v="0"/>
  </r>
  <r>
    <s v="Total"/>
    <x v="12"/>
    <x v="421"/>
    <s v=""/>
    <x v="54"/>
    <x v="2"/>
    <b v="0"/>
    <x v="139"/>
    <n v="85.05"/>
  </r>
  <r>
    <m/>
    <x v="13"/>
    <x v="422"/>
    <m/>
    <x v="4"/>
    <x v="9"/>
    <m/>
    <x v="14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n v="1744916452"/>
    <x v="0"/>
    <x v="0"/>
    <n v="1.3440194672133896"/>
    <x v="0"/>
    <s v="BUY"/>
    <n v="0.42449999999999999"/>
    <d v="2025-04-04T17:48:55"/>
    <n v="17.54"/>
    <n v="21.1"/>
    <n v="7.45"/>
    <m/>
    <m/>
    <n v="0"/>
    <n v="0"/>
    <n v="0"/>
    <n v="0"/>
    <n v="1.51"/>
  </r>
  <r>
    <n v="1817264187"/>
    <x v="1"/>
    <x v="0"/>
    <n v="0.10119022009870396"/>
    <x v="0"/>
    <s v="BUY"/>
    <n v="0.47570000000000001"/>
    <d v="2025-05-12T15:33:59"/>
    <n v="42.02"/>
    <n v="42.15"/>
    <n v="19.989999999999998"/>
    <m/>
    <m/>
    <n v="0"/>
    <n v="0"/>
    <n v="0"/>
    <n v="0"/>
    <n v="0.06"/>
  </r>
  <r>
    <n v="1566610015"/>
    <x v="2"/>
    <x v="1"/>
    <n v="5.2412532673052272"/>
    <x v="0"/>
    <s v="BUY"/>
    <n v="0.9385"/>
    <d v="2024-12-06T21:02:24"/>
    <n v="21.31"/>
    <n v="17.739999999999998"/>
    <n v="20"/>
    <m/>
    <m/>
    <n v="0"/>
    <n v="0"/>
    <n v="0"/>
    <n v="0"/>
    <n v="-3.35"/>
  </r>
  <r>
    <n v="1644796307"/>
    <x v="3"/>
    <x v="2"/>
    <n v="3.241963225560927"/>
    <x v="0"/>
    <s v="BUY"/>
    <n v="1"/>
    <d v="2025-02-05T20:31:13"/>
    <n v="20.36"/>
    <n v="21.9"/>
    <n v="20.36"/>
    <m/>
    <m/>
    <n v="0"/>
    <n v="0"/>
    <n v="0"/>
    <n v="0"/>
    <n v="1.54"/>
  </r>
  <r>
    <n v="1582737192"/>
    <x v="4"/>
    <x v="0"/>
    <n v="4.8142116780494923"/>
    <x v="0"/>
    <s v="BUY"/>
    <n v="1E-3"/>
    <d v="2024-12-19T21:38:04"/>
    <n v="524.42999999999995"/>
    <n v="582.24"/>
    <n v="0.52"/>
    <m/>
    <m/>
    <n v="0"/>
    <n v="0"/>
    <n v="0"/>
    <n v="0"/>
    <n v="0.06"/>
  </r>
  <r>
    <n v="1422773288"/>
    <x v="5"/>
    <x v="2"/>
    <n v="8.9800200083478625"/>
    <x v="0"/>
    <s v="BUY"/>
    <n v="0.48299999999999998"/>
    <d v="2024-08-14T20:15:46"/>
    <n v="51.24"/>
    <n v="57.94"/>
    <n v="24.75"/>
    <m/>
    <m/>
    <n v="0"/>
    <n v="0"/>
    <n v="0"/>
    <n v="0"/>
    <n v="3.24"/>
  </r>
  <r>
    <n v="1727563010"/>
    <x v="6"/>
    <x v="3"/>
    <n v="1.6056992858233212"/>
    <x v="0"/>
    <s v="BUY"/>
    <n v="1"/>
    <d v="2025-03-27T18:15:56"/>
    <n v="46.11"/>
    <n v="47.69"/>
    <n v="46.11"/>
    <m/>
    <m/>
    <n v="0"/>
    <n v="0"/>
    <n v="0"/>
    <n v="0"/>
    <n v="1.58"/>
  </r>
  <r>
    <n v="1599455288"/>
    <x v="7"/>
    <x v="1"/>
    <n v="4.2294227163019666"/>
    <x v="0"/>
    <s v="BUY"/>
    <n v="0.2195"/>
    <d v="2025-01-06T17:42:00"/>
    <n v="45.55"/>
    <n v="35.67"/>
    <n v="10"/>
    <m/>
    <m/>
    <n v="0"/>
    <n v="0"/>
    <n v="0"/>
    <n v="0"/>
    <n v="-2.17"/>
  </r>
  <r>
    <n v="1381417257"/>
    <x v="8"/>
    <x v="3"/>
    <n v="10.100200727459359"/>
    <x v="0"/>
    <s v="BUY"/>
    <n v="1"/>
    <d v="2024-07-11T16:17:26"/>
    <n v="16.373999999999999"/>
    <n v="16.065999999999999"/>
    <n v="17.899999999999999"/>
    <m/>
    <m/>
    <n v="0"/>
    <n v="0"/>
    <n v="0"/>
    <n v="0"/>
    <n v="-0.03"/>
  </r>
  <r>
    <n v="1644789287"/>
    <x v="9"/>
    <x v="2"/>
    <n v="3.2420873743936145"/>
    <x v="0"/>
    <s v="BUY"/>
    <n v="8.1299999999999997E-2"/>
    <d v="2025-02-05T20:25:46"/>
    <n v="129.08000000000001"/>
    <n v="137.35"/>
    <n v="10.49"/>
    <m/>
    <m/>
    <n v="0"/>
    <n v="0"/>
    <n v="0"/>
    <n v="0"/>
    <n v="0.68"/>
  </r>
  <r>
    <n v="1729617775"/>
    <x v="10"/>
    <x v="4"/>
    <n v="1.5744753487412455"/>
    <x v="0"/>
    <s v="BUY"/>
    <n v="9.0700000000000003E-2"/>
    <d v="2025-03-28T17:07:18"/>
    <n v="165.35"/>
    <n v="194.23"/>
    <n v="15"/>
    <m/>
    <m/>
    <n v="0"/>
    <n v="0"/>
    <n v="0"/>
    <n v="0"/>
    <n v="2.62"/>
  </r>
  <r>
    <n v="1554741910"/>
    <x v="0"/>
    <x v="0"/>
    <n v="5.5405044038395959"/>
    <x v="0"/>
    <s v="BUY"/>
    <n v="0.34949999999999998"/>
    <d v="2024-11-27T17:59:18"/>
    <n v="15.3"/>
    <n v="21.1"/>
    <n v="5.35"/>
    <m/>
    <m/>
    <n v="0"/>
    <n v="0"/>
    <n v="0"/>
    <n v="0"/>
    <n v="2.02"/>
  </r>
  <r>
    <n v="1621495187"/>
    <x v="7"/>
    <x v="1"/>
    <n v="3.7345283120821926"/>
    <x v="0"/>
    <s v="BUY"/>
    <n v="0.23180000000000001"/>
    <d v="2025-01-21T19:57:46"/>
    <n v="43.27"/>
    <n v="35.67"/>
    <n v="10.029999999999999"/>
    <m/>
    <m/>
    <n v="0"/>
    <n v="0"/>
    <n v="0"/>
    <n v="0"/>
    <n v="-1.76"/>
  </r>
  <r>
    <n v="1701100027"/>
    <x v="2"/>
    <x v="1"/>
    <n v="2.1266516321345872"/>
    <x v="0"/>
    <s v="BUY"/>
    <n v="0.78120000000000001"/>
    <d v="2025-03-11T20:55:43"/>
    <n v="19.2"/>
    <n v="17.739999999999998"/>
    <n v="15"/>
    <m/>
    <m/>
    <n v="0"/>
    <n v="0"/>
    <n v="0"/>
    <n v="0"/>
    <n v="-1.1399999999999999"/>
  </r>
  <r>
    <n v="1744767540"/>
    <x v="2"/>
    <x v="1"/>
    <n v="1.3446468313608211"/>
    <x v="0"/>
    <s v="BUY"/>
    <n v="0.64300000000000002"/>
    <d v="2025-04-04T17:21:22"/>
    <n v="15.55"/>
    <n v="17.739999999999998"/>
    <n v="10"/>
    <m/>
    <m/>
    <n v="0"/>
    <n v="0"/>
    <n v="0"/>
    <n v="0"/>
    <n v="1.41"/>
  </r>
  <r>
    <n v="1653137218"/>
    <x v="7"/>
    <x v="1"/>
    <n v="3.045356508046217"/>
    <x v="0"/>
    <s v="BUY"/>
    <n v="0.27700000000000002"/>
    <d v="2025-02-11T20:26:11"/>
    <n v="36.1"/>
    <n v="35.67"/>
    <n v="10"/>
    <m/>
    <m/>
    <n v="0"/>
    <n v="0"/>
    <n v="0"/>
    <n v="0"/>
    <n v="-0.12"/>
  </r>
  <r>
    <n v="1806978791"/>
    <x v="11"/>
    <x v="1"/>
    <n v="0.29192783394122312"/>
    <x v="0"/>
    <s v="BUY"/>
    <n v="8.6699999999999999E-2"/>
    <d v="2025-05-06T19:56:47"/>
    <n v="126.78"/>
    <n v="185.82"/>
    <n v="10.99"/>
    <m/>
    <m/>
    <n v="0"/>
    <n v="0"/>
    <n v="0"/>
    <n v="0"/>
    <n v="5.12"/>
  </r>
  <r>
    <n v="1582708979"/>
    <x v="10"/>
    <x v="4"/>
    <n v="4.814669694521533"/>
    <x v="0"/>
    <s v="BUY"/>
    <n v="7.6899999999999996E-2"/>
    <d v="2024-12-19T21:17:57"/>
    <n v="195.11"/>
    <n v="194.23"/>
    <n v="15"/>
    <m/>
    <m/>
    <n v="0"/>
    <n v="0"/>
    <n v="0"/>
    <n v="0"/>
    <n v="-0.06"/>
  </r>
  <r>
    <n v="1662993636"/>
    <x v="3"/>
    <x v="2"/>
    <n v="2.815233677141149"/>
    <x v="0"/>
    <s v="BUY"/>
    <n v="1"/>
    <d v="2025-02-18T20:53:11"/>
    <n v="20.65"/>
    <n v="21.9"/>
    <n v="20.65"/>
    <m/>
    <m/>
    <n v="0"/>
    <n v="0"/>
    <n v="0"/>
    <n v="0"/>
    <n v="1.25"/>
  </r>
  <r>
    <n v="1824482557"/>
    <x v="5"/>
    <x v="2"/>
    <n v="2.84732885603396E-3"/>
    <x v="0"/>
    <s v="BUY"/>
    <n v="0.2641"/>
    <d v="2025-05-15T15:33:12"/>
    <n v="56.78"/>
    <n v="57.94"/>
    <n v="15"/>
    <m/>
    <m/>
    <n v="0"/>
    <n v="0"/>
    <n v="0"/>
    <n v="0"/>
    <n v="0.3"/>
  </r>
  <r>
    <n v="1631475148"/>
    <x v="7"/>
    <x v="1"/>
    <n v="3.5048735564659048"/>
    <x v="0"/>
    <s v="BUY"/>
    <n v="0.25919999999999999"/>
    <d v="2025-01-28T20:04:12"/>
    <n v="38.58"/>
    <n v="35.67"/>
    <n v="10"/>
    <m/>
    <m/>
    <n v="0"/>
    <n v="0"/>
    <n v="0"/>
    <n v="0"/>
    <n v="-0.75"/>
  </r>
  <r>
    <n v="1727591551"/>
    <x v="12"/>
    <x v="3"/>
    <n v="1.6052786862462392"/>
    <x v="0"/>
    <s v="BUY"/>
    <n v="1"/>
    <d v="2025-03-27T18:34:25"/>
    <n v="72.87"/>
    <n v="72.42"/>
    <n v="72.87"/>
    <m/>
    <m/>
    <n v="0"/>
    <n v="0"/>
    <n v="0"/>
    <n v="0"/>
    <n v="-0.45"/>
  </r>
  <r>
    <n v="1554741956"/>
    <x v="0"/>
    <x v="0"/>
    <n v="5.5405040365051228"/>
    <x v="0"/>
    <s v="BUY"/>
    <n v="1"/>
    <d v="2024-11-27T17:59:19"/>
    <n v="15.3"/>
    <n v="21.1"/>
    <n v="15.3"/>
    <m/>
    <m/>
    <n v="0"/>
    <n v="0"/>
    <n v="0"/>
    <n v="0"/>
    <n v="5.8"/>
  </r>
  <r>
    <n v="1606697510"/>
    <x v="4"/>
    <x v="0"/>
    <n v="4.0999425645117533"/>
    <x v="0"/>
    <s v="BUY"/>
    <n v="2.9499999999999998E-2"/>
    <d v="2025-01-10T16:28:46"/>
    <n v="507.68"/>
    <n v="582.24"/>
    <n v="14.98"/>
    <m/>
    <m/>
    <n v="0"/>
    <n v="0"/>
    <n v="0"/>
    <n v="0"/>
    <n v="2.2000000000000002"/>
  </r>
  <r>
    <n v="1511085920"/>
    <x v="10"/>
    <x v="4"/>
    <n v="6.5248727238921687"/>
    <x v="0"/>
    <s v="BUY"/>
    <n v="7.6100000000000001E-2"/>
    <d v="2024-10-28T17:25:50"/>
    <n v="196.9"/>
    <n v="194.23"/>
    <n v="14.98"/>
    <m/>
    <m/>
    <n v="0"/>
    <n v="0"/>
    <n v="0"/>
    <n v="0"/>
    <n v="-0.2"/>
  </r>
  <r>
    <n v="1378901781"/>
    <x v="13"/>
    <x v="3"/>
    <n v="10.164654095705119"/>
    <x v="0"/>
    <s v="BUY"/>
    <n v="1"/>
    <d v="2024-07-09T17:06:38"/>
    <n v="20.58"/>
    <n v="20.324999999999999"/>
    <n v="20.58"/>
    <m/>
    <m/>
    <n v="0"/>
    <n v="0"/>
    <n v="0"/>
    <n v="0"/>
    <n v="-0.25"/>
  </r>
  <r>
    <n v="1495551484"/>
    <x v="14"/>
    <x v="2"/>
    <n v="6.9517512985740861"/>
    <x v="0"/>
    <s v="BUY"/>
    <n v="0.19139999999999999"/>
    <d v="2024-10-15T16:57:20"/>
    <n v="135.82"/>
    <n v="138.76"/>
    <n v="26"/>
    <m/>
    <m/>
    <n v="0"/>
    <n v="0"/>
    <n v="0"/>
    <n v="0"/>
    <n v="0.56000000000000005"/>
  </r>
  <r>
    <n v="1754304266"/>
    <x v="2"/>
    <x v="1"/>
    <n v="1.2083391594561199"/>
    <x v="0"/>
    <s v="BUY"/>
    <n v="0.7137"/>
    <d v="2025-04-08T21:08:00"/>
    <n v="14"/>
    <n v="17.739999999999998"/>
    <n v="9.99"/>
    <m/>
    <m/>
    <n v="0"/>
    <n v="0"/>
    <n v="0"/>
    <n v="0"/>
    <n v="2.67"/>
  </r>
  <r>
    <n v="1701098878"/>
    <x v="11"/>
    <x v="1"/>
    <n v="2.1266629356396152"/>
    <x v="0"/>
    <s v="BUY"/>
    <n v="3.8300000000000001E-2"/>
    <d v="2025-03-11T20:55:13"/>
    <n v="139.41"/>
    <n v="185.82"/>
    <n v="5.34"/>
    <m/>
    <m/>
    <n v="0"/>
    <n v="0"/>
    <n v="0"/>
    <n v="0"/>
    <n v="1.78"/>
  </r>
  <r>
    <n v="1811475599"/>
    <x v="15"/>
    <x v="0"/>
    <n v="0.23164507475768437"/>
    <x v="0"/>
    <s v="BUY"/>
    <n v="0.72560000000000002"/>
    <d v="2025-05-08T16:04:24"/>
    <n v="12.75"/>
    <n v="13.35"/>
    <n v="10.51"/>
    <m/>
    <m/>
    <n v="0"/>
    <n v="0"/>
    <n v="0"/>
    <n v="0"/>
    <n v="0.26"/>
  </r>
  <r>
    <n v="1666451221"/>
    <x v="16"/>
    <x v="1"/>
    <n v="2.755890791590438"/>
    <x v="0"/>
    <s v="BUY"/>
    <n v="1E-4"/>
    <d v="2025-02-20T16:19:32"/>
    <n v="43"/>
    <n v="43.4"/>
    <n v="0"/>
    <m/>
    <m/>
    <n v="0"/>
    <n v="0"/>
    <n v="0"/>
    <n v="0"/>
    <n v="0"/>
  </r>
  <r>
    <n v="1648737122"/>
    <x v="17"/>
    <x v="4"/>
    <n v="3.1763506879937955"/>
    <x v="0"/>
    <s v="BUY"/>
    <n v="2.69E-2"/>
    <d v="2025-02-07T20:32:56"/>
    <n v="408.33"/>
    <n v="452.95"/>
    <n v="10.98"/>
    <m/>
    <m/>
    <n v="0"/>
    <n v="0"/>
    <n v="0"/>
    <n v="0"/>
    <n v="1.2"/>
  </r>
  <r>
    <n v="1806980496"/>
    <x v="18"/>
    <x v="0"/>
    <n v="0.29190132627573789"/>
    <x v="0"/>
    <s v="BUY"/>
    <n v="1"/>
    <d v="2025-05-06T19:57:57"/>
    <n v="16.12"/>
    <n v="17.329999999999998"/>
    <n v="16.12"/>
    <m/>
    <m/>
    <n v="0"/>
    <n v="0"/>
    <n v="0"/>
    <n v="0"/>
    <n v="1.21"/>
  </r>
  <r>
    <n v="1582714896"/>
    <x v="2"/>
    <x v="1"/>
    <n v="4.8145650113838796"/>
    <x v="0"/>
    <s v="BUY"/>
    <n v="0.48470000000000002"/>
    <d v="2024-12-19T21:22:33"/>
    <n v="20.62"/>
    <n v="17.739999999999998"/>
    <n v="9.99"/>
    <m/>
    <m/>
    <n v="0"/>
    <n v="0"/>
    <n v="0"/>
    <n v="0"/>
    <n v="-1.39"/>
  </r>
  <r>
    <n v="1499061783"/>
    <x v="19"/>
    <x v="4"/>
    <n v="6.8850795594265888"/>
    <x v="0"/>
    <s v="BUY"/>
    <n v="1E-4"/>
    <d v="2024-10-17T17:45:33"/>
    <n v="232.2"/>
    <n v="211.32"/>
    <n v="0.02"/>
    <m/>
    <m/>
    <n v="0"/>
    <n v="0"/>
    <n v="0"/>
    <n v="0"/>
    <n v="0"/>
  </r>
  <r>
    <n v="1825032062"/>
    <x v="20"/>
    <x v="5"/>
    <n v="-8.494379931629529E-4"/>
    <x v="0"/>
    <s v="BUY"/>
    <n v="0.35589999999999999"/>
    <d v="2025-05-15T18:15:33"/>
    <n v="28.09"/>
    <n v="28.25"/>
    <n v="10"/>
    <m/>
    <m/>
    <n v="0"/>
    <n v="0"/>
    <n v="0"/>
    <n v="0"/>
    <n v="0.05"/>
  </r>
  <r>
    <n v="1554742887"/>
    <x v="10"/>
    <x v="4"/>
    <n v="5.5404906348658338"/>
    <x v="0"/>
    <s v="BUY"/>
    <n v="8.4000000000000005E-2"/>
    <d v="2024-11-27T17:59:54"/>
    <n v="178.48"/>
    <n v="194.23"/>
    <n v="14.99"/>
    <m/>
    <m/>
    <n v="0"/>
    <n v="0"/>
    <n v="0"/>
    <n v="0"/>
    <n v="1.33"/>
  </r>
  <r>
    <n v="1642762235"/>
    <x v="14"/>
    <x v="2"/>
    <n v="3.2743858932920626"/>
    <x v="0"/>
    <s v="BUY"/>
    <n v="0.15720000000000001"/>
    <d v="2025-02-04T20:47:13"/>
    <n v="127.16"/>
    <n v="138.76"/>
    <n v="19.989999999999998"/>
    <m/>
    <m/>
    <n v="0"/>
    <n v="0"/>
    <n v="0"/>
    <n v="0"/>
    <n v="1.82"/>
  </r>
  <r>
    <n v="1680993370"/>
    <x v="6"/>
    <x v="3"/>
    <n v="2.4878198975412325"/>
    <x v="0"/>
    <s v="BUY"/>
    <n v="1"/>
    <d v="2025-02-28T20:33:12"/>
    <n v="44.49"/>
    <n v="47.69"/>
    <n v="44.49"/>
    <m/>
    <m/>
    <n v="0"/>
    <n v="0"/>
    <n v="0"/>
    <n v="0"/>
    <n v="3.2"/>
  </r>
  <r>
    <n v="1532661507"/>
    <x v="10"/>
    <x v="4"/>
    <n v="6.0325371937608709"/>
    <x v="0"/>
    <s v="BUY"/>
    <n v="6.8099999999999994E-2"/>
    <d v="2024-11-12T17:49:13"/>
    <n v="190.67"/>
    <n v="194.23"/>
    <n v="12.98"/>
    <m/>
    <m/>
    <n v="0"/>
    <n v="0"/>
    <n v="0"/>
    <n v="0"/>
    <n v="0.25"/>
  </r>
  <r>
    <n v="1744930699"/>
    <x v="12"/>
    <x v="3"/>
    <n v="1.3439195932003147"/>
    <x v="0"/>
    <s v="BUY"/>
    <n v="1"/>
    <d v="2025-04-04T17:53:18"/>
    <n v="74.13"/>
    <n v="72.42"/>
    <n v="74.13"/>
    <m/>
    <m/>
    <n v="0"/>
    <n v="0"/>
    <n v="0"/>
    <n v="0"/>
    <n v="-1.71"/>
  </r>
  <r>
    <n v="1776193271"/>
    <x v="18"/>
    <x v="0"/>
    <n v="0.91411082878051375"/>
    <x v="0"/>
    <s v="BUY"/>
    <n v="0.6724"/>
    <d v="2025-04-17T20:30:30"/>
    <n v="14.87"/>
    <n v="17.329999999999998"/>
    <n v="10"/>
    <m/>
    <m/>
    <n v="0"/>
    <n v="0"/>
    <n v="0"/>
    <n v="0"/>
    <n v="1.65"/>
  </r>
  <r>
    <n v="1461331124"/>
    <x v="5"/>
    <x v="2"/>
    <n v="7.8387263638428299"/>
    <x v="0"/>
    <s v="BUY"/>
    <n v="0.39219999999999999"/>
    <d v="2024-09-18T15:41:23"/>
    <n v="50.99"/>
    <n v="57.94"/>
    <n v="20"/>
    <m/>
    <m/>
    <n v="0"/>
    <n v="0"/>
    <n v="0"/>
    <n v="0"/>
    <n v="2.72"/>
  </r>
  <r>
    <n v="1712849726"/>
    <x v="11"/>
    <x v="1"/>
    <n v="1.8977049650888238"/>
    <x v="0"/>
    <s v="BUY"/>
    <n v="8.6099999999999996E-2"/>
    <d v="2025-03-18T20:31:03"/>
    <n v="127.72"/>
    <n v="185.82"/>
    <n v="11"/>
    <m/>
    <m/>
    <n v="0"/>
    <n v="0"/>
    <n v="0"/>
    <n v="0"/>
    <n v="5"/>
  </r>
  <r>
    <n v="1806977521"/>
    <x v="7"/>
    <x v="1"/>
    <n v="0.2919449324528286"/>
    <x v="0"/>
    <s v="BUY"/>
    <n v="0.3367"/>
    <d v="2025-05-06T19:56:02"/>
    <n v="29.7"/>
    <n v="35.67"/>
    <n v="10"/>
    <m/>
    <m/>
    <n v="0"/>
    <n v="0"/>
    <n v="0"/>
    <n v="0"/>
    <n v="2.0099999999999998"/>
  </r>
  <r>
    <n v="1666461140"/>
    <x v="7"/>
    <x v="1"/>
    <n v="2.7558303134495366"/>
    <x v="0"/>
    <s v="BUY"/>
    <n v="0.2651"/>
    <d v="2025-02-20T16:22:11"/>
    <n v="37.700000000000003"/>
    <n v="35.67"/>
    <n v="9.99"/>
    <m/>
    <m/>
    <n v="0"/>
    <n v="0"/>
    <n v="0"/>
    <n v="0"/>
    <n v="-0.53"/>
  </r>
  <r>
    <n v="1648740228"/>
    <x v="21"/>
    <x v="4"/>
    <n v="3.1762941442790238"/>
    <x v="0"/>
    <s v="BUY"/>
    <n v="5.3800000000000001E-2"/>
    <d v="2025-02-07T20:35:25"/>
    <n v="185.82"/>
    <n v="163.94"/>
    <n v="10"/>
    <m/>
    <m/>
    <n v="0"/>
    <n v="0"/>
    <n v="0"/>
    <n v="0"/>
    <n v="-1.18"/>
  </r>
  <r>
    <n v="1806980482"/>
    <x v="18"/>
    <x v="0"/>
    <n v="0.29190161809197351"/>
    <x v="0"/>
    <s v="BUY"/>
    <n v="0.24060000000000001"/>
    <d v="2025-05-06T19:57:56"/>
    <n v="16.12"/>
    <n v="17.329999999999998"/>
    <n v="3.88"/>
    <m/>
    <m/>
    <n v="0"/>
    <n v="0"/>
    <n v="0"/>
    <n v="0"/>
    <n v="0.28999999999999998"/>
  </r>
  <r>
    <n v="1594315903"/>
    <x v="8"/>
    <x v="3"/>
    <n v="4.3707687856723005"/>
    <x v="0"/>
    <s v="BUY"/>
    <n v="1"/>
    <d v="2025-01-02T10:14:05"/>
    <n v="16.425000000000001"/>
    <n v="16.065999999999999"/>
    <n v="17.11"/>
    <m/>
    <m/>
    <n v="0"/>
    <n v="0"/>
    <n v="0"/>
    <n v="0"/>
    <n v="0.76"/>
  </r>
  <r>
    <n v="1666459270"/>
    <x v="0"/>
    <x v="0"/>
    <n v="2.7558436126297448"/>
    <x v="0"/>
    <s v="BUY"/>
    <n v="1"/>
    <d v="2025-02-20T16:21:36"/>
    <n v="17.18"/>
    <n v="21.1"/>
    <n v="17.18"/>
    <m/>
    <m/>
    <n v="0"/>
    <n v="0"/>
    <n v="0"/>
    <n v="0"/>
    <n v="3.92"/>
  </r>
  <r>
    <n v="1559802942"/>
    <x v="22"/>
    <x v="1"/>
    <n v="5.3729706215839181"/>
    <x v="0"/>
    <s v="BUY"/>
    <n v="0.25850000000000001"/>
    <d v="2024-12-02T20:37:23"/>
    <n v="77.349999999999994"/>
    <n v="74.56"/>
    <n v="19.989999999999998"/>
    <m/>
    <m/>
    <n v="0"/>
    <n v="0"/>
    <n v="0"/>
    <n v="0"/>
    <n v="-0.72"/>
  </r>
  <r>
    <n v="1644788775"/>
    <x v="23"/>
    <x v="2"/>
    <n v="3.2420971007904584"/>
    <x v="0"/>
    <s v="BUY"/>
    <n v="7.5800000000000006E-2"/>
    <d v="2025-02-05T20:25:21"/>
    <n v="144.94"/>
    <n v="131.47999999999999"/>
    <n v="10.99"/>
    <m/>
    <m/>
    <n v="0"/>
    <n v="0"/>
    <n v="0"/>
    <n v="0"/>
    <n v="-1.02"/>
  </r>
  <r>
    <n v="1680994777"/>
    <x v="2"/>
    <x v="1"/>
    <n v="2.4877980897085239"/>
    <x v="0"/>
    <s v="BUY"/>
    <n v="0.7278"/>
    <d v="2025-02-28T20:34:09"/>
    <n v="20.6"/>
    <n v="17.739999999999998"/>
    <n v="14.99"/>
    <m/>
    <m/>
    <n v="0"/>
    <n v="0"/>
    <n v="0"/>
    <n v="0"/>
    <n v="-2.08"/>
  </r>
  <r>
    <n v="1517510856"/>
    <x v="23"/>
    <x v="2"/>
    <n v="6.397532688220009"/>
    <x v="0"/>
    <s v="BUY"/>
    <n v="6.0199999999999997E-2"/>
    <d v="2024-11-01T14:38:37"/>
    <n v="166.03"/>
    <n v="131.47999999999999"/>
    <n v="10"/>
    <m/>
    <m/>
    <n v="0"/>
    <n v="0"/>
    <n v="0"/>
    <n v="0"/>
    <n v="-2.08"/>
  </r>
  <r>
    <n v="1563288050"/>
    <x v="23"/>
    <x v="2"/>
    <n v="5.3075102034001516"/>
    <x v="0"/>
    <s v="BUY"/>
    <n v="6.2600000000000003E-2"/>
    <d v="2024-12-04T20:32:24"/>
    <n v="159.74"/>
    <n v="131.47999999999999"/>
    <n v="10"/>
    <m/>
    <m/>
    <n v="0"/>
    <n v="0"/>
    <n v="0"/>
    <n v="0"/>
    <n v="-1.77"/>
  </r>
  <r>
    <n v="1744879358"/>
    <x v="10"/>
    <x v="4"/>
    <n v="1.3441192156200577"/>
    <x v="0"/>
    <s v="BUY"/>
    <n v="0.27010000000000001"/>
    <d v="2025-04-04T17:44:32"/>
    <n v="148.09"/>
    <n v="194.23"/>
    <n v="40"/>
    <m/>
    <m/>
    <n v="0"/>
    <n v="0"/>
    <n v="0"/>
    <n v="0"/>
    <n v="12.46"/>
  </r>
  <r>
    <n v="1817256440"/>
    <x v="16"/>
    <x v="1"/>
    <n v="0.10121391241660067"/>
    <x v="0"/>
    <s v="BUY"/>
    <n v="0.22670000000000001"/>
    <d v="2025-05-12T15:32:56"/>
    <n v="44.1"/>
    <n v="43.4"/>
    <n v="10"/>
    <m/>
    <m/>
    <n v="0"/>
    <n v="0"/>
    <n v="0"/>
    <n v="0"/>
    <n v="-0.16"/>
  </r>
  <r>
    <n v="1635194117"/>
    <x v="7"/>
    <x v="1"/>
    <n v="3.4387741165739469"/>
    <x v="0"/>
    <s v="BUY"/>
    <n v="0.24790000000000001"/>
    <d v="2025-01-30T20:27:17"/>
    <n v="40.33"/>
    <n v="35.67"/>
    <n v="10"/>
    <m/>
    <m/>
    <n v="0"/>
    <n v="0"/>
    <n v="0"/>
    <n v="0"/>
    <n v="-1.1599999999999999"/>
  </r>
  <r>
    <n v="1811475646"/>
    <x v="15"/>
    <x v="0"/>
    <n v="0.2316445620822602"/>
    <x v="0"/>
    <s v="BUY"/>
    <n v="1"/>
    <d v="2025-05-08T16:04:25"/>
    <n v="12.75"/>
    <n v="13.35"/>
    <n v="14.49"/>
    <m/>
    <m/>
    <n v="0"/>
    <n v="0"/>
    <n v="0"/>
    <n v="0"/>
    <n v="0.36"/>
  </r>
  <r>
    <n v="1796453499"/>
    <x v="18"/>
    <x v="0"/>
    <n v="0.49469551457078809"/>
    <x v="0"/>
    <s v="BUY"/>
    <n v="0.64219999999999999"/>
    <d v="2025-04-30T15:31:13"/>
    <n v="15.57"/>
    <n v="17.329999999999998"/>
    <n v="10"/>
    <m/>
    <m/>
    <n v="0"/>
    <n v="0"/>
    <n v="0"/>
    <n v="0"/>
    <n v="1.1299999999999999"/>
  </r>
  <r>
    <n v="1824476420"/>
    <x v="23"/>
    <x v="2"/>
    <n v="2.877180478879113E-3"/>
    <x v="0"/>
    <s v="BUY"/>
    <n v="0.15479999999999999"/>
    <d v="2025-05-15T15:31:53"/>
    <n v="129.16999999999999"/>
    <n v="131.47999999999999"/>
    <n v="20"/>
    <m/>
    <m/>
    <n v="0"/>
    <n v="0"/>
    <n v="0"/>
    <n v="0"/>
    <n v="0.35"/>
  </r>
  <r>
    <n v="1582735114"/>
    <x v="24"/>
    <x v="6"/>
    <n v="4.8142336870068458"/>
    <x v="0"/>
    <s v="BUY"/>
    <n v="2.9999999999999997E-4"/>
    <d v="2024-12-19T21:37:06"/>
    <n v="130.51"/>
    <n v="146.97"/>
    <n v="0.04"/>
    <m/>
    <m/>
    <n v="0"/>
    <n v="0"/>
    <n v="0"/>
    <n v="0"/>
    <n v="0"/>
  </r>
  <r>
    <n v="1680991980"/>
    <x v="10"/>
    <x v="4"/>
    <n v="2.4878437147083594"/>
    <x v="0"/>
    <s v="BUY"/>
    <n v="0.1958"/>
    <d v="2025-02-28T20:32:09"/>
    <n v="178.67"/>
    <n v="194.23"/>
    <n v="34.979999999999997"/>
    <m/>
    <m/>
    <n v="0"/>
    <n v="0"/>
    <n v="0"/>
    <n v="0"/>
    <n v="3.05"/>
  </r>
  <r>
    <n v="1414752069"/>
    <x v="22"/>
    <x v="1"/>
    <n v="9.2089968378100728"/>
    <x v="0"/>
    <s v="BUY"/>
    <n v="0.1933"/>
    <d v="2024-08-07T20:39:07"/>
    <n v="77.53"/>
    <n v="74.56"/>
    <n v="14.99"/>
    <m/>
    <m/>
    <n v="0"/>
    <n v="0"/>
    <n v="0"/>
    <n v="0"/>
    <n v="-0.57999999999999996"/>
  </r>
  <r>
    <n v="1599449649"/>
    <x v="2"/>
    <x v="1"/>
    <n v="4.2294842698854644"/>
    <x v="0"/>
    <s v="BUY"/>
    <n v="0.41449999999999998"/>
    <d v="2025-01-06T17:39:18"/>
    <n v="24.11"/>
    <n v="17.739999999999998"/>
    <n v="9.99"/>
    <m/>
    <m/>
    <n v="0"/>
    <n v="0"/>
    <n v="0"/>
    <n v="0"/>
    <n v="-2.64"/>
  </r>
  <r>
    <n v="1559803221"/>
    <x v="23"/>
    <x v="2"/>
    <n v="5.3729631546002121"/>
    <x v="0"/>
    <s v="BUY"/>
    <n v="9.1999999999999998E-2"/>
    <d v="2024-12-02T20:37:42"/>
    <n v="162.85"/>
    <n v="131.47999999999999"/>
    <n v="14.98"/>
    <m/>
    <m/>
    <n v="0"/>
    <n v="0"/>
    <n v="0"/>
    <n v="0"/>
    <n v="-2.88"/>
  </r>
  <r>
    <n v="1358151307"/>
    <x v="23"/>
    <x v="2"/>
    <n v="10.880314916895452"/>
    <x v="0"/>
    <s v="BUY"/>
    <n v="0.1081"/>
    <d v="2024-06-17T21:14:49"/>
    <n v="165.93"/>
    <n v="131.47999999999999"/>
    <n v="17.940000000000001"/>
    <m/>
    <m/>
    <n v="0"/>
    <n v="0"/>
    <n v="0"/>
    <n v="0"/>
    <n v="-3.72"/>
  </r>
  <r>
    <n v="1754302454"/>
    <x v="7"/>
    <x v="1"/>
    <n v="1.2083489260789899"/>
    <x v="0"/>
    <s v="BUY"/>
    <n v="0.36730000000000002"/>
    <d v="2025-04-08T21:07:34"/>
    <n v="27.17"/>
    <n v="35.67"/>
    <n v="9.98"/>
    <m/>
    <m/>
    <n v="0"/>
    <n v="0"/>
    <n v="0"/>
    <n v="0"/>
    <n v="3.12"/>
  </r>
  <r>
    <n v="1712850989"/>
    <x v="21"/>
    <x v="4"/>
    <n v="1.8976763190659141"/>
    <x v="0"/>
    <s v="BUY"/>
    <n v="0.1244"/>
    <d v="2025-03-18T20:32:18"/>
    <n v="160.63999999999999"/>
    <n v="163.94"/>
    <n v="19.98"/>
    <m/>
    <m/>
    <n v="0"/>
    <n v="0"/>
    <n v="0"/>
    <n v="0"/>
    <n v="0.41"/>
  </r>
  <r>
    <n v="1744916497"/>
    <x v="0"/>
    <x v="0"/>
    <n v="1.3440190114593324"/>
    <x v="0"/>
    <s v="BUY"/>
    <n v="1"/>
    <d v="2025-04-04T17:48:56"/>
    <n v="17.54"/>
    <n v="21.1"/>
    <n v="17.54"/>
    <m/>
    <m/>
    <n v="0"/>
    <n v="0"/>
    <n v="0"/>
    <n v="0"/>
    <n v="3.56"/>
  </r>
  <r>
    <n v="1824475555"/>
    <x v="3"/>
    <x v="2"/>
    <n v="2.8811585445331074E-3"/>
    <x v="0"/>
    <s v="BUY"/>
    <n v="1"/>
    <d v="2025-05-15T15:31:43"/>
    <n v="21.66"/>
    <n v="21.9"/>
    <n v="21.66"/>
    <m/>
    <m/>
    <n v="0"/>
    <n v="0"/>
    <n v="0"/>
    <n v="0"/>
    <n v="0.24"/>
  </r>
  <r>
    <n v="1648733962"/>
    <x v="9"/>
    <x v="2"/>
    <n v="3.176401923193747"/>
    <x v="0"/>
    <s v="BUY"/>
    <n v="8.1000000000000003E-2"/>
    <d v="2025-02-07T20:30:41"/>
    <n v="129.56"/>
    <n v="137.35"/>
    <n v="10.49"/>
    <m/>
    <m/>
    <n v="0"/>
    <n v="0"/>
    <n v="0"/>
    <n v="0"/>
    <n v="0.64"/>
  </r>
  <r>
    <n v="1806979127"/>
    <x v="2"/>
    <x v="1"/>
    <n v="0.29192272275442938"/>
    <x v="0"/>
    <s v="BUY"/>
    <n v="0.6361"/>
    <d v="2025-05-06T19:57:00"/>
    <n v="15.72"/>
    <n v="17.739999999999998"/>
    <n v="10"/>
    <m/>
    <m/>
    <n v="0"/>
    <n v="0"/>
    <n v="0"/>
    <n v="0"/>
    <n v="1.28"/>
  </r>
  <r>
    <n v="1582723120"/>
    <x v="5"/>
    <x v="2"/>
    <n v="4.8144189864134637"/>
    <x v="0"/>
    <s v="BUY"/>
    <n v="0.3755"/>
    <d v="2024-12-19T21:28:58"/>
    <n v="53.26"/>
    <n v="57.94"/>
    <n v="20"/>
    <m/>
    <m/>
    <n v="0"/>
    <n v="0"/>
    <n v="0"/>
    <n v="0"/>
    <n v="1.76"/>
  </r>
  <r>
    <n v="1662995258"/>
    <x v="22"/>
    <x v="1"/>
    <n v="2.8152026643150689"/>
    <x v="0"/>
    <s v="BUY"/>
    <n v="0.29430000000000001"/>
    <d v="2025-02-18T20:54:33"/>
    <n v="67.97"/>
    <n v="74.56"/>
    <n v="20"/>
    <m/>
    <m/>
    <n v="0"/>
    <n v="0"/>
    <n v="0"/>
    <n v="0"/>
    <n v="1.94"/>
  </r>
  <r>
    <n v="1559803984"/>
    <x v="9"/>
    <x v="2"/>
    <n v="5.3729426772166695"/>
    <x v="0"/>
    <s v="BUY"/>
    <n v="0.1076"/>
    <d v="2024-12-02T20:38:36"/>
    <n v="139.4"/>
    <n v="137.35"/>
    <n v="15"/>
    <m/>
    <m/>
    <n v="0"/>
    <n v="0"/>
    <n v="0"/>
    <n v="0"/>
    <n v="-0.22"/>
  </r>
  <r>
    <n v="1633116336"/>
    <x v="6"/>
    <x v="3"/>
    <n v="3.4722023979215844"/>
    <x v="0"/>
    <s v="BUY"/>
    <n v="1"/>
    <d v="2025-01-29T19:59:07"/>
    <n v="44.24"/>
    <n v="47.69"/>
    <n v="44.24"/>
    <m/>
    <m/>
    <n v="0"/>
    <n v="0"/>
    <n v="0"/>
    <n v="0"/>
    <n v="3.45"/>
  </r>
  <r>
    <n v="1727564345"/>
    <x v="20"/>
    <x v="5"/>
    <n v="1.6056768123872032"/>
    <x v="0"/>
    <s v="BUY"/>
    <n v="0.32740000000000002"/>
    <d v="2025-03-27T18:16:55"/>
    <n v="30.54"/>
    <n v="28.25"/>
    <n v="10"/>
    <m/>
    <m/>
    <n v="0"/>
    <n v="0"/>
    <n v="0"/>
    <n v="0"/>
    <n v="-0.75"/>
  </r>
  <r>
    <n v="1533882988"/>
    <x v="13"/>
    <x v="3"/>
    <n v="6.004170493321535"/>
    <x v="0"/>
    <s v="BUY"/>
    <n v="0.5"/>
    <d v="2024-11-13T14:35:05"/>
    <n v="21.905000000000001"/>
    <n v="20.324999999999999"/>
    <n v="10.95"/>
    <m/>
    <m/>
    <n v="0"/>
    <n v="0"/>
    <n v="0"/>
    <n v="0"/>
    <n v="-0.79"/>
  </r>
  <r>
    <n v="1599431096"/>
    <x v="23"/>
    <x v="2"/>
    <n v="4.2296638744690007"/>
    <x v="0"/>
    <s v="BUY"/>
    <n v="0.1013"/>
    <d v="2025-01-06T17:31:25"/>
    <n v="148.02000000000001"/>
    <n v="131.47999999999999"/>
    <n v="14.99"/>
    <m/>
    <m/>
    <n v="0"/>
    <n v="0"/>
    <n v="0"/>
    <n v="0"/>
    <n v="-1.67"/>
  </r>
  <r>
    <n v="1381375440"/>
    <x v="10"/>
    <x v="4"/>
    <n v="10.100449584472445"/>
    <x v="0"/>
    <s v="BUY"/>
    <n v="0.1057"/>
    <d v="2024-07-11T16:06:30"/>
    <n v="189.11"/>
    <n v="194.23"/>
    <n v="19.989999999999998"/>
    <m/>
    <m/>
    <n v="0"/>
    <n v="0"/>
    <n v="0"/>
    <n v="0"/>
    <n v="0.54"/>
  </r>
  <r>
    <n v="1481609355"/>
    <x v="9"/>
    <x v="2"/>
    <n v="7.3429969918790565"/>
    <x v="0"/>
    <s v="BUY"/>
    <n v="0.107"/>
    <d v="2024-10-03T18:33:49"/>
    <n v="140.18"/>
    <n v="137.35"/>
    <n v="15"/>
    <m/>
    <m/>
    <n v="0"/>
    <n v="0"/>
    <n v="0"/>
    <n v="0"/>
    <n v="-0.3"/>
  </r>
  <r>
    <n v="1450043624"/>
    <x v="9"/>
    <x v="2"/>
    <n v="8.1338773846395362"/>
    <x v="0"/>
    <s v="BUY"/>
    <n v="2.3099999999999999E-2"/>
    <d v="2024-09-09T15:38:21"/>
    <n v="147.47999999999999"/>
    <n v="137.35"/>
    <n v="3.41"/>
    <m/>
    <m/>
    <n v="0"/>
    <n v="0"/>
    <n v="0"/>
    <n v="0"/>
    <n v="-0.24"/>
  </r>
  <r>
    <n v="1701100481"/>
    <x v="10"/>
    <x v="4"/>
    <n v="2.1266475967675462"/>
    <x v="0"/>
    <s v="BUY"/>
    <n v="8.7300000000000003E-2"/>
    <d v="2025-03-11T20:55:53"/>
    <n v="171.67"/>
    <n v="194.23"/>
    <n v="14.99"/>
    <m/>
    <m/>
    <n v="0"/>
    <n v="0"/>
    <n v="0"/>
    <n v="0"/>
    <n v="1.97"/>
  </r>
  <r>
    <n v="1744929368"/>
    <x v="25"/>
    <x v="0"/>
    <n v="1.3439307137970722"/>
    <x v="0"/>
    <s v="BUY"/>
    <n v="1.9199999999999998E-2"/>
    <d v="2025-04-04T17:52:49"/>
    <n v="324.48"/>
    <n v="362.15"/>
    <n v="6.23"/>
    <m/>
    <m/>
    <n v="0"/>
    <n v="0"/>
    <n v="0"/>
    <n v="0"/>
    <n v="0.72"/>
  </r>
  <r>
    <n v="1825032378"/>
    <x v="26"/>
    <x v="2"/>
    <n v="-8.5364867833855214E-4"/>
    <x v="0"/>
    <s v="BUY"/>
    <n v="0.28939999999999999"/>
    <d v="2025-05-15T18:15:45"/>
    <n v="34.549999999999997"/>
    <n v="35.299999999999997"/>
    <n v="10"/>
    <m/>
    <m/>
    <n v="0"/>
    <n v="0"/>
    <n v="0"/>
    <n v="0"/>
    <n v="0.22"/>
  </r>
  <r>
    <n v="1666457581"/>
    <x v="26"/>
    <x v="2"/>
    <n v="2.7558538979969032"/>
    <x v="0"/>
    <s v="BUY"/>
    <n v="0.52270000000000005"/>
    <d v="2025-02-20T16:21:09"/>
    <n v="38.229999999999997"/>
    <n v="35.299999999999997"/>
    <n v="19.98"/>
    <m/>
    <m/>
    <n v="0"/>
    <n v="0"/>
    <n v="0"/>
    <n v="0"/>
    <n v="-1.53"/>
  </r>
  <r>
    <n v="1648735305"/>
    <x v="2"/>
    <x v="1"/>
    <n v="3.176379958255938"/>
    <x v="0"/>
    <s v="BUY"/>
    <n v="0.45760000000000001"/>
    <d v="2025-02-07T20:31:39"/>
    <n v="21.85"/>
    <n v="17.739999999999998"/>
    <n v="10"/>
    <m/>
    <m/>
    <n v="0"/>
    <n v="0"/>
    <n v="0"/>
    <n v="0"/>
    <n v="-1.88"/>
  </r>
  <r>
    <n v="1811432805"/>
    <x v="11"/>
    <x v="1"/>
    <n v="0.23191683173807506"/>
    <x v="0"/>
    <s v="BUY"/>
    <n v="8.5599999999999996E-2"/>
    <d v="2025-05-08T15:52:28"/>
    <n v="128.46"/>
    <n v="185.82"/>
    <n v="11"/>
    <m/>
    <m/>
    <n v="0"/>
    <n v="0"/>
    <n v="0"/>
    <n v="0"/>
    <n v="4.91"/>
  </r>
  <r>
    <n v="1583696868"/>
    <x v="13"/>
    <x v="3"/>
    <n v="4.7912903506362232"/>
    <x v="0"/>
    <s v="BUY"/>
    <n v="0.5"/>
    <d v="2024-12-20T14:24:47"/>
    <n v="20.645"/>
    <n v="20.324999999999999"/>
    <n v="10.32"/>
    <m/>
    <m/>
    <n v="0"/>
    <n v="0"/>
    <n v="0"/>
    <n v="0"/>
    <n v="-0.16"/>
  </r>
  <r>
    <n v="1666459175"/>
    <x v="0"/>
    <x v="0"/>
    <n v="2.7558440163936258"/>
    <x v="0"/>
    <s v="BUY"/>
    <n v="0.1641"/>
    <d v="2025-02-20T16:21:35"/>
    <n v="17.18"/>
    <n v="21.1"/>
    <n v="2.82"/>
    <m/>
    <m/>
    <n v="0"/>
    <n v="0"/>
    <n v="0"/>
    <n v="0"/>
    <n v="0.64"/>
  </r>
  <r>
    <n v="1599448103"/>
    <x v="5"/>
    <x v="2"/>
    <n v="4.229502569442972"/>
    <x v="0"/>
    <s v="BUY"/>
    <n v="0.28389999999999999"/>
    <d v="2025-01-06T17:38:30"/>
    <n v="52.83"/>
    <n v="57.94"/>
    <n v="15"/>
    <m/>
    <m/>
    <n v="0"/>
    <n v="0"/>
    <n v="0"/>
    <n v="0"/>
    <n v="1.45"/>
  </r>
  <r>
    <n v="1635194724"/>
    <x v="20"/>
    <x v="5"/>
    <n v="3.4387599389051129"/>
    <x v="0"/>
    <s v="BUY"/>
    <n v="0.28749999999999998"/>
    <d v="2025-01-30T20:27:55"/>
    <n v="34.78"/>
    <n v="28.25"/>
    <n v="10"/>
    <m/>
    <m/>
    <n v="0"/>
    <n v="0"/>
    <n v="0"/>
    <n v="0"/>
    <n v="-1.88"/>
  </r>
  <r>
    <n v="1824477589"/>
    <x v="16"/>
    <x v="1"/>
    <n v="2.8710052362437071E-3"/>
    <x v="0"/>
    <s v="BUY"/>
    <n v="0.2344"/>
    <d v="2025-05-15T15:32:09"/>
    <n v="42.66"/>
    <n v="43.4"/>
    <n v="10"/>
    <m/>
    <m/>
    <n v="0"/>
    <n v="0"/>
    <n v="0"/>
    <n v="0"/>
    <n v="0.17"/>
  </r>
  <r>
    <n v="1727574394"/>
    <x v="3"/>
    <x v="2"/>
    <n v="1.6055183181542518"/>
    <x v="0"/>
    <s v="BUY"/>
    <n v="1"/>
    <d v="2025-03-27T18:23:53"/>
    <n v="21.13"/>
    <n v="21.9"/>
    <n v="21.13"/>
    <m/>
    <m/>
    <n v="0"/>
    <n v="0"/>
    <n v="0"/>
    <n v="0"/>
    <n v="0.77"/>
  </r>
  <r>
    <n v="1517514880"/>
    <x v="17"/>
    <x v="4"/>
    <n v="6.3975089537805196"/>
    <x v="0"/>
    <s v="BUY"/>
    <n v="2.3099999999999999E-2"/>
    <d v="2024-11-01T14:39:39"/>
    <n v="409.38"/>
    <n v="452.95"/>
    <n v="9.4600000000000009"/>
    <m/>
    <m/>
    <n v="0"/>
    <n v="0"/>
    <n v="0"/>
    <n v="0"/>
    <n v="1"/>
  </r>
  <r>
    <n v="1599435465"/>
    <x v="4"/>
    <x v="0"/>
    <n v="4.2296308025970131"/>
    <x v="0"/>
    <s v="BUY"/>
    <n v="2.8899999999999999E-2"/>
    <d v="2025-01-06T17:32:52"/>
    <n v="517.70000000000005"/>
    <n v="582.24"/>
    <n v="14.96"/>
    <m/>
    <m/>
    <n v="0"/>
    <n v="0"/>
    <n v="0"/>
    <n v="0"/>
    <n v="1.87"/>
  </r>
  <r>
    <s v="Total"/>
    <x v="27"/>
    <x v="7"/>
    <e v="#VALUE!"/>
    <x v="1"/>
    <s v=""/>
    <s v=""/>
    <s v=""/>
    <s v=""/>
    <s v=""/>
    <s v=""/>
    <s v=""/>
    <s v=""/>
    <s v=""/>
    <n v="0"/>
    <n v="0"/>
    <n v="0"/>
    <n v="64.760000000000005"/>
  </r>
  <r>
    <m/>
    <x v="28"/>
    <x v="8"/>
    <m/>
    <x v="2"/>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7993CC-6789-4782-86D8-ADDBC6EA14CA}"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9:P20" firstHeaderRow="1" firstDataRow="1" firstDataCol="1"/>
  <pivotFields count="12">
    <pivotField showAll="0"/>
    <pivotField axis="axisRow" showAll="0" sortType="descending">
      <items count="15">
        <item h="1" sd="0" x="12"/>
        <item h="1" sd="0" x="1"/>
        <item h="1" sd="0" x="10"/>
        <item h="1" sd="0" x="9"/>
        <item sd="0" x="6"/>
        <item h="1" sd="0" x="4"/>
        <item h="1" sd="0" x="7"/>
        <item h="1" sd="0" x="0"/>
        <item h="1" sd="0" x="2"/>
        <item h="1" sd="0" x="3"/>
        <item h="1" sd="0" x="8"/>
        <item h="1" sd="0" x="5"/>
        <item h="1" sd="0" x="13"/>
        <item h="1" x="11"/>
        <item t="default" sd="0"/>
      </items>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14">
        <item h="1" x="9"/>
        <item h="1" m="1" x="11"/>
        <item h="1" m="1" x="10"/>
        <item x="4"/>
        <item h="1" x="2"/>
        <item h="1" m="1" x="12"/>
        <item x="5"/>
        <item x="8"/>
        <item x="3"/>
        <item x="6"/>
        <item h="1" x="7"/>
        <item x="0"/>
        <item h="1" x="1"/>
        <item t="default"/>
      </items>
    </pivotField>
    <pivotField showAll="0"/>
    <pivotField showAll="0"/>
    <pivotField dataField="1" showAll="0"/>
    <pivotField axis="axisRow" showAll="0">
      <items count="11">
        <item h="1" sd="0" x="5"/>
        <item x="8"/>
        <item h="1" sd="0" x="4"/>
        <item h="1" sd="0" x="3"/>
        <item sd="0" x="1"/>
        <item x="7"/>
        <item h="1" sd="0" x="0"/>
        <item h="1" sd="0" x="2"/>
        <item h="1" sd="0" x="6"/>
        <item h="1" x="9"/>
        <item t="default"/>
      </items>
    </pivotField>
    <pivotField dragToRow="0" dragToCol="0" dragToPage="0" showAll="0" defaultSubtotal="0"/>
    <pivotField axis="axisRow" showAll="0">
      <items count="10">
        <item h="1" sd="0" x="4"/>
        <item x="7"/>
        <item h="1" sd="0" x="3"/>
        <item sd="0" x="1"/>
        <item x="6"/>
        <item h="1" sd="0" x="0"/>
        <item h="1" sd="0" x="2"/>
        <item h="1" sd="0" x="5"/>
        <item h="1" x="8"/>
        <item t="default"/>
      </items>
    </pivotField>
  </pivotFields>
  <rowFields count="4">
    <field x="11"/>
    <field x="9"/>
    <field x="1"/>
    <field x="5"/>
  </rowFields>
  <rowItems count="1">
    <i t="grand">
      <x/>
    </i>
  </rowItems>
  <colItems count="1">
    <i/>
  </colItems>
  <dataFields count="1">
    <dataField name="Value" fld="8" baseField="0" baseItem="0" numFmtId="167"/>
  </dataFields>
  <formats count="3">
    <format dxfId="703">
      <pivotArea outline="0" collapsedLevelsAreSubtotals="1" fieldPosition="0"/>
    </format>
    <format dxfId="702">
      <pivotArea field="1" type="button" dataOnly="0" labelOnly="1" outline="0" axis="axisRow" fieldPosition="2"/>
    </format>
    <format dxfId="701">
      <pivotArea dataOnly="0" labelOnly="1" outline="0" axis="axisValues"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4FD446-CF78-4CD5-AA45-18A741197649}"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osed Positions">
  <location ref="B12:F20" firstHeaderRow="0" firstDataRow="1" firstDataCol="1" rowPageCount="1" colPageCount="1"/>
  <pivotFields count="23">
    <pivotField showAll="0"/>
    <pivotField axis="axisRow" showAll="0">
      <items count="43">
        <item x="40"/>
        <item x="31"/>
        <item x="17"/>
        <item x="22"/>
        <item x="28"/>
        <item x="9"/>
        <item x="13"/>
        <item x="36"/>
        <item x="1"/>
        <item x="39"/>
        <item x="10"/>
        <item x="24"/>
        <item x="15"/>
        <item x="32"/>
        <item x="34"/>
        <item x="16"/>
        <item x="33"/>
        <item x="29"/>
        <item x="27"/>
        <item x="35"/>
        <item x="19"/>
        <item x="14"/>
        <item x="0"/>
        <item x="20"/>
        <item x="5"/>
        <item x="8"/>
        <item x="2"/>
        <item x="3"/>
        <item x="6"/>
        <item x="18"/>
        <item x="11"/>
        <item x="4"/>
        <item x="37"/>
        <item x="26"/>
        <item x="23"/>
        <item x="21"/>
        <item x="38"/>
        <item x="7"/>
        <item x="25"/>
        <item x="12"/>
        <item x="30"/>
        <item x="41"/>
        <item t="default"/>
      </items>
    </pivotField>
    <pivotField axis="axisRow" showAll="0" sortType="descending">
      <items count="12">
        <item h="1" sd="0" m="1" x="10"/>
        <item sd="0" x="6"/>
        <item sd="0" x="3"/>
        <item sd="0" x="7"/>
        <item sd="0" x="5"/>
        <item h="1" sd="0" x="2"/>
        <item sd="0" x="0"/>
        <item h="1" sd="0" m="1" x="9"/>
        <item h="1" sd="0" x="8"/>
        <item sd="0" x="4"/>
        <item h="1" sd="0" x="1"/>
        <item t="default" sd="0"/>
      </items>
      <autoSortScope>
        <pivotArea dataOnly="0" outline="0" fieldPosition="0">
          <references count="1">
            <reference field="4294967294" count="1" selected="0">
              <x v="3"/>
            </reference>
          </references>
        </pivotArea>
      </autoSortScope>
    </pivotField>
    <pivotField dataField="1" showAll="0"/>
    <pivotField axis="axisRow" showAll="0">
      <items count="4">
        <item x="0"/>
        <item sd="0" x="1"/>
        <item sd="0" x="2"/>
        <item t="default" sd="0"/>
      </items>
    </pivotField>
    <pivotField axis="axisPage"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dataField="1" showAll="0"/>
  </pivotFields>
  <rowFields count="3">
    <field x="4"/>
    <field x="2"/>
    <field x="1"/>
  </rowFields>
  <rowItems count="8">
    <i>
      <x/>
    </i>
    <i r="1">
      <x v="4"/>
    </i>
    <i r="1">
      <x v="9"/>
    </i>
    <i r="1">
      <x v="3"/>
    </i>
    <i r="1">
      <x v="6"/>
    </i>
    <i r="1">
      <x v="1"/>
    </i>
    <i r="1">
      <x v="2"/>
    </i>
    <i t="grand">
      <x/>
    </i>
  </rowItems>
  <colFields count="1">
    <field x="-2"/>
  </colFields>
  <colItems count="4">
    <i>
      <x/>
    </i>
    <i i="1">
      <x v="1"/>
    </i>
    <i i="2">
      <x v="2"/>
    </i>
    <i i="3">
      <x v="3"/>
    </i>
  </colItems>
  <pageFields count="1">
    <pageField fld="5" item="0" hier="-1"/>
  </pageFields>
  <dataFields count="4">
    <dataField name="Max of ToM" fld="3" subtotal="max" baseField="2" baseItem="0" numFmtId="4"/>
    <dataField name="Entry Value" fld="14" baseField="2" baseItem="0" numFmtId="44"/>
    <dataField name="Exit Value" fld="15" baseField="2" baseItem="0" numFmtId="44"/>
    <dataField name="Realized Gains" fld="22" baseField="2" baseItem="0" numFmtId="44"/>
  </dataFields>
  <formats count="6">
    <format dxfId="709">
      <pivotArea grandRow="1" outline="0" collapsedLevelsAreSubtotals="1" fieldPosition="0"/>
    </format>
    <format dxfId="708">
      <pivotArea dataOnly="0" labelOnly="1" grandRow="1" outline="0" fieldPosition="0"/>
    </format>
    <format dxfId="707">
      <pivotArea outline="0" fieldPosition="0">
        <references count="1">
          <reference field="4294967294" count="1">
            <x v="0"/>
          </reference>
        </references>
      </pivotArea>
    </format>
    <format dxfId="706">
      <pivotArea field="4" type="button" dataOnly="0" labelOnly="1" outline="0" axis="axisRow" fieldPosition="0"/>
    </format>
    <format dxfId="705">
      <pivotArea dataOnly="0" labelOnly="1" outline="0" fieldPosition="0">
        <references count="1">
          <reference field="4294967294" count="4">
            <x v="0"/>
            <x v="1"/>
            <x v="2"/>
            <x v="3"/>
          </reference>
        </references>
      </pivotArea>
    </format>
    <format dxfId="704">
      <pivotArea field="5" type="button" dataOnly="0" labelOnly="1" outline="0" axis="axisPage"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19640F-0611-4D7A-A3D6-98F9A73FA718}"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pen Positions">
  <location ref="H12:M25" firstHeaderRow="0" firstDataRow="1" firstDataCol="1" rowPageCount="1" colPageCount="1"/>
  <pivotFields count="21">
    <pivotField showAll="0"/>
    <pivotField axis="axisRow" showAll="0" sortType="descending">
      <items count="30">
        <item x="27"/>
        <item x="8"/>
        <item x="13"/>
        <item x="28"/>
        <item x="6"/>
        <item x="3"/>
        <item x="16"/>
        <item x="26"/>
        <item x="11"/>
        <item x="0"/>
        <item x="2"/>
        <item x="18"/>
        <item x="10"/>
        <item x="5"/>
        <item x="20"/>
        <item x="23"/>
        <item x="25"/>
        <item x="17"/>
        <item x="22"/>
        <item x="9"/>
        <item x="14"/>
        <item x="21"/>
        <item x="4"/>
        <item x="7"/>
        <item x="24"/>
        <item x="12"/>
        <item x="19"/>
        <item x="15"/>
        <item x="1"/>
        <item t="default"/>
      </items>
      <autoSortScope>
        <pivotArea dataOnly="0" outline="0" fieldPosition="0">
          <references count="1">
            <reference field="4294967294" count="1" selected="0">
              <x v="1"/>
            </reference>
          </references>
        </pivotArea>
      </autoSortScope>
    </pivotField>
    <pivotField axis="axisRow" showAll="0" sortType="descending">
      <items count="13">
        <item h="1" sd="0" m="1" x="9"/>
        <item sd="0" x="2"/>
        <item x="0"/>
        <item h="1" x="7"/>
        <item sd="0" x="4"/>
        <item h="1" m="1" x="11"/>
        <item h="1" sd="0" x="8"/>
        <item sd="0" x="3"/>
        <item h="1" sd="0" m="1" x="10"/>
        <item h="1" sd="0" x="5"/>
        <item sd="0" x="6"/>
        <item sd="0" x="1"/>
        <item t="default" sd="0"/>
      </items>
      <autoSortScope>
        <pivotArea dataOnly="0" outline="0" fieldPosition="0">
          <references count="1">
            <reference field="4294967294" count="1" selected="0">
              <x v="1"/>
            </reference>
          </references>
        </pivotArea>
      </autoSortScope>
    </pivotField>
    <pivotField dataField="1" showAll="0"/>
    <pivotField axis="axisPage" multipleItemSelectionAllowed="1" showAll="0">
      <items count="4">
        <item h="1" x="1"/>
        <item x="0"/>
        <item h="1"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dragToRow="0" dragToCol="0" dragToPage="0" showAll="0" defaultSubtotal="0"/>
    <pivotField dataField="1" dragToRow="0" dragToCol="0" dragToPage="0" showAll="0" defaultSubtotal="0"/>
    <pivotField dragToRow="0" dragToCol="0" dragToPage="0" showAll="0" defaultSubtotal="0"/>
  </pivotFields>
  <rowFields count="2">
    <field x="2"/>
    <field x="1"/>
  </rowFields>
  <rowItems count="13">
    <i>
      <x v="1"/>
    </i>
    <i>
      <x v="7"/>
    </i>
    <i>
      <x v="11"/>
    </i>
    <i>
      <x v="4"/>
    </i>
    <i>
      <x v="2"/>
    </i>
    <i r="1">
      <x v="9"/>
    </i>
    <i r="1">
      <x v="11"/>
    </i>
    <i r="1">
      <x v="22"/>
    </i>
    <i r="1">
      <x v="27"/>
    </i>
    <i r="1">
      <x v="28"/>
    </i>
    <i r="1">
      <x v="16"/>
    </i>
    <i>
      <x v="10"/>
    </i>
    <i t="grand">
      <x/>
    </i>
  </rowItems>
  <colFields count="1">
    <field x="-2"/>
  </colFields>
  <colItems count="5">
    <i>
      <x/>
    </i>
    <i i="1">
      <x v="1"/>
    </i>
    <i i="2">
      <x v="2"/>
    </i>
    <i i="3">
      <x v="3"/>
    </i>
    <i i="4">
      <x v="4"/>
    </i>
  </colItems>
  <pageFields count="1">
    <pageField fld="4" hier="-1"/>
  </pageFields>
  <dataFields count="5">
    <dataField name="Holding Period (Mon)" fld="3" subtotal="max" baseField="2" baseItem="0" numFmtId="2"/>
    <dataField name="Entry Value USD" fld="10" baseField="2" baseItem="7" numFmtId="44"/>
    <dataField name="Market Value USD" fld="18" baseField="0" baseItem="0" numFmtId="44"/>
    <dataField name="Unrealized Gains" fld="17" baseField="0" baseItem="0" numFmtId="44"/>
    <dataField name="Unrealized Gains %" fld="19" baseField="2" baseItem="0" numFmtId="10"/>
  </dataFields>
  <formats count="16">
    <format dxfId="557">
      <pivotArea outline="0" collapsedLevelsAreSubtotals="1" fieldPosition="0">
        <references count="1">
          <reference field="4294967294" count="1" selected="0">
            <x v="0"/>
          </reference>
        </references>
      </pivotArea>
    </format>
    <format dxfId="558">
      <pivotArea field="2" type="button" dataOnly="0" labelOnly="1" outline="0" axis="axisRow" fieldPosition="0"/>
    </format>
    <format dxfId="559">
      <pivotArea dataOnly="0" labelOnly="1" outline="0" fieldPosition="0">
        <references count="1">
          <reference field="4294967294" count="1">
            <x v="0"/>
          </reference>
        </references>
      </pivotArea>
    </format>
    <format dxfId="560">
      <pivotArea dataOnly="0" labelOnly="1" outline="0" fieldPosition="0">
        <references count="1">
          <reference field="4294967294" count="1">
            <x v="0"/>
          </reference>
        </references>
      </pivotArea>
    </format>
    <format dxfId="561">
      <pivotArea outline="0" collapsedLevelsAreSubtotals="1" fieldPosition="0">
        <references count="1">
          <reference field="4294967294" count="1" selected="0">
            <x v="3"/>
          </reference>
        </references>
      </pivotArea>
    </format>
    <format dxfId="562">
      <pivotArea dataOnly="0" labelOnly="1" outline="0" fieldPosition="0">
        <references count="1">
          <reference field="4294967294" count="1">
            <x v="3"/>
          </reference>
        </references>
      </pivotArea>
    </format>
    <format dxfId="563">
      <pivotArea dataOnly="0" labelOnly="1" outline="0" fieldPosition="0">
        <references count="1">
          <reference field="4294967294" count="1">
            <x v="1"/>
          </reference>
        </references>
      </pivotArea>
    </format>
    <format dxfId="564">
      <pivotArea field="2" type="button" dataOnly="0" labelOnly="1" outline="0" axis="axisRow" fieldPosition="0"/>
    </format>
    <format dxfId="565">
      <pivotArea dataOnly="0" labelOnly="1" outline="0" fieldPosition="0">
        <references count="1">
          <reference field="4294967294" count="3">
            <x v="0"/>
            <x v="1"/>
            <x v="3"/>
          </reference>
        </references>
      </pivotArea>
    </format>
    <format dxfId="566">
      <pivotArea grandRow="1" outline="0" collapsedLevelsAreSubtotals="1" fieldPosition="0"/>
    </format>
    <format dxfId="567">
      <pivotArea dataOnly="0" labelOnly="1" grandRow="1" outline="0" fieldPosition="0"/>
    </format>
    <format dxfId="568">
      <pivotArea outline="0" collapsedLevelsAreSubtotals="1" fieldPosition="0">
        <references count="1">
          <reference field="4294967294" count="1" selected="0">
            <x v="1"/>
          </reference>
        </references>
      </pivotArea>
    </format>
    <format dxfId="569">
      <pivotArea outline="0" collapsedLevelsAreSubtotals="1" fieldPosition="0">
        <references count="1">
          <reference field="4294967294" count="1" selected="0">
            <x v="3"/>
          </reference>
        </references>
      </pivotArea>
    </format>
    <format dxfId="570">
      <pivotArea outline="0" fieldPosition="0">
        <references count="1">
          <reference field="4294967294" count="1">
            <x v="4"/>
          </reference>
        </references>
      </pivotArea>
    </format>
    <format dxfId="571">
      <pivotArea dataOnly="0" labelOnly="1" outline="0" fieldPosition="0">
        <references count="1">
          <reference field="4294967294" count="3">
            <x v="2"/>
            <x v="3"/>
            <x v="4"/>
          </reference>
        </references>
      </pivotArea>
    </format>
    <format dxfId="572">
      <pivotArea field="4" type="button" dataOnly="0" labelOnly="1" outline="0" axis="axisPage"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DC54B6-A3F4-4CE8-A440-26E73C49C58D}"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2:P17" firstHeaderRow="1" firstDataRow="1" firstDataCol="1"/>
  <pivotFields count="12">
    <pivotField showAll="0"/>
    <pivotField axis="axisRow" showAll="0" sortType="descending">
      <items count="15">
        <item h="1" sd="0" x="12"/>
        <item h="1" sd="0" x="1"/>
        <item sd="0" x="10"/>
        <item h="1" sd="0" x="9"/>
        <item h="1" sd="0" x="6"/>
        <item sd="0" x="4"/>
        <item sd="0" x="7"/>
        <item h="1" sd="0" x="0"/>
        <item h="1" sd="0" x="2"/>
        <item h="1" sd="0" x="3"/>
        <item h="1" sd="0" x="8"/>
        <item sd="0" x="5"/>
        <item h="1" sd="0" x="13"/>
        <item h="1" x="11"/>
        <item t="default" sd="0"/>
      </items>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14">
        <item h="1" x="9"/>
        <item h="1" m="1" x="11"/>
        <item h="1" m="1" x="10"/>
        <item x="4"/>
        <item h="1" x="2"/>
        <item h="1" m="1" x="12"/>
        <item x="5"/>
        <item x="8"/>
        <item x="3"/>
        <item x="6"/>
        <item h="1" x="7"/>
        <item x="0"/>
        <item h="1" x="1"/>
        <item t="default"/>
      </items>
    </pivotField>
    <pivotField showAll="0"/>
    <pivotField showAll="0"/>
    <pivotField dataField="1" showAll="0"/>
    <pivotField showAll="0">
      <items count="11">
        <item h="1" sd="0" x="5"/>
        <item x="8"/>
        <item sd="0" x="4"/>
        <item h="1" sd="0" x="3"/>
        <item h="1" sd="0" x="1"/>
        <item x="7"/>
        <item h="1" sd="0" x="0"/>
        <item h="1" sd="0" x="2"/>
        <item h="1" sd="0" x="6"/>
        <item h="1" x="9"/>
        <item t="default"/>
      </items>
    </pivotField>
    <pivotField dragToRow="0" dragToCol="0" dragToPage="0" showAll="0" defaultSubtotal="0"/>
    <pivotField showAll="0">
      <items count="10">
        <item h="1" sd="0" x="4"/>
        <item x="7"/>
        <item h="1" sd="0" x="3"/>
        <item h="1" sd="0" x="1"/>
        <item x="6"/>
        <item h="1" sd="0" x="0"/>
        <item h="1" sd="0" x="2"/>
        <item h="1" sd="0" x="5"/>
        <item h="1" x="8"/>
        <item t="default"/>
      </items>
    </pivotField>
  </pivotFields>
  <rowFields count="2">
    <field x="1"/>
    <field x="5"/>
  </rowFields>
  <rowItems count="5">
    <i>
      <x v="5"/>
    </i>
    <i>
      <x v="2"/>
    </i>
    <i>
      <x v="6"/>
    </i>
    <i>
      <x v="11"/>
    </i>
    <i t="grand">
      <x/>
    </i>
  </rowItems>
  <colItems count="1">
    <i/>
  </colItems>
  <dataFields count="1">
    <dataField name="Value" fld="8" baseField="0" baseItem="0" numFmtId="167"/>
  </dataFields>
  <formats count="3">
    <format dxfId="712">
      <pivotArea outline="0" collapsedLevelsAreSubtotals="1" fieldPosition="0"/>
    </format>
    <format dxfId="711">
      <pivotArea field="1" type="button" dataOnly="0" labelOnly="1" outline="0" axis="axisRow" fieldPosition="0"/>
    </format>
    <format dxfId="710">
      <pivotArea dataOnly="0" labelOnly="1" outline="0" axis="axisValues"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F21718-9288-420E-8669-2D4E20D2B789}"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3:P26" firstHeaderRow="1" firstDataRow="1" firstDataCol="1"/>
  <pivotFields count="12">
    <pivotField showAll="0"/>
    <pivotField axis="axisRow" showAll="0" sortType="descending">
      <items count="15">
        <item h="1" sd="0" x="12"/>
        <item h="1" sd="0" x="1"/>
        <item h="1" sd="0" x="10"/>
        <item h="1" sd="0" x="9"/>
        <item h="1" sd="0" x="6"/>
        <item h="1" sd="0" x="4"/>
        <item h="1" sd="0" x="7"/>
        <item sd="0" x="0"/>
        <item sd="0" x="2"/>
        <item h="1" sd="0" x="3"/>
        <item h="1" sd="0" x="8"/>
        <item h="1" sd="0" x="5"/>
        <item h="1" sd="0" x="13"/>
        <item h="1" x="11"/>
        <item t="default" sd="0"/>
      </items>
      <autoSortScope>
        <pivotArea dataOnly="0" outline="0" fieldPosition="0">
          <references count="1">
            <reference field="4294967294" count="1" selected="0">
              <x v="0"/>
            </reference>
          </references>
        </pivotArea>
      </autoSortScope>
    </pivotField>
    <pivotField showAll="0"/>
    <pivotField showAll="0"/>
    <pivotField axis="axisRow" showAll="0">
      <items count="94">
        <item x="54"/>
        <item x="13"/>
        <item x="16"/>
        <item x="39"/>
        <item x="18"/>
        <item x="43"/>
        <item x="10"/>
        <item x="48"/>
        <item x="38"/>
        <item x="45"/>
        <item x="30"/>
        <item x="25"/>
        <item x="44"/>
        <item x="19"/>
        <item x="41"/>
        <item x="0"/>
        <item x="1"/>
        <item x="12"/>
        <item x="40"/>
        <item x="49"/>
        <item x="7"/>
        <item x="22"/>
        <item x="31"/>
        <item x="24"/>
        <item x="37"/>
        <item x="23"/>
        <item x="50"/>
        <item x="47"/>
        <item x="17"/>
        <item x="8"/>
        <item x="6"/>
        <item x="34"/>
        <item x="46"/>
        <item x="15"/>
        <item x="14"/>
        <item x="2"/>
        <item x="32"/>
        <item x="33"/>
        <item x="42"/>
        <item x="9"/>
        <item x="36"/>
        <item x="28"/>
        <item x="52"/>
        <item x="20"/>
        <item x="26"/>
        <item x="27"/>
        <item x="3"/>
        <item x="51"/>
        <item x="11"/>
        <item x="35"/>
        <item x="29"/>
        <item x="21"/>
        <item x="4"/>
        <item x="53"/>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x="5"/>
        <item t="default"/>
      </items>
    </pivotField>
    <pivotField axis="axisRow" showAll="0">
      <items count="14">
        <item h="1" x="9"/>
        <item h="1" m="1" x="11"/>
        <item h="1" m="1" x="10"/>
        <item x="4"/>
        <item h="1" x="2"/>
        <item h="1" m="1" x="12"/>
        <item x="5"/>
        <item x="8"/>
        <item x="3"/>
        <item x="6"/>
        <item h="1" x="7"/>
        <item x="0"/>
        <item h="1" x="1"/>
        <item t="default"/>
      </items>
    </pivotField>
    <pivotField showAll="0"/>
    <pivotField showAll="0"/>
    <pivotField dataField="1" showAll="0"/>
    <pivotField showAll="0">
      <items count="11">
        <item h="1" sd="0" x="5"/>
        <item x="8"/>
        <item h="1" sd="0" x="4"/>
        <item h="1" sd="0" x="3"/>
        <item h="1" sd="0" x="1"/>
        <item x="7"/>
        <item h="1" sd="0" x="0"/>
        <item h="1" sd="0" x="2"/>
        <item h="1" sd="0" x="6"/>
        <item h="1" x="9"/>
        <item t="default"/>
      </items>
    </pivotField>
    <pivotField dragToRow="0" dragToCol="0" dragToPage="0" showAll="0" defaultSubtotal="0"/>
    <pivotField showAll="0">
      <items count="10">
        <item h="1" sd="0" x="4"/>
        <item x="7"/>
        <item h="1" sd="0" x="3"/>
        <item h="1" sd="0" x="1"/>
        <item x="6"/>
        <item h="1" sd="0" x="0"/>
        <item h="1" sd="0" x="2"/>
        <item h="1" sd="0" x="5"/>
        <item h="1" x="8"/>
        <item t="default"/>
      </items>
    </pivotField>
  </pivotFields>
  <rowFields count="3">
    <field x="1"/>
    <field x="5"/>
    <field x="4"/>
  </rowFields>
  <rowItems count="3">
    <i>
      <x v="8"/>
    </i>
    <i>
      <x v="7"/>
    </i>
    <i t="grand">
      <x/>
    </i>
  </rowItems>
  <colItems count="1">
    <i/>
  </colItems>
  <dataFields count="1">
    <dataField name="Value" fld="8" baseField="0" baseItem="0" numFmtId="167"/>
  </dataFields>
  <formats count="3">
    <format dxfId="715">
      <pivotArea outline="0" collapsedLevelsAreSubtotals="1" fieldPosition="0"/>
    </format>
    <format dxfId="714">
      <pivotArea field="1" type="button" dataOnly="0" labelOnly="1" outline="0" axis="axisRow" fieldPosition="0"/>
    </format>
    <format dxfId="713">
      <pivotArea dataOnly="0" labelOnly="1" outline="0" axis="axisValues"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886A67-2506-45E4-99E9-DAFBA71F6EC3}" name="PivotTable7" cacheId="3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M33:N211" firstHeaderRow="1" firstDataRow="1" firstDataCol="1" rowPageCount="1" colPageCount="1"/>
  <pivotFields count="12">
    <pivotField showAll="0"/>
    <pivotField axis="axisPage" multipleItemSelectionAllowed="1" showAll="0" sortType="descending">
      <items count="15">
        <item h="1" sd="0" x="12"/>
        <item h="1" sd="0" x="1"/>
        <item h="1" sd="0" x="10"/>
        <item h="1" sd="0" x="9"/>
        <item h="1" sd="0" x="6"/>
        <item h="1" sd="0" x="4"/>
        <item h="1" sd="0" x="7"/>
        <item sd="0" x="0"/>
        <item sd="0" x="2"/>
        <item h="1" sd="0" x="3"/>
        <item h="1" sd="0" x="8"/>
        <item h="1" sd="0" x="5"/>
        <item h="1" sd="0" x="13"/>
        <item h="1" x="11"/>
        <item t="default" sd="0"/>
      </items>
      <autoSortScope>
        <pivotArea dataOnly="0" outline="0" fieldPosition="0">
          <references count="1">
            <reference field="4294967294" count="1" selected="0">
              <x v="0"/>
            </reference>
          </references>
        </pivotArea>
      </autoSortScope>
    </pivotField>
    <pivotField axis="axisRow" showAll="0">
      <items count="424">
        <item sd="0" x="421"/>
        <item sd="0" x="114"/>
        <item sd="0" x="115"/>
        <item sd="0" x="116"/>
        <item sd="0" x="117"/>
        <item sd="0" x="118"/>
        <item sd="0" x="119"/>
        <item sd="0" x="120"/>
        <item sd="0" x="121"/>
        <item sd="0" x="122"/>
        <item sd="0" x="123"/>
        <item sd="0" x="124"/>
        <item sd="0" x="125"/>
        <item sd="0" x="126"/>
        <item sd="0" x="127"/>
        <item sd="0" x="128"/>
        <item sd="0" x="130"/>
        <item sd="0" x="129"/>
        <item sd="0" x="131"/>
        <item sd="0" x="132"/>
        <item sd="0" x="133"/>
        <item sd="0" x="134"/>
        <item sd="0" x="136"/>
        <item sd="0" x="135"/>
        <item sd="0" x="137"/>
        <item sd="0" x="138"/>
        <item sd="0" x="139"/>
        <item sd="0" x="140"/>
        <item sd="0" x="141"/>
        <item sd="0" x="142"/>
        <item sd="0" x="143"/>
        <item sd="0" x="144"/>
        <item sd="0" x="145"/>
        <item sd="0" x="146"/>
        <item sd="0" x="147"/>
        <item sd="0" x="148"/>
        <item sd="0" x="149"/>
        <item sd="0" x="150"/>
        <item sd="0" x="151"/>
        <item sd="0" x="152"/>
        <item sd="0" x="153"/>
        <item sd="0" x="154"/>
        <item sd="0" x="155"/>
        <item sd="0" x="157"/>
        <item sd="0" x="156"/>
        <item sd="0" x="158"/>
        <item sd="0" x="159"/>
        <item sd="0" x="160"/>
        <item sd="0" x="161"/>
        <item sd="0" x="162"/>
        <item sd="0" x="163"/>
        <item sd="0" x="165"/>
        <item sd="0" x="164"/>
        <item sd="0" x="166"/>
        <item sd="0" x="168"/>
        <item sd="0" x="167"/>
        <item sd="0" x="169"/>
        <item sd="0" x="170"/>
        <item sd="0" x="173"/>
        <item sd="0" x="172"/>
        <item sd="0" x="171"/>
        <item sd="0" x="174"/>
        <item sd="0" x="175"/>
        <item sd="0" x="176"/>
        <item sd="0" x="178"/>
        <item sd="0" x="179"/>
        <item sd="0" x="177"/>
        <item sd="0" x="180"/>
        <item sd="0" x="181"/>
        <item sd="0" x="182"/>
        <item sd="0" x="183"/>
        <item sd="0" x="185"/>
        <item sd="0" x="184"/>
        <item sd="0" x="186"/>
        <item sd="0" x="187"/>
        <item sd="0" x="188"/>
        <item sd="0" x="189"/>
        <item sd="0" x="190"/>
        <item sd="0" x="191"/>
        <item sd="0" x="7"/>
        <item sd="0" x="9"/>
        <item sd="0" x="8"/>
        <item sd="0" x="10"/>
        <item sd="0" x="11"/>
        <item sd="0" x="13"/>
        <item sd="0" x="12"/>
        <item sd="0" x="14"/>
        <item sd="0" x="16"/>
        <item sd="0" x="17"/>
        <item sd="0" x="19"/>
        <item sd="0" x="20"/>
        <item sd="0" x="21"/>
        <item sd="0" x="192"/>
        <item sd="0" x="194"/>
        <item sd="0" x="195"/>
        <item sd="0" x="193"/>
        <item sd="0" x="197"/>
        <item sd="0" x="196"/>
        <item sd="0" x="198"/>
        <item sd="0" x="200"/>
        <item sd="0" x="199"/>
        <item sd="0" x="201"/>
        <item sd="0" x="202"/>
        <item sd="0" x="203"/>
        <item sd="0" x="204"/>
        <item sd="0" x="205"/>
        <item sd="0" x="206"/>
        <item sd="0" x="207"/>
        <item sd="0" x="208"/>
        <item sd="0" x="209"/>
        <item sd="0" x="210"/>
        <item sd="0" x="211"/>
        <item sd="0" x="212"/>
        <item sd="0" x="213"/>
        <item sd="0" x="214"/>
        <item sd="0" x="215"/>
        <item sd="0" x="216"/>
        <item sd="0" x="217"/>
        <item sd="0" x="218"/>
        <item sd="0" x="22"/>
        <item sd="0" x="23"/>
        <item sd="0" x="24"/>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3"/>
        <item sd="0" x="242"/>
        <item sd="0" x="245"/>
        <item sd="0" x="246"/>
        <item sd="0" x="248"/>
        <item sd="0" x="244"/>
        <item sd="0" x="247"/>
        <item sd="0" x="249"/>
        <item sd="0" x="250"/>
        <item sd="0" x="251"/>
        <item sd="0" x="252"/>
        <item sd="0" x="253"/>
        <item sd="0" x="254"/>
        <item sd="0" x="255"/>
        <item sd="0" x="256"/>
        <item sd="0" x="257"/>
        <item sd="0" x="258"/>
        <item sd="0" x="259"/>
        <item sd="0" x="260"/>
        <item sd="0" x="261"/>
        <item sd="0" x="262"/>
        <item sd="0" x="263"/>
        <item sd="0" x="264"/>
        <item sd="0" x="265"/>
        <item sd="0" x="267"/>
        <item sd="0" x="266"/>
        <item sd="0" x="268"/>
        <item sd="0" x="269"/>
        <item sd="0" x="270"/>
        <item sd="0" x="271"/>
        <item sd="0" x="272"/>
        <item sd="0" x="273"/>
        <item sd="0" x="274"/>
        <item sd="0" x="275"/>
        <item sd="0" x="276"/>
        <item sd="0" x="277"/>
        <item sd="0" x="278"/>
        <item sd="0" x="279"/>
        <item sd="0" x="280"/>
        <item sd="0" x="281"/>
        <item sd="0" x="282"/>
        <item sd="0" x="283"/>
        <item sd="0" x="284"/>
        <item sd="0" x="285"/>
        <item sd="0" x="286"/>
        <item sd="0" x="288"/>
        <item sd="0" x="289"/>
        <item sd="0" x="287"/>
        <item sd="0" x="290"/>
        <item sd="0" x="291"/>
        <item sd="0" x="292"/>
        <item sd="0" x="293"/>
        <item sd="0" x="294"/>
        <item sd="0" x="296"/>
        <item sd="0" x="295"/>
        <item sd="0" x="297"/>
        <item sd="0" x="298"/>
        <item sd="0" x="299"/>
        <item sd="0" x="300"/>
        <item sd="0" x="301"/>
        <item sd="0" x="302"/>
        <item sd="0" x="303"/>
        <item sd="0" x="304"/>
        <item sd="0" x="305"/>
        <item sd="0" x="306"/>
        <item sd="0" x="307"/>
        <item sd="0" x="308"/>
        <item sd="0" x="309"/>
        <item sd="0" x="310"/>
        <item sd="0" x="311"/>
        <item sd="0" x="313"/>
        <item sd="0" x="312"/>
        <item sd="0" x="314"/>
        <item sd="0" x="316"/>
        <item sd="0" x="315"/>
        <item sd="0" x="317"/>
        <item sd="0" x="318"/>
        <item sd="0" x="319"/>
        <item sd="0" x="320"/>
        <item sd="0" x="321"/>
        <item sd="0" x="322"/>
        <item sd="0" x="323"/>
        <item sd="0" x="26"/>
        <item sd="0" x="28"/>
        <item sd="0" x="29"/>
        <item sd="0" x="31"/>
        <item sd="0" x="324"/>
        <item sd="0" x="325"/>
        <item sd="0" x="326"/>
        <item sd="0" x="327"/>
        <item sd="0" x="328"/>
        <item sd="0" x="330"/>
        <item sd="0" x="329"/>
        <item sd="0" x="331"/>
        <item sd="0" x="332"/>
        <item sd="0" x="335"/>
        <item sd="0" x="333"/>
        <item sd="0" x="336"/>
        <item sd="0" x="334"/>
        <item sd="0" x="337"/>
        <item sd="0" x="338"/>
        <item sd="0" x="339"/>
        <item sd="0" x="340"/>
        <item sd="0" x="341"/>
        <item sd="0" x="342"/>
        <item sd="0" x="343"/>
        <item sd="0" x="344"/>
        <item sd="0" x="345"/>
        <item sd="0" x="346"/>
        <item sd="0" x="347"/>
        <item sd="0" x="348"/>
        <item sd="0" x="349"/>
        <item sd="0" x="350"/>
        <item sd="0" x="352"/>
        <item sd="0" x="351"/>
        <item sd="0" x="353"/>
        <item sd="0" x="41"/>
        <item sd="0" x="81"/>
        <item sd="0" x="90"/>
        <item sd="0" x="354"/>
        <item sd="0" x="355"/>
        <item sd="0" x="356"/>
        <item sd="0" x="357"/>
        <item sd="0" x="358"/>
        <item sd="0" x="359"/>
        <item sd="0" x="360"/>
        <item sd="0" x="361"/>
        <item sd="0" x="362"/>
        <item sd="0" x="363"/>
        <item sd="0" x="364"/>
        <item sd="0" x="366"/>
        <item sd="0" x="365"/>
        <item sd="0" x="367"/>
        <item sd="0" x="368"/>
        <item sd="0" x="369"/>
        <item sd="0" x="370"/>
        <item sd="0" x="371"/>
        <item sd="0" x="372"/>
        <item sd="0" x="373"/>
        <item sd="0" x="374"/>
        <item sd="0" x="375"/>
        <item sd="0" x="376"/>
        <item sd="0" x="377"/>
        <item sd="0" x="378"/>
        <item sd="0" x="379"/>
        <item sd="0" x="380"/>
        <item sd="0" x="381"/>
        <item sd="0" x="382"/>
        <item sd="0" x="384"/>
        <item sd="0" x="383"/>
        <item sd="0" x="385"/>
        <item sd="0" x="386"/>
        <item sd="0" x="387"/>
        <item sd="0" x="388"/>
        <item sd="0" x="389"/>
        <item sd="0" x="392"/>
        <item sd="0" x="390"/>
        <item sd="0" x="393"/>
        <item sd="0" x="391"/>
        <item sd="0" x="394"/>
        <item sd="0" x="30"/>
        <item sd="0" x="32"/>
        <item sd="0" x="35"/>
        <item sd="0" x="33"/>
        <item sd="0" x="56"/>
        <item sd="0" x="1"/>
        <item sd="0" x="2"/>
        <item sd="0" x="3"/>
        <item sd="0" x="4"/>
        <item sd="0" x="5"/>
        <item sd="0" x="6"/>
        <item sd="0" x="77"/>
        <item sd="0" x="78"/>
        <item sd="0" x="79"/>
        <item sd="0" x="27"/>
        <item sd="0" x="34"/>
        <item sd="0" x="37"/>
        <item sd="0" x="36"/>
        <item sd="0" x="40"/>
        <item sd="0" x="49"/>
        <item sd="0" x="18"/>
        <item sd="0" x="25"/>
        <item sd="0" x="52"/>
        <item sd="0" x="53"/>
        <item sd="0" x="54"/>
        <item sd="0" x="55"/>
        <item sd="0" x="57"/>
        <item sd="0" x="58"/>
        <item sd="0" x="59"/>
        <item sd="0" x="60"/>
        <item sd="0" x="61"/>
        <item sd="0" x="65"/>
        <item sd="0" x="66"/>
        <item sd="0" x="67"/>
        <item sd="0" x="62"/>
        <item sd="0" x="63"/>
        <item sd="0" x="64"/>
        <item sd="0" x="68"/>
        <item sd="0" x="71"/>
        <item sd="0" x="69"/>
        <item sd="0" x="70"/>
        <item sd="0" x="72"/>
        <item sd="0" x="73"/>
        <item sd="0" x="74"/>
        <item sd="0" x="75"/>
        <item sd="0" x="76"/>
        <item sd="0" x="80"/>
        <item sd="0" x="82"/>
        <item sd="0" x="83"/>
        <item sd="0" x="84"/>
        <item sd="0" x="87"/>
        <item sd="0" x="89"/>
        <item sd="0" x="88"/>
        <item sd="0" x="85"/>
        <item sd="0" x="86"/>
        <item sd="0" x="91"/>
        <item sd="0" x="92"/>
        <item sd="0" x="93"/>
        <item sd="0" x="94"/>
        <item sd="0" x="95"/>
        <item sd="0" x="96"/>
        <item sd="0" x="97"/>
        <item sd="0" x="98"/>
        <item sd="0" x="99"/>
        <item sd="0" x="101"/>
        <item sd="0" x="100"/>
        <item sd="0" x="102"/>
        <item sd="0" x="103"/>
        <item sd="0" x="104"/>
        <item sd="0" x="105"/>
        <item sd="0" x="106"/>
        <item sd="0" x="107"/>
        <item sd="0" x="108"/>
        <item sd="0" x="109"/>
        <item sd="0" x="110"/>
        <item sd="0" x="111"/>
        <item sd="0" x="112"/>
        <item sd="0" x="113"/>
        <item sd="0" x="395"/>
        <item sd="0" x="396"/>
        <item sd="0" x="397"/>
        <item sd="0" x="398"/>
        <item sd="0" x="399"/>
        <item sd="0" x="422"/>
        <item x="400"/>
        <item x="401"/>
        <item x="402"/>
        <item x="403"/>
        <item x="404"/>
        <item x="405"/>
        <item x="406"/>
        <item x="407"/>
        <item x="408"/>
        <item x="409"/>
        <item x="410"/>
        <item x="411"/>
        <item x="412"/>
        <item x="0"/>
        <item x="15"/>
        <item x="38"/>
        <item x="39"/>
        <item x="413"/>
        <item x="414"/>
        <item x="415"/>
        <item x="416"/>
        <item x="417"/>
        <item x="418"/>
        <item x="419"/>
        <item x="420"/>
        <item x="42"/>
        <item x="43"/>
        <item x="44"/>
        <item x="45"/>
        <item x="46"/>
        <item x="47"/>
        <item x="48"/>
        <item x="50"/>
        <item x="51"/>
        <item t="default" sd="0"/>
      </items>
    </pivotField>
    <pivotField showAll="0"/>
    <pivotField showAll="0"/>
    <pivotField showAll="0">
      <items count="14">
        <item h="1" m="1" x="11"/>
        <item x="8"/>
        <item x="6"/>
        <item h="1" m="1" x="12"/>
        <item x="0"/>
        <item x="5"/>
        <item x="3"/>
        <item h="1" x="7"/>
        <item h="1" x="1"/>
        <item h="1" x="2"/>
        <item x="4"/>
        <item h="1" m="1" x="10"/>
        <item h="1" x="9"/>
        <item t="default"/>
      </items>
    </pivotField>
    <pivotField showAll="0"/>
    <pivotField showAll="0"/>
    <pivotField dataField="1" showAll="0"/>
    <pivotField showAll="0">
      <items count="11">
        <item h="1" sd="0" x="5"/>
        <item x="8"/>
        <item h="1" sd="0" x="4"/>
        <item h="1" sd="0" x="3"/>
        <item h="1" sd="0" x="1"/>
        <item x="7"/>
        <item h="1" sd="0" x="0"/>
        <item h="1" sd="0" x="2"/>
        <item h="1" sd="0" x="6"/>
        <item h="1" x="9"/>
        <item t="default"/>
      </items>
    </pivotField>
    <pivotField dragToRow="0" dragToCol="0" dragToPage="0" showAll="0" defaultSubtotal="0"/>
    <pivotField showAll="0">
      <items count="10">
        <item h="1" sd="0" x="4"/>
        <item x="7"/>
        <item h="1" sd="0" x="3"/>
        <item h="1" sd="0" x="1"/>
        <item x="6"/>
        <item h="1" sd="0" x="0"/>
        <item h="1" sd="0" x="2"/>
        <item h="1" sd="0" x="5"/>
        <item h="1" x="8"/>
        <item t="default"/>
      </items>
    </pivotField>
  </pivotFields>
  <rowFields count="1">
    <field x="2"/>
  </rowFields>
  <rowItems count="178">
    <i>
      <x v="3"/>
    </i>
    <i>
      <x v="4"/>
    </i>
    <i>
      <x v="6"/>
    </i>
    <i>
      <x v="7"/>
    </i>
    <i>
      <x v="10"/>
    </i>
    <i>
      <x v="12"/>
    </i>
    <i>
      <x v="15"/>
    </i>
    <i>
      <x v="17"/>
    </i>
    <i>
      <x v="20"/>
    </i>
    <i>
      <x v="22"/>
    </i>
    <i>
      <x v="26"/>
    </i>
    <i>
      <x v="33"/>
    </i>
    <i>
      <x v="34"/>
    </i>
    <i>
      <x v="35"/>
    </i>
    <i>
      <x v="36"/>
    </i>
    <i>
      <x v="37"/>
    </i>
    <i>
      <x v="39"/>
    </i>
    <i>
      <x v="40"/>
    </i>
    <i>
      <x v="41"/>
    </i>
    <i>
      <x v="43"/>
    </i>
    <i>
      <x v="44"/>
    </i>
    <i>
      <x v="45"/>
    </i>
    <i>
      <x v="46"/>
    </i>
    <i>
      <x v="47"/>
    </i>
    <i>
      <x v="53"/>
    </i>
    <i>
      <x v="55"/>
    </i>
    <i>
      <x v="56"/>
    </i>
    <i>
      <x v="57"/>
    </i>
    <i>
      <x v="58"/>
    </i>
    <i>
      <x v="59"/>
    </i>
    <i>
      <x v="60"/>
    </i>
    <i>
      <x v="66"/>
    </i>
    <i>
      <x v="67"/>
    </i>
    <i>
      <x v="73"/>
    </i>
    <i>
      <x v="74"/>
    </i>
    <i>
      <x v="75"/>
    </i>
    <i>
      <x v="93"/>
    </i>
    <i>
      <x v="94"/>
    </i>
    <i>
      <x v="97"/>
    </i>
    <i>
      <x v="100"/>
    </i>
    <i>
      <x v="102"/>
    </i>
    <i>
      <x v="105"/>
    </i>
    <i>
      <x v="106"/>
    </i>
    <i>
      <x v="109"/>
    </i>
    <i>
      <x v="112"/>
    </i>
    <i>
      <x v="114"/>
    </i>
    <i>
      <x v="116"/>
    </i>
    <i>
      <x v="117"/>
    </i>
    <i>
      <x v="118"/>
    </i>
    <i>
      <x v="123"/>
    </i>
    <i>
      <x v="124"/>
    </i>
    <i>
      <x v="129"/>
    </i>
    <i>
      <x v="130"/>
    </i>
    <i>
      <x v="135"/>
    </i>
    <i>
      <x v="136"/>
    </i>
    <i>
      <x v="138"/>
    </i>
    <i>
      <x v="139"/>
    </i>
    <i>
      <x v="142"/>
    </i>
    <i>
      <x v="154"/>
    </i>
    <i>
      <x v="155"/>
    </i>
    <i>
      <x v="156"/>
    </i>
    <i>
      <x v="159"/>
    </i>
    <i>
      <x v="162"/>
    </i>
    <i>
      <x v="176"/>
    </i>
    <i>
      <x v="179"/>
    </i>
    <i>
      <x v="186"/>
    </i>
    <i>
      <x v="190"/>
    </i>
    <i>
      <x v="191"/>
    </i>
    <i>
      <x v="192"/>
    </i>
    <i>
      <x v="197"/>
    </i>
    <i>
      <x v="198"/>
    </i>
    <i>
      <x v="199"/>
    </i>
    <i>
      <x v="200"/>
    </i>
    <i>
      <x v="203"/>
    </i>
    <i>
      <x v="205"/>
    </i>
    <i>
      <x v="215"/>
    </i>
    <i>
      <x v="216"/>
    </i>
    <i>
      <x v="217"/>
    </i>
    <i>
      <x v="218"/>
    </i>
    <i>
      <x v="219"/>
    </i>
    <i>
      <x v="220"/>
    </i>
    <i>
      <x v="231"/>
    </i>
    <i>
      <x v="236"/>
    </i>
    <i>
      <x v="237"/>
    </i>
    <i>
      <x v="239"/>
    </i>
    <i>
      <x v="240"/>
    </i>
    <i>
      <x v="241"/>
    </i>
    <i>
      <x v="242"/>
    </i>
    <i>
      <x v="243"/>
    </i>
    <i>
      <x v="244"/>
    </i>
    <i>
      <x v="245"/>
    </i>
    <i>
      <x v="253"/>
    </i>
    <i>
      <x v="254"/>
    </i>
    <i>
      <x v="257"/>
    </i>
    <i>
      <x v="258"/>
    </i>
    <i>
      <x v="259"/>
    </i>
    <i>
      <x v="261"/>
    </i>
    <i>
      <x v="264"/>
    </i>
    <i>
      <x v="265"/>
    </i>
    <i>
      <x v="266"/>
    </i>
    <i>
      <x v="267"/>
    </i>
    <i>
      <x v="269"/>
    </i>
    <i>
      <x v="270"/>
    </i>
    <i>
      <x v="273"/>
    </i>
    <i>
      <x v="274"/>
    </i>
    <i>
      <x v="275"/>
    </i>
    <i>
      <x v="276"/>
    </i>
    <i>
      <x v="277"/>
    </i>
    <i>
      <x v="280"/>
    </i>
    <i>
      <x v="281"/>
    </i>
    <i>
      <x v="282"/>
    </i>
    <i>
      <x v="283"/>
    </i>
    <i>
      <x v="284"/>
    </i>
    <i>
      <x v="286"/>
    </i>
    <i>
      <x v="293"/>
    </i>
    <i>
      <x v="294"/>
    </i>
    <i>
      <x v="295"/>
    </i>
    <i>
      <x v="296"/>
    </i>
    <i>
      <x v="298"/>
    </i>
    <i>
      <x v="299"/>
    </i>
    <i>
      <x v="300"/>
    </i>
    <i>
      <x v="301"/>
    </i>
    <i>
      <x v="302"/>
    </i>
    <i>
      <x v="303"/>
    </i>
    <i>
      <x v="306"/>
    </i>
    <i>
      <x v="307"/>
    </i>
    <i>
      <x v="308"/>
    </i>
    <i>
      <x v="316"/>
    </i>
    <i>
      <x v="317"/>
    </i>
    <i>
      <x v="318"/>
    </i>
    <i>
      <x v="327"/>
    </i>
    <i>
      <x v="328"/>
    </i>
    <i>
      <x v="331"/>
    </i>
    <i>
      <x v="333"/>
    </i>
    <i>
      <x v="336"/>
    </i>
    <i>
      <x v="338"/>
    </i>
    <i>
      <x v="339"/>
    </i>
    <i>
      <x v="340"/>
    </i>
    <i>
      <x v="341"/>
    </i>
    <i>
      <x v="342"/>
    </i>
    <i>
      <x v="346"/>
    </i>
    <i>
      <x v="353"/>
    </i>
    <i>
      <x v="355"/>
    </i>
    <i>
      <x v="356"/>
    </i>
    <i>
      <x v="357"/>
    </i>
    <i>
      <x v="358"/>
    </i>
    <i>
      <x v="359"/>
    </i>
    <i>
      <x v="360"/>
    </i>
    <i>
      <x v="361"/>
    </i>
    <i>
      <x v="364"/>
    </i>
    <i>
      <x v="365"/>
    </i>
    <i>
      <x v="375"/>
    </i>
    <i>
      <x v="376"/>
    </i>
    <i>
      <x v="377"/>
    </i>
    <i>
      <x v="385"/>
    </i>
    <i>
      <x v="386"/>
    </i>
    <i>
      <x v="389"/>
    </i>
    <i>
      <x v="390"/>
    </i>
    <i>
      <x v="391"/>
    </i>
    <i>
      <x v="392"/>
    </i>
    <i>
      <x v="393"/>
    </i>
    <i>
      <x v="394"/>
    </i>
    <i>
      <x v="396"/>
    </i>
    <i>
      <x v="397"/>
    </i>
    <i>
      <x v="398"/>
    </i>
    <i>
      <x v="399"/>
    </i>
    <i>
      <x v="400"/>
    </i>
    <i>
      <x v="401"/>
    </i>
    <i>
      <x v="402"/>
    </i>
    <i>
      <x v="403"/>
    </i>
    <i>
      <x v="404"/>
    </i>
    <i>
      <x v="414"/>
    </i>
    <i>
      <x v="415"/>
    </i>
    <i>
      <x v="416"/>
    </i>
    <i>
      <x v="417"/>
    </i>
    <i>
      <x v="418"/>
    </i>
    <i>
      <x v="419"/>
    </i>
    <i>
      <x v="422"/>
    </i>
  </rowItems>
  <colItems count="1">
    <i/>
  </colItems>
  <pageFields count="1">
    <pageField fld="1" hier="-1"/>
  </pageFields>
  <dataFields count="1">
    <dataField name="Value" fld="8" baseField="0" baseItem="0" numFmtId="167"/>
  </dataFields>
  <formats count="3">
    <format dxfId="718">
      <pivotArea outline="0" collapsedLevelsAreSubtotals="1" fieldPosition="0"/>
    </format>
    <format dxfId="717">
      <pivotArea field="1" type="button" dataOnly="0" labelOnly="1" outline="0" axis="axisPage" fieldPosition="0"/>
    </format>
    <format dxfId="716">
      <pivotArea dataOnly="0" labelOnly="1" outline="0" axis="axisValues"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CEDC16-7A09-4E07-82A7-421605C11E88}" name="PivotTable8" cacheId="3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33:R33" firstHeaderRow="1" firstDataRow="1" firstDataCol="1" rowPageCount="1" colPageCount="1"/>
  <pivotFields count="12">
    <pivotField showAll="0"/>
    <pivotField axis="axisPage" multipleItemSelectionAllowed="1" showAll="0" sortType="descending">
      <items count="15">
        <item h="1" sd="0" x="12"/>
        <item h="1" sd="0" x="1"/>
        <item h="1" sd="0" x="10"/>
        <item h="1" sd="0" x="9"/>
        <item sd="0" x="6"/>
        <item h="1" sd="0" x="4"/>
        <item h="1" sd="0" x="7"/>
        <item h="1" sd="0" x="0"/>
        <item h="1" sd="0" x="2"/>
        <item h="1" sd="0" x="3"/>
        <item h="1" sd="0" x="8"/>
        <item h="1" sd="0" x="5"/>
        <item h="1" sd="0" x="13"/>
        <item h="1" x="11"/>
        <item t="default" sd="0"/>
      </items>
      <autoSortScope>
        <pivotArea dataOnly="0" outline="0" fieldPosition="0">
          <references count="1">
            <reference field="4294967294" count="1" selected="0">
              <x v="0"/>
            </reference>
          </references>
        </pivotArea>
      </autoSortScope>
    </pivotField>
    <pivotField axis="axisRow" showAll="0">
      <items count="424">
        <item sd="0" x="421"/>
        <item sd="0" x="114"/>
        <item sd="0" x="115"/>
        <item sd="0" x="116"/>
        <item sd="0" x="117"/>
        <item sd="0" x="118"/>
        <item sd="0" x="119"/>
        <item sd="0" x="120"/>
        <item sd="0" x="121"/>
        <item sd="0" x="122"/>
        <item sd="0" x="123"/>
        <item sd="0" x="124"/>
        <item sd="0" x="125"/>
        <item sd="0" x="126"/>
        <item sd="0" x="127"/>
        <item sd="0" x="128"/>
        <item sd="0" x="130"/>
        <item sd="0" x="129"/>
        <item sd="0" x="131"/>
        <item sd="0" x="132"/>
        <item sd="0" x="133"/>
        <item sd="0" x="134"/>
        <item sd="0" x="136"/>
        <item sd="0" x="135"/>
        <item sd="0" x="137"/>
        <item sd="0" x="138"/>
        <item sd="0" x="139"/>
        <item sd="0" x="140"/>
        <item sd="0" x="141"/>
        <item sd="0" x="142"/>
        <item sd="0" x="143"/>
        <item sd="0" x="144"/>
        <item sd="0" x="145"/>
        <item sd="0" x="146"/>
        <item sd="0" x="147"/>
        <item sd="0" x="148"/>
        <item sd="0" x="149"/>
        <item sd="0" x="150"/>
        <item sd="0" x="151"/>
        <item sd="0" x="152"/>
        <item sd="0" x="153"/>
        <item sd="0" x="154"/>
        <item sd="0" x="155"/>
        <item sd="0" x="157"/>
        <item sd="0" x="156"/>
        <item sd="0" x="158"/>
        <item sd="0" x="159"/>
        <item sd="0" x="160"/>
        <item sd="0" x="161"/>
        <item sd="0" x="162"/>
        <item sd="0" x="163"/>
        <item sd="0" x="165"/>
        <item sd="0" x="164"/>
        <item sd="0" x="166"/>
        <item sd="0" x="168"/>
        <item sd="0" x="167"/>
        <item sd="0" x="169"/>
        <item sd="0" x="170"/>
        <item sd="0" x="173"/>
        <item sd="0" x="172"/>
        <item sd="0" x="171"/>
        <item sd="0" x="174"/>
        <item sd="0" x="175"/>
        <item sd="0" x="176"/>
        <item sd="0" x="178"/>
        <item sd="0" x="179"/>
        <item sd="0" x="177"/>
        <item sd="0" x="180"/>
        <item sd="0" x="181"/>
        <item sd="0" x="182"/>
        <item sd="0" x="183"/>
        <item sd="0" x="185"/>
        <item sd="0" x="184"/>
        <item sd="0" x="186"/>
        <item sd="0" x="187"/>
        <item sd="0" x="188"/>
        <item sd="0" x="189"/>
        <item sd="0" x="190"/>
        <item sd="0" x="191"/>
        <item sd="0" x="7"/>
        <item sd="0" x="9"/>
        <item sd="0" x="8"/>
        <item sd="0" x="10"/>
        <item sd="0" x="11"/>
        <item sd="0" x="13"/>
        <item sd="0" x="12"/>
        <item sd="0" x="14"/>
        <item sd="0" x="16"/>
        <item sd="0" x="17"/>
        <item sd="0" x="19"/>
        <item sd="0" x="20"/>
        <item sd="0" x="21"/>
        <item sd="0" x="192"/>
        <item sd="0" x="194"/>
        <item sd="0" x="195"/>
        <item sd="0" x="193"/>
        <item sd="0" x="197"/>
        <item sd="0" x="196"/>
        <item sd="0" x="198"/>
        <item sd="0" x="200"/>
        <item sd="0" x="199"/>
        <item sd="0" x="201"/>
        <item sd="0" x="202"/>
        <item sd="0" x="203"/>
        <item sd="0" x="204"/>
        <item sd="0" x="205"/>
        <item sd="0" x="206"/>
        <item sd="0" x="207"/>
        <item sd="0" x="208"/>
        <item sd="0" x="209"/>
        <item sd="0" x="210"/>
        <item sd="0" x="211"/>
        <item sd="0" x="212"/>
        <item sd="0" x="213"/>
        <item sd="0" x="214"/>
        <item sd="0" x="215"/>
        <item sd="0" x="216"/>
        <item sd="0" x="217"/>
        <item sd="0" x="218"/>
        <item sd="0" x="22"/>
        <item sd="0" x="23"/>
        <item sd="0" x="24"/>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3"/>
        <item sd="0" x="242"/>
        <item sd="0" x="245"/>
        <item sd="0" x="246"/>
        <item sd="0" x="248"/>
        <item sd="0" x="244"/>
        <item sd="0" x="247"/>
        <item sd="0" x="249"/>
        <item sd="0" x="250"/>
        <item sd="0" x="251"/>
        <item sd="0" x="252"/>
        <item sd="0" x="253"/>
        <item sd="0" x="254"/>
        <item sd="0" x="255"/>
        <item sd="0" x="256"/>
        <item sd="0" x="257"/>
        <item sd="0" x="258"/>
        <item sd="0" x="259"/>
        <item sd="0" x="260"/>
        <item sd="0" x="261"/>
        <item sd="0" x="262"/>
        <item sd="0" x="263"/>
        <item sd="0" x="264"/>
        <item sd="0" x="265"/>
        <item sd="0" x="267"/>
        <item sd="0" x="266"/>
        <item sd="0" x="268"/>
        <item sd="0" x="269"/>
        <item sd="0" x="270"/>
        <item sd="0" x="271"/>
        <item sd="0" x="272"/>
        <item sd="0" x="273"/>
        <item sd="0" x="274"/>
        <item sd="0" x="275"/>
        <item sd="0" x="276"/>
        <item sd="0" x="277"/>
        <item sd="0" x="278"/>
        <item sd="0" x="279"/>
        <item sd="0" x="280"/>
        <item sd="0" x="281"/>
        <item sd="0" x="282"/>
        <item sd="0" x="283"/>
        <item sd="0" x="284"/>
        <item sd="0" x="285"/>
        <item sd="0" x="286"/>
        <item sd="0" x="288"/>
        <item sd="0" x="289"/>
        <item sd="0" x="287"/>
        <item sd="0" x="290"/>
        <item sd="0" x="291"/>
        <item sd="0" x="292"/>
        <item sd="0" x="293"/>
        <item sd="0" x="294"/>
        <item sd="0" x="296"/>
        <item sd="0" x="295"/>
        <item sd="0" x="297"/>
        <item sd="0" x="298"/>
        <item sd="0" x="299"/>
        <item sd="0" x="300"/>
        <item sd="0" x="301"/>
        <item sd="0" x="302"/>
        <item sd="0" x="303"/>
        <item sd="0" x="304"/>
        <item sd="0" x="305"/>
        <item sd="0" x="306"/>
        <item sd="0" x="307"/>
        <item sd="0" x="308"/>
        <item sd="0" x="309"/>
        <item sd="0" x="310"/>
        <item sd="0" x="311"/>
        <item sd="0" x="313"/>
        <item sd="0" x="312"/>
        <item sd="0" x="314"/>
        <item sd="0" x="316"/>
        <item sd="0" x="315"/>
        <item sd="0" x="317"/>
        <item sd="0" x="318"/>
        <item sd="0" x="319"/>
        <item sd="0" x="320"/>
        <item sd="0" x="321"/>
        <item sd="0" x="322"/>
        <item sd="0" x="323"/>
        <item sd="0" x="26"/>
        <item sd="0" x="28"/>
        <item sd="0" x="29"/>
        <item sd="0" x="31"/>
        <item sd="0" x="324"/>
        <item sd="0" x="325"/>
        <item sd="0" x="326"/>
        <item sd="0" x="327"/>
        <item sd="0" x="328"/>
        <item sd="0" x="330"/>
        <item sd="0" x="329"/>
        <item sd="0" x="331"/>
        <item sd="0" x="332"/>
        <item sd="0" x="335"/>
        <item sd="0" x="333"/>
        <item sd="0" x="336"/>
        <item sd="0" x="334"/>
        <item sd="0" x="337"/>
        <item sd="0" x="338"/>
        <item sd="0" x="339"/>
        <item sd="0" x="340"/>
        <item sd="0" x="341"/>
        <item sd="0" x="342"/>
        <item sd="0" x="343"/>
        <item sd="0" x="344"/>
        <item sd="0" x="345"/>
        <item sd="0" x="346"/>
        <item sd="0" x="347"/>
        <item sd="0" x="348"/>
        <item sd="0" x="349"/>
        <item sd="0" x="350"/>
        <item sd="0" x="352"/>
        <item sd="0" x="351"/>
        <item sd="0" x="353"/>
        <item sd="0" x="41"/>
        <item sd="0" x="81"/>
        <item sd="0" x="90"/>
        <item sd="0" x="354"/>
        <item sd="0" x="355"/>
        <item sd="0" x="356"/>
        <item sd="0" x="357"/>
        <item sd="0" x="358"/>
        <item sd="0" x="359"/>
        <item sd="0" x="360"/>
        <item sd="0" x="361"/>
        <item sd="0" x="362"/>
        <item sd="0" x="363"/>
        <item sd="0" x="364"/>
        <item sd="0" x="366"/>
        <item sd="0" x="365"/>
        <item sd="0" x="367"/>
        <item sd="0" x="368"/>
        <item sd="0" x="369"/>
        <item sd="0" x="370"/>
        <item sd="0" x="371"/>
        <item sd="0" x="372"/>
        <item sd="0" x="373"/>
        <item sd="0" x="374"/>
        <item sd="0" x="375"/>
        <item sd="0" x="376"/>
        <item sd="0" x="377"/>
        <item sd="0" x="378"/>
        <item sd="0" x="379"/>
        <item sd="0" x="380"/>
        <item sd="0" x="381"/>
        <item sd="0" x="382"/>
        <item sd="0" x="384"/>
        <item sd="0" x="383"/>
        <item sd="0" x="385"/>
        <item sd="0" x="386"/>
        <item sd="0" x="387"/>
        <item sd="0" x="388"/>
        <item sd="0" x="389"/>
        <item sd="0" x="392"/>
        <item sd="0" x="390"/>
        <item sd="0" x="393"/>
        <item sd="0" x="391"/>
        <item sd="0" x="394"/>
        <item sd="0" x="30"/>
        <item sd="0" x="32"/>
        <item sd="0" x="35"/>
        <item sd="0" x="33"/>
        <item sd="0" x="56"/>
        <item sd="0" x="1"/>
        <item sd="0" x="2"/>
        <item sd="0" x="3"/>
        <item sd="0" x="4"/>
        <item sd="0" x="5"/>
        <item sd="0" x="6"/>
        <item sd="0" x="77"/>
        <item sd="0" x="78"/>
        <item sd="0" x="79"/>
        <item sd="0" x="27"/>
        <item sd="0" x="34"/>
        <item sd="0" x="37"/>
        <item sd="0" x="36"/>
        <item sd="0" x="40"/>
        <item sd="0" x="49"/>
        <item sd="0" x="18"/>
        <item sd="0" x="25"/>
        <item sd="0" x="52"/>
        <item sd="0" x="53"/>
        <item sd="0" x="54"/>
        <item sd="0" x="55"/>
        <item sd="0" x="57"/>
        <item sd="0" x="58"/>
        <item sd="0" x="59"/>
        <item sd="0" x="60"/>
        <item sd="0" x="61"/>
        <item sd="0" x="65"/>
        <item sd="0" x="66"/>
        <item sd="0" x="67"/>
        <item sd="0" x="62"/>
        <item sd="0" x="63"/>
        <item sd="0" x="64"/>
        <item sd="0" x="68"/>
        <item sd="0" x="71"/>
        <item sd="0" x="69"/>
        <item sd="0" x="70"/>
        <item sd="0" x="72"/>
        <item sd="0" x="73"/>
        <item sd="0" x="74"/>
        <item sd="0" x="75"/>
        <item sd="0" x="76"/>
        <item sd="0" x="80"/>
        <item sd="0" x="82"/>
        <item sd="0" x="83"/>
        <item sd="0" x="84"/>
        <item sd="0" x="87"/>
        <item sd="0" x="89"/>
        <item sd="0" x="88"/>
        <item sd="0" x="85"/>
        <item sd="0" x="86"/>
        <item sd="0" x="91"/>
        <item sd="0" x="92"/>
        <item sd="0" x="93"/>
        <item sd="0" x="94"/>
        <item sd="0" x="95"/>
        <item sd="0" x="96"/>
        <item sd="0" x="97"/>
        <item sd="0" x="98"/>
        <item sd="0" x="99"/>
        <item sd="0" x="101"/>
        <item sd="0" x="100"/>
        <item sd="0" x="102"/>
        <item sd="0" x="103"/>
        <item sd="0" x="104"/>
        <item sd="0" x="105"/>
        <item sd="0" x="106"/>
        <item sd="0" x="107"/>
        <item sd="0" x="108"/>
        <item sd="0" x="109"/>
        <item sd="0" x="110"/>
        <item sd="0" x="111"/>
        <item sd="0" x="112"/>
        <item sd="0" x="113"/>
        <item sd="0" x="395"/>
        <item sd="0" x="396"/>
        <item sd="0" x="397"/>
        <item sd="0" x="398"/>
        <item sd="0" x="399"/>
        <item sd="0" x="422"/>
        <item x="400"/>
        <item x="401"/>
        <item x="402"/>
        <item x="403"/>
        <item x="404"/>
        <item x="405"/>
        <item x="406"/>
        <item x="407"/>
        <item x="408"/>
        <item x="409"/>
        <item x="410"/>
        <item x="411"/>
        <item x="412"/>
        <item x="0"/>
        <item x="15"/>
        <item x="38"/>
        <item x="39"/>
        <item x="413"/>
        <item x="414"/>
        <item x="415"/>
        <item x="416"/>
        <item x="417"/>
        <item x="418"/>
        <item x="419"/>
        <item x="420"/>
        <item x="42"/>
        <item x="43"/>
        <item x="44"/>
        <item x="45"/>
        <item x="46"/>
        <item x="47"/>
        <item x="48"/>
        <item x="50"/>
        <item x="51"/>
        <item t="default" sd="0"/>
      </items>
    </pivotField>
    <pivotField showAll="0"/>
    <pivotField axis="axisRow" showAll="0">
      <items count="94">
        <item x="54"/>
        <item x="13"/>
        <item x="16"/>
        <item x="39"/>
        <item x="18"/>
        <item x="43"/>
        <item x="10"/>
        <item x="48"/>
        <item x="38"/>
        <item x="45"/>
        <item x="30"/>
        <item x="25"/>
        <item x="44"/>
        <item x="19"/>
        <item x="41"/>
        <item x="0"/>
        <item x="1"/>
        <item x="12"/>
        <item x="40"/>
        <item x="49"/>
        <item x="7"/>
        <item x="22"/>
        <item x="31"/>
        <item x="24"/>
        <item x="37"/>
        <item x="23"/>
        <item x="50"/>
        <item x="47"/>
        <item x="17"/>
        <item x="8"/>
        <item x="6"/>
        <item x="34"/>
        <item x="46"/>
        <item x="15"/>
        <item x="14"/>
        <item x="2"/>
        <item x="32"/>
        <item x="33"/>
        <item x="42"/>
        <item x="9"/>
        <item x="36"/>
        <item x="28"/>
        <item x="52"/>
        <item x="20"/>
        <item x="26"/>
        <item x="27"/>
        <item x="3"/>
        <item x="51"/>
        <item x="11"/>
        <item x="35"/>
        <item x="29"/>
        <item x="21"/>
        <item x="4"/>
        <item x="53"/>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x="5"/>
        <item t="default"/>
      </items>
    </pivotField>
    <pivotField axis="axisRow" showAll="0">
      <items count="14">
        <item h="1" x="9"/>
        <item h="1" m="1" x="11"/>
        <item h="1" m="1" x="10"/>
        <item x="4"/>
        <item h="1" x="2"/>
        <item h="1" m="1" x="12"/>
        <item x="5"/>
        <item x="8"/>
        <item x="3"/>
        <item x="6"/>
        <item h="1" x="7"/>
        <item x="0"/>
        <item h="1" x="1"/>
        <item t="default"/>
      </items>
    </pivotField>
    <pivotField showAll="0"/>
    <pivotField showAll="0"/>
    <pivotField dataField="1" showAll="0"/>
    <pivotField showAll="0">
      <items count="11">
        <item h="1" sd="0" x="5"/>
        <item x="8"/>
        <item h="1" sd="0" x="4"/>
        <item h="1" sd="0" x="3"/>
        <item sd="0" x="1"/>
        <item x="7"/>
        <item h="1" sd="0" x="0"/>
        <item h="1" sd="0" x="2"/>
        <item h="1" sd="0" x="6"/>
        <item h="1" x="9"/>
        <item t="default"/>
      </items>
    </pivotField>
    <pivotField dragToRow="0" dragToCol="0" dragToPage="0" showAll="0" defaultSubtotal="0"/>
    <pivotField showAll="0">
      <items count="10">
        <item h="1" sd="0" x="4"/>
        <item x="7"/>
        <item h="1" sd="0" x="3"/>
        <item sd="0" x="1"/>
        <item x="6"/>
        <item h="1" sd="0" x="0"/>
        <item h="1" sd="0" x="2"/>
        <item h="1" sd="0" x="5"/>
        <item h="1" x="8"/>
        <item t="default"/>
      </items>
    </pivotField>
  </pivotFields>
  <rowFields count="3">
    <field x="2"/>
    <field x="4"/>
    <field x="5"/>
  </rowFields>
  <colItems count="1">
    <i/>
  </colItems>
  <pageFields count="1">
    <pageField fld="1" hier="-1"/>
  </pageFields>
  <dataFields count="1">
    <dataField name="Value" fld="8" baseField="0" baseItem="0" numFmtId="167"/>
  </dataFields>
  <formats count="3">
    <format dxfId="721">
      <pivotArea outline="0" collapsedLevelsAreSubtotals="1" fieldPosition="0"/>
    </format>
    <format dxfId="720">
      <pivotArea field="1" type="button" dataOnly="0" labelOnly="1" outline="0" axis="axisPage" fieldPosition="0"/>
    </format>
    <format dxfId="719">
      <pivotArea dataOnly="0" labelOnly="1" outline="0" axis="axisValues"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9D558E-C883-4583-8718-F5906F77AA29}" name="PivotTable9" cacheId="3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B5:E145" firstHeaderRow="1" firstDataRow="2" firstDataCol="1"/>
  <pivotFields count="12">
    <pivotField showAll="0"/>
    <pivotField multipleItemSelectionAllowed="1" showAll="0">
      <items count="15">
        <item h="1" sd="0" x="12"/>
        <item h="1" sd="0" x="1"/>
        <item h="1" sd="0" x="10"/>
        <item h="1" sd="0" x="9"/>
        <item sd="0" x="6"/>
        <item h="1" sd="0" x="4"/>
        <item h="1" sd="0" x="7"/>
        <item sd="0" x="0"/>
        <item sd="0" x="2"/>
        <item h="1" sd="0" x="3"/>
        <item h="1" sd="0" x="8"/>
        <item h="1" sd="0" x="5"/>
        <item h="1" sd="0" x="13"/>
        <item h="1" x="11"/>
        <item t="default" sd="0"/>
      </items>
    </pivotField>
    <pivotField showAll="0"/>
    <pivotField showAll="0"/>
    <pivotField showAll="0"/>
    <pivotField showAll="0"/>
    <pivotField showAll="0"/>
    <pivotField axis="axisRow" showAll="0" sortType="ascending">
      <items count="797">
        <item x="139"/>
        <item x="38"/>
        <item x="39"/>
        <item x="40"/>
        <item x="41"/>
        <item x="42"/>
        <item x="43"/>
        <item x="44"/>
        <item x="45"/>
        <item x="46"/>
        <item x="47"/>
        <item x="48"/>
        <item x="49"/>
        <item x="50"/>
        <item x="51"/>
        <item x="52"/>
        <item x="53"/>
        <item x="54"/>
        <item x="55"/>
        <item x="56"/>
        <item x="3"/>
        <item x="4"/>
        <item x="5"/>
        <item x="6"/>
        <item x="57"/>
        <item x="58"/>
        <item x="59"/>
        <item x="60"/>
        <item x="61"/>
        <item x="62"/>
        <item x="63"/>
        <item x="64"/>
        <item x="65"/>
        <item x="66"/>
        <item x="67"/>
        <item x="68"/>
        <item x="69"/>
        <item x="70"/>
        <item x="71"/>
        <item x="8"/>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9"/>
        <item x="109"/>
        <item x="110"/>
        <item x="111"/>
        <item x="112"/>
        <item x="113"/>
        <item x="114"/>
        <item x="115"/>
        <item x="116"/>
        <item x="117"/>
        <item x="15"/>
        <item x="25"/>
        <item x="118"/>
        <item x="119"/>
        <item x="120"/>
        <item x="121"/>
        <item x="122"/>
        <item x="123"/>
        <item x="124"/>
        <item x="125"/>
        <item x="126"/>
        <item x="127"/>
        <item x="128"/>
        <item x="129"/>
        <item x="130"/>
        <item x="131"/>
        <item x="132"/>
        <item x="11"/>
        <item x="19"/>
        <item x="1"/>
        <item sd="0" m="1" x="216"/>
        <item sd="0" m="1" x="217"/>
        <item sd="0" m="1" x="218"/>
        <item sd="0" m="1" x="219"/>
        <item sd="0" m="1" x="220"/>
        <item sd="0" m="1" x="221"/>
        <item sd="0" m="1" x="222"/>
        <item sd="0" m="1" x="223"/>
        <item sd="0" m="1" x="224"/>
        <item sd="0" m="1" x="225"/>
        <item x="2"/>
        <item sd="0" m="1" x="226"/>
        <item sd="0" m="1" x="227"/>
        <item sd="0" m="1" x="228"/>
        <item sd="0" m="1" x="229"/>
        <item sd="0" m="1" x="230"/>
        <item sd="0" m="1" x="231"/>
        <item sd="0" m="1" x="232"/>
        <item sd="0" m="1" x="233"/>
        <item sd="0" m="1" x="234"/>
        <item sd="0" m="1" x="235"/>
        <item sd="0" m="1" x="236"/>
        <item sd="0" m="1" x="237"/>
        <item sd="0" m="1" x="238"/>
        <item sd="0" m="1" x="239"/>
        <item sd="0" m="1" x="240"/>
        <item sd="0" m="1" x="241"/>
        <item sd="0" m="1" x="242"/>
        <item sd="0" m="1" x="243"/>
        <item sd="0" m="1" x="244"/>
        <item sd="0" m="1" x="245"/>
        <item x="10"/>
        <item sd="0" m="1" x="246"/>
        <item sd="0" m="1" x="247"/>
        <item sd="0" m="1" x="248"/>
        <item sd="0" m="1" x="249"/>
        <item sd="0" m="1" x="250"/>
        <item sd="0" m="1" x="251"/>
        <item sd="0" m="1" x="252"/>
        <item sd="0" m="1" x="253"/>
        <item sd="0" m="1" x="254"/>
        <item sd="0" m="1" x="255"/>
        <item x="14"/>
        <item sd="0" m="1" x="256"/>
        <item sd="0" m="1" x="257"/>
        <item sd="0" m="1" x="258"/>
        <item sd="0" m="1" x="259"/>
        <item sd="0" m="1" x="260"/>
        <item sd="0" m="1" x="261"/>
        <item sd="0" m="1" x="262"/>
        <item sd="0" m="1" x="263"/>
        <item sd="0" m="1" x="264"/>
        <item sd="0" m="1" x="265"/>
        <item sd="0" m="1" x="266"/>
        <item sd="0" m="1" x="267"/>
        <item sd="0" m="1" x="268"/>
        <item sd="0" m="1" x="269"/>
        <item sd="0" m="1" x="270"/>
        <item sd="0" m="1" x="271"/>
        <item sd="0" m="1" x="272"/>
        <item sd="0" m="1" x="273"/>
        <item sd="0" m="1" x="274"/>
        <item sd="0" m="1" x="275"/>
        <item sd="0" m="1" x="276"/>
        <item sd="0" m="1" x="277"/>
        <item sd="0" m="1" x="278"/>
        <item sd="0" m="1" x="279"/>
        <item sd="0" m="1" x="280"/>
        <item sd="0" m="1" x="281"/>
        <item sd="0" m="1" x="282"/>
        <item sd="0" m="1" x="283"/>
        <item sd="0" m="1" x="284"/>
        <item sd="0" m="1" x="285"/>
        <item sd="0" x="7"/>
        <item sd="0" m="1" x="286"/>
        <item sd="0" m="1" x="287"/>
        <item sd="0" m="1" x="288"/>
        <item sd="0" m="1" x="289"/>
        <item sd="0" m="1" x="290"/>
        <item sd="0" m="1" x="291"/>
        <item sd="0" m="1" x="292"/>
        <item sd="0" m="1" x="293"/>
        <item sd="0" m="1" x="294"/>
        <item sd="0" m="1" x="295"/>
        <item sd="0" x="16"/>
        <item sd="0" m="1" x="296"/>
        <item sd="0" m="1" x="297"/>
        <item sd="0" m="1" x="298"/>
        <item sd="0" m="1" x="299"/>
        <item sd="0" m="1" x="300"/>
        <item sd="0" m="1" x="301"/>
        <item sd="0" m="1" x="302"/>
        <item sd="0" m="1" x="303"/>
        <item sd="0" m="1" x="304"/>
        <item sd="0" m="1" x="305"/>
        <item sd="0" m="1" x="141"/>
        <item sd="0" m="1" x="306"/>
        <item sd="0" m="1" x="307"/>
        <item sd="0" m="1" x="308"/>
        <item sd="0" m="1" x="309"/>
        <item sd="0" m="1" x="310"/>
        <item sd="0" m="1" x="311"/>
        <item sd="0" m="1" x="312"/>
        <item sd="0" m="1" x="313"/>
        <item sd="0" m="1" x="314"/>
        <item sd="0" m="1" x="315"/>
        <item sd="0" m="1" x="142"/>
        <item sd="0" m="1" x="316"/>
        <item sd="0" m="1" x="317"/>
        <item sd="0" m="1" x="318"/>
        <item sd="0" m="1" x="319"/>
        <item sd="0" m="1" x="320"/>
        <item sd="0" m="1" x="321"/>
        <item sd="0" m="1" x="322"/>
        <item sd="0" m="1" x="323"/>
        <item sd="0" m="1" x="324"/>
        <item sd="0" m="1" x="325"/>
        <item sd="0" x="17"/>
        <item sd="0" m="1" x="326"/>
        <item sd="0" m="1" x="327"/>
        <item sd="0" m="1" x="328"/>
        <item sd="0" m="1" x="329"/>
        <item sd="0" m="1" x="330"/>
        <item sd="0" m="1" x="331"/>
        <item sd="0" m="1" x="332"/>
        <item sd="0" m="1" x="333"/>
        <item sd="0" m="1" x="334"/>
        <item sd="0" m="1" x="335"/>
        <item sd="0" m="1" x="143"/>
        <item sd="0" m="1" x="336"/>
        <item sd="0" m="1" x="337"/>
        <item sd="0" m="1" x="338"/>
        <item sd="0" m="1" x="339"/>
        <item sd="0" m="1" x="340"/>
        <item sd="0" m="1" x="341"/>
        <item sd="0" m="1" x="342"/>
        <item sd="0" m="1" x="343"/>
        <item sd="0" m="1" x="344"/>
        <item sd="0" m="1" x="345"/>
        <item sd="0" m="1" x="144"/>
        <item sd="0" m="1" x="346"/>
        <item sd="0" m="1" x="347"/>
        <item sd="0" m="1" x="348"/>
        <item sd="0" m="1" x="349"/>
        <item sd="0" m="1" x="350"/>
        <item sd="0" m="1" x="351"/>
        <item sd="0" m="1" x="352"/>
        <item sd="0" m="1" x="353"/>
        <item sd="0" m="1" x="354"/>
        <item sd="0" m="1" x="355"/>
        <item sd="0" m="1" x="145"/>
        <item sd="0" m="1" x="356"/>
        <item sd="0" m="1" x="357"/>
        <item sd="0" m="1" x="358"/>
        <item sd="0" m="1" x="359"/>
        <item sd="0" m="1" x="360"/>
        <item sd="0" m="1" x="361"/>
        <item sd="0" m="1" x="362"/>
        <item sd="0" m="1" x="363"/>
        <item sd="0" m="1" x="364"/>
        <item sd="0" m="1" x="365"/>
        <item sd="0" x="18"/>
        <item sd="0" m="1" x="366"/>
        <item sd="0" m="1" x="367"/>
        <item sd="0" m="1" x="368"/>
        <item sd="0" m="1" x="369"/>
        <item sd="0" m="1" x="370"/>
        <item sd="0" m="1" x="371"/>
        <item sd="0" m="1" x="372"/>
        <item sd="0" m="1" x="373"/>
        <item sd="0" m="1" x="374"/>
        <item sd="0" m="1" x="375"/>
        <item sd="0" x="20"/>
        <item sd="0" m="1" x="376"/>
        <item sd="0" m="1" x="377"/>
        <item sd="0" m="1" x="378"/>
        <item sd="0" m="1" x="379"/>
        <item sd="0" m="1" x="380"/>
        <item sd="0" m="1" x="381"/>
        <item sd="0" m="1" x="382"/>
        <item sd="0" m="1" x="383"/>
        <item sd="0" m="1" x="384"/>
        <item sd="0" m="1" x="385"/>
        <item sd="0" x="21"/>
        <item sd="0" m="1" x="386"/>
        <item sd="0" m="1" x="387"/>
        <item sd="0" m="1" x="388"/>
        <item sd="0" m="1" x="389"/>
        <item sd="0" m="1" x="390"/>
        <item sd="0" m="1" x="391"/>
        <item sd="0" m="1" x="392"/>
        <item sd="0" m="1" x="393"/>
        <item sd="0" m="1" x="394"/>
        <item sd="0" m="1" x="395"/>
        <item sd="0" x="22"/>
        <item sd="0" m="1" x="396"/>
        <item sd="0" m="1" x="397"/>
        <item sd="0" m="1" x="398"/>
        <item sd="0" m="1" x="399"/>
        <item sd="0" m="1" x="400"/>
        <item sd="0" m="1" x="401"/>
        <item sd="0" m="1" x="402"/>
        <item sd="0" m="1" x="403"/>
        <item sd="0" m="1" x="404"/>
        <item sd="0" m="1" x="405"/>
        <item sd="0" m="1" x="146"/>
        <item sd="0" m="1" x="406"/>
        <item sd="0" m="1" x="407"/>
        <item sd="0" m="1" x="408"/>
        <item sd="0" m="1" x="409"/>
        <item sd="0" m="1" x="410"/>
        <item sd="0" m="1" x="411"/>
        <item sd="0" m="1" x="412"/>
        <item sd="0" m="1" x="413"/>
        <item sd="0" m="1" x="414"/>
        <item sd="0" m="1" x="415"/>
        <item sd="0" m="1" x="147"/>
        <item sd="0" m="1" x="416"/>
        <item sd="0" m="1" x="417"/>
        <item sd="0" m="1" x="418"/>
        <item sd="0" m="1" x="419"/>
        <item sd="0" m="1" x="420"/>
        <item sd="0" m="1" x="421"/>
        <item sd="0" m="1" x="422"/>
        <item sd="0" m="1" x="423"/>
        <item sd="0" m="1" x="424"/>
        <item sd="0" m="1" x="425"/>
        <item sd="0" x="23"/>
        <item sd="0" m="1" x="426"/>
        <item sd="0" m="1" x="427"/>
        <item sd="0" m="1" x="428"/>
        <item sd="0" m="1" x="429"/>
        <item sd="0" m="1" x="430"/>
        <item sd="0" m="1" x="431"/>
        <item sd="0" m="1" x="432"/>
        <item sd="0" m="1" x="433"/>
        <item sd="0" m="1" x="434"/>
        <item sd="0" m="1" x="435"/>
        <item sd="0" m="1" x="148"/>
        <item sd="0" m="1" x="436"/>
        <item sd="0" m="1" x="437"/>
        <item sd="0" m="1" x="438"/>
        <item sd="0" m="1" x="439"/>
        <item sd="0" m="1" x="440"/>
        <item sd="0" m="1" x="441"/>
        <item sd="0" m="1" x="442"/>
        <item sd="0" m="1" x="443"/>
        <item sd="0" m="1" x="444"/>
        <item sd="0" m="1" x="445"/>
        <item sd="0" m="1" x="149"/>
        <item sd="0" m="1" x="446"/>
        <item sd="0" m="1" x="447"/>
        <item sd="0" m="1" x="448"/>
        <item sd="0" m="1" x="449"/>
        <item sd="0" m="1" x="450"/>
        <item sd="0" m="1" x="451"/>
        <item sd="0" m="1" x="452"/>
        <item sd="0" m="1" x="453"/>
        <item sd="0" m="1" x="454"/>
        <item sd="0" m="1" x="455"/>
        <item sd="0" m="1" x="150"/>
        <item sd="0" m="1" x="456"/>
        <item sd="0" m="1" x="457"/>
        <item sd="0" m="1" x="458"/>
        <item sd="0" m="1" x="459"/>
        <item sd="0" m="1" x="460"/>
        <item sd="0" m="1" x="461"/>
        <item sd="0" m="1" x="462"/>
        <item sd="0" m="1" x="463"/>
        <item sd="0" m="1" x="464"/>
        <item sd="0" m="1" x="465"/>
        <item sd="0" m="1" x="151"/>
        <item sd="0" m="1" x="466"/>
        <item sd="0" m="1" x="467"/>
        <item sd="0" m="1" x="468"/>
        <item sd="0" m="1" x="469"/>
        <item sd="0" m="1" x="470"/>
        <item sd="0" m="1" x="471"/>
        <item sd="0" m="1" x="472"/>
        <item sd="0" m="1" x="473"/>
        <item sd="0" m="1" x="474"/>
        <item sd="0" m="1" x="475"/>
        <item sd="0" m="1" x="152"/>
        <item sd="0" m="1" x="476"/>
        <item sd="0" m="1" x="477"/>
        <item sd="0" m="1" x="478"/>
        <item sd="0" m="1" x="479"/>
        <item sd="0" m="1" x="480"/>
        <item sd="0" m="1" x="481"/>
        <item sd="0" m="1" x="482"/>
        <item sd="0" m="1" x="483"/>
        <item sd="0" m="1" x="484"/>
        <item sd="0" m="1" x="485"/>
        <item sd="0" m="1" x="153"/>
        <item sd="0" m="1" x="486"/>
        <item sd="0" m="1" x="487"/>
        <item sd="0" m="1" x="488"/>
        <item sd="0" m="1" x="489"/>
        <item sd="0" m="1" x="490"/>
        <item sd="0" m="1" x="491"/>
        <item sd="0" m="1" x="492"/>
        <item sd="0" m="1" x="493"/>
        <item sd="0" m="1" x="494"/>
        <item sd="0" m="1" x="495"/>
        <item sd="0" m="1" x="154"/>
        <item sd="0" m="1" x="496"/>
        <item sd="0" m="1" x="497"/>
        <item sd="0" m="1" x="498"/>
        <item sd="0" m="1" x="499"/>
        <item sd="0" m="1" x="500"/>
        <item sd="0" m="1" x="501"/>
        <item sd="0" m="1" x="502"/>
        <item sd="0" m="1" x="503"/>
        <item sd="0" m="1" x="504"/>
        <item sd="0" m="1" x="505"/>
        <item sd="0" m="1" x="155"/>
        <item sd="0" m="1" x="506"/>
        <item sd="0" m="1" x="507"/>
        <item sd="0" m="1" x="508"/>
        <item sd="0" m="1" x="509"/>
        <item sd="0" m="1" x="510"/>
        <item sd="0" m="1" x="511"/>
        <item sd="0" m="1" x="512"/>
        <item sd="0" m="1" x="513"/>
        <item sd="0" m="1" x="514"/>
        <item sd="0" m="1" x="515"/>
        <item sd="0" m="1" x="156"/>
        <item sd="0" m="1" x="516"/>
        <item sd="0" m="1" x="517"/>
        <item sd="0" m="1" x="518"/>
        <item sd="0" m="1" x="519"/>
        <item sd="0" m="1" x="520"/>
        <item sd="0" m="1" x="521"/>
        <item sd="0" m="1" x="522"/>
        <item sd="0" m="1" x="523"/>
        <item sd="0" m="1" x="524"/>
        <item sd="0" m="1" x="525"/>
        <item sd="0" m="1" x="157"/>
        <item sd="0" m="1" x="526"/>
        <item sd="0" m="1" x="527"/>
        <item sd="0" m="1" x="528"/>
        <item sd="0" m="1" x="529"/>
        <item sd="0" m="1" x="530"/>
        <item sd="0" m="1" x="531"/>
        <item sd="0" m="1" x="532"/>
        <item sd="0" m="1" x="533"/>
        <item sd="0" m="1" x="534"/>
        <item sd="0" m="1" x="535"/>
        <item sd="0" m="1" x="158"/>
        <item sd="0" m="1" x="536"/>
        <item sd="0" m="1" x="537"/>
        <item sd="0" m="1" x="538"/>
        <item sd="0" m="1" x="539"/>
        <item sd="0" m="1" x="540"/>
        <item sd="0" m="1" x="541"/>
        <item sd="0" m="1" x="542"/>
        <item sd="0" m="1" x="543"/>
        <item sd="0" m="1" x="544"/>
        <item sd="0" m="1" x="545"/>
        <item sd="0" m="1" x="159"/>
        <item sd="0" m="1" x="546"/>
        <item sd="0" m="1" x="547"/>
        <item sd="0" m="1" x="548"/>
        <item sd="0" m="1" x="549"/>
        <item sd="0" m="1" x="550"/>
        <item sd="0" m="1" x="551"/>
        <item sd="0" m="1" x="552"/>
        <item sd="0" m="1" x="553"/>
        <item sd="0" m="1" x="554"/>
        <item sd="0" m="1" x="555"/>
        <item sd="0" m="1" x="160"/>
        <item sd="0" m="1" x="556"/>
        <item sd="0" m="1" x="557"/>
        <item sd="0" m="1" x="558"/>
        <item sd="0" m="1" x="559"/>
        <item sd="0" m="1" x="560"/>
        <item sd="0" m="1" x="561"/>
        <item sd="0" m="1" x="562"/>
        <item sd="0" m="1" x="563"/>
        <item sd="0" m="1" x="564"/>
        <item sd="0" m="1" x="565"/>
        <item sd="0" m="1" x="161"/>
        <item sd="0" m="1" x="566"/>
        <item sd="0" m="1" x="567"/>
        <item sd="0" m="1" x="568"/>
        <item sd="0" m="1" x="569"/>
        <item sd="0" m="1" x="570"/>
        <item sd="0" m="1" x="571"/>
        <item sd="0" m="1" x="572"/>
        <item sd="0" m="1" x="573"/>
        <item sd="0" m="1" x="574"/>
        <item sd="0" m="1" x="575"/>
        <item sd="0" m="1" x="162"/>
        <item sd="0" m="1" x="576"/>
        <item sd="0" m="1" x="577"/>
        <item sd="0" m="1" x="578"/>
        <item sd="0" m="1" x="579"/>
        <item sd="0" m="1" x="580"/>
        <item sd="0" m="1" x="581"/>
        <item sd="0" m="1" x="582"/>
        <item sd="0" m="1" x="583"/>
        <item sd="0" m="1" x="584"/>
        <item sd="0" m="1" x="585"/>
        <item sd="0" m="1" x="163"/>
        <item sd="0" m="1" x="586"/>
        <item sd="0" m="1" x="587"/>
        <item sd="0" m="1" x="588"/>
        <item sd="0" m="1" x="589"/>
        <item sd="0" m="1" x="590"/>
        <item sd="0" m="1" x="591"/>
        <item sd="0" m="1" x="592"/>
        <item sd="0" m="1" x="593"/>
        <item sd="0" m="1" x="594"/>
        <item sd="0" m="1" x="595"/>
        <item sd="0" m="1" x="164"/>
        <item sd="0" m="1" x="596"/>
        <item sd="0" m="1" x="597"/>
        <item sd="0" m="1" x="598"/>
        <item sd="0" m="1" x="599"/>
        <item sd="0" m="1" x="600"/>
        <item sd="0" m="1" x="601"/>
        <item sd="0" m="1" x="602"/>
        <item sd="0" m="1" x="603"/>
        <item sd="0" m="1" x="604"/>
        <item sd="0" m="1" x="605"/>
        <item sd="0" m="1" x="165"/>
        <item sd="0" m="1" x="606"/>
        <item sd="0" m="1" x="607"/>
        <item sd="0" m="1" x="608"/>
        <item sd="0" m="1" x="609"/>
        <item sd="0" m="1" x="610"/>
        <item sd="0" m="1" x="611"/>
        <item sd="0" m="1" x="612"/>
        <item sd="0" m="1" x="613"/>
        <item sd="0" m="1" x="614"/>
        <item sd="0" m="1" x="615"/>
        <item sd="0" m="1" x="166"/>
        <item sd="0" m="1" x="616"/>
        <item sd="0" m="1" x="617"/>
        <item sd="0" m="1" x="618"/>
        <item sd="0" m="1" x="619"/>
        <item sd="0" m="1" x="620"/>
        <item sd="0" m="1" x="621"/>
        <item sd="0" m="1" x="622"/>
        <item sd="0" m="1" x="623"/>
        <item sd="0" m="1" x="624"/>
        <item sd="0" m="1" x="625"/>
        <item sd="0" m="1" x="167"/>
        <item sd="0" m="1" x="626"/>
        <item sd="0" m="1" x="627"/>
        <item sd="0" m="1" x="628"/>
        <item sd="0" m="1" x="629"/>
        <item sd="0" m="1" x="630"/>
        <item sd="0" m="1" x="631"/>
        <item sd="0" m="1" x="632"/>
        <item sd="0" m="1" x="633"/>
        <item sd="0" m="1" x="634"/>
        <item sd="0" m="1" x="635"/>
        <item sd="0" m="1" x="168"/>
        <item sd="0" m="1" x="636"/>
        <item sd="0" m="1" x="637"/>
        <item sd="0" m="1" x="638"/>
        <item sd="0" m="1" x="639"/>
        <item sd="0" m="1" x="640"/>
        <item sd="0" m="1" x="641"/>
        <item sd="0" m="1" x="642"/>
        <item sd="0" m="1" x="643"/>
        <item sd="0" m="1" x="644"/>
        <item sd="0" m="1" x="645"/>
        <item sd="0" m="1" x="169"/>
        <item sd="0" m="1" x="646"/>
        <item sd="0" m="1" x="647"/>
        <item sd="0" m="1" x="648"/>
        <item sd="0" m="1" x="649"/>
        <item sd="0" m="1" x="650"/>
        <item sd="0" m="1" x="651"/>
        <item sd="0" m="1" x="652"/>
        <item sd="0" m="1" x="653"/>
        <item sd="0" m="1" x="654"/>
        <item sd="0" m="1" x="655"/>
        <item sd="0" m="1" x="170"/>
        <item sd="0" m="1" x="656"/>
        <item sd="0" m="1" x="657"/>
        <item sd="0" m="1" x="658"/>
        <item sd="0" m="1" x="659"/>
        <item sd="0" m="1" x="660"/>
        <item sd="0" m="1" x="661"/>
        <item sd="0" m="1" x="662"/>
        <item sd="0" m="1" x="663"/>
        <item sd="0" m="1" x="664"/>
        <item sd="0" m="1" x="665"/>
        <item sd="0" m="1" x="171"/>
        <item sd="0" m="1" x="666"/>
        <item sd="0" m="1" x="667"/>
        <item sd="0" m="1" x="668"/>
        <item sd="0" m="1" x="669"/>
        <item sd="0" m="1" x="670"/>
        <item sd="0" m="1" x="671"/>
        <item sd="0" m="1" x="672"/>
        <item sd="0" m="1" x="673"/>
        <item sd="0" m="1" x="674"/>
        <item sd="0" m="1" x="675"/>
        <item sd="0" m="1" x="172"/>
        <item sd="0" m="1" x="676"/>
        <item sd="0" m="1" x="677"/>
        <item sd="0" m="1" x="678"/>
        <item sd="0" m="1" x="679"/>
        <item sd="0" m="1" x="680"/>
        <item sd="0" m="1" x="681"/>
        <item sd="0" m="1" x="682"/>
        <item sd="0" m="1" x="683"/>
        <item sd="0" m="1" x="684"/>
        <item sd="0" m="1" x="685"/>
        <item sd="0" m="1" x="173"/>
        <item sd="0" m="1" x="686"/>
        <item sd="0" m="1" x="687"/>
        <item sd="0" m="1" x="688"/>
        <item sd="0" m="1" x="689"/>
        <item sd="0" m="1" x="690"/>
        <item sd="0" m="1" x="691"/>
        <item sd="0" m="1" x="692"/>
        <item sd="0" m="1" x="693"/>
        <item sd="0" m="1" x="694"/>
        <item sd="0" m="1" x="695"/>
        <item sd="0" m="1" x="174"/>
        <item sd="0" m="1" x="696"/>
        <item sd="0" m="1" x="697"/>
        <item sd="0" m="1" x="698"/>
        <item sd="0" m="1" x="699"/>
        <item sd="0" m="1" x="700"/>
        <item sd="0" m="1" x="701"/>
        <item sd="0" m="1" x="702"/>
        <item sd="0" m="1" x="703"/>
        <item sd="0" m="1" x="704"/>
        <item sd="0" m="1" x="705"/>
        <item sd="0" m="1" x="175"/>
        <item sd="0" m="1" x="706"/>
        <item sd="0" m="1" x="707"/>
        <item sd="0" m="1" x="708"/>
        <item sd="0" m="1" x="709"/>
        <item sd="0" m="1" x="710"/>
        <item sd="0" m="1" x="711"/>
        <item sd="0" m="1" x="712"/>
        <item sd="0" m="1" x="713"/>
        <item sd="0" m="1" x="714"/>
        <item sd="0" m="1" x="715"/>
        <item sd="0" m="1" x="176"/>
        <item sd="0" m="1" x="716"/>
        <item sd="0" m="1" x="717"/>
        <item sd="0" m="1" x="718"/>
        <item sd="0" m="1" x="719"/>
        <item sd="0" m="1" x="720"/>
        <item sd="0" m="1" x="721"/>
        <item sd="0" m="1" x="722"/>
        <item sd="0" m="1" x="723"/>
        <item sd="0" m="1" x="724"/>
        <item sd="0" m="1" x="725"/>
        <item sd="0" m="1" x="177"/>
        <item sd="0" m="1" x="726"/>
        <item sd="0" m="1" x="727"/>
        <item sd="0" m="1" x="728"/>
        <item sd="0" m="1" x="729"/>
        <item sd="0" m="1" x="730"/>
        <item sd="0" m="1" x="731"/>
        <item sd="0" m="1" x="732"/>
        <item sd="0" m="1" x="733"/>
        <item sd="0" m="1" x="734"/>
        <item sd="0" m="1" x="735"/>
        <item sd="0" m="1" x="178"/>
        <item sd="0" m="1" x="736"/>
        <item sd="0" m="1" x="737"/>
        <item sd="0" m="1" x="738"/>
        <item sd="0" m="1" x="739"/>
        <item sd="0" m="1" x="740"/>
        <item sd="0" m="1" x="741"/>
        <item sd="0" m="1" x="742"/>
        <item sd="0" m="1" x="743"/>
        <item sd="0" m="1" x="744"/>
        <item sd="0" m="1" x="745"/>
        <item sd="0" m="1" x="179"/>
        <item sd="0" m="1" x="746"/>
        <item sd="0" m="1" x="747"/>
        <item sd="0" m="1" x="748"/>
        <item sd="0" m="1" x="749"/>
        <item sd="0" m="1" x="750"/>
        <item sd="0" m="1" x="751"/>
        <item sd="0" m="1" x="752"/>
        <item sd="0" m="1" x="753"/>
        <item sd="0" m="1" x="754"/>
        <item sd="0" m="1" x="755"/>
        <item sd="0" m="1" x="180"/>
        <item sd="0" m="1" x="756"/>
        <item sd="0" m="1" x="757"/>
        <item sd="0" m="1" x="758"/>
        <item sd="0" m="1" x="759"/>
        <item sd="0" m="1" x="760"/>
        <item sd="0" m="1" x="761"/>
        <item sd="0" m="1" x="762"/>
        <item sd="0" m="1" x="763"/>
        <item sd="0" m="1" x="764"/>
        <item sd="0" m="1" x="765"/>
        <item sd="0" m="1" x="181"/>
        <item sd="0" m="1" x="766"/>
        <item sd="0" m="1" x="767"/>
        <item sd="0" m="1" x="768"/>
        <item sd="0" m="1" x="769"/>
        <item sd="0" m="1" x="770"/>
        <item sd="0" m="1" x="771"/>
        <item sd="0" m="1" x="772"/>
        <item sd="0" m="1" x="773"/>
        <item sd="0" m="1" x="774"/>
        <item sd="0" m="1" x="775"/>
        <item sd="0" m="1" x="182"/>
        <item sd="0" m="1" x="776"/>
        <item sd="0" m="1" x="777"/>
        <item sd="0" m="1" x="778"/>
        <item sd="0" m="1" x="779"/>
        <item sd="0" m="1" x="780"/>
        <item sd="0" m="1" x="781"/>
        <item sd="0" m="1" x="782"/>
        <item sd="0" m="1" x="783"/>
        <item sd="0" m="1" x="784"/>
        <item sd="0" m="1" x="785"/>
        <item sd="0" m="1" x="183"/>
        <item sd="0" m="1" x="786"/>
        <item sd="0" m="1" x="787"/>
        <item sd="0" m="1" x="788"/>
        <item sd="0" m="1" x="789"/>
        <item sd="0" m="1" x="790"/>
        <item sd="0" m="1" x="791"/>
        <item sd="0" m="1" x="792"/>
        <item sd="0" m="1" x="793"/>
        <item sd="0" m="1" x="794"/>
        <item sd="0" m="1" x="795"/>
        <item sd="0" m="1" x="184"/>
        <item sd="0" m="1" x="185"/>
        <item sd="0" m="1" x="186"/>
        <item sd="0" m="1" x="187"/>
        <item sd="0" m="1" x="188"/>
        <item sd="0" m="1" x="189"/>
        <item sd="0" m="1" x="190"/>
        <item sd="0" m="1" x="191"/>
        <item sd="0" m="1" x="192"/>
        <item sd="0" m="1" x="193"/>
        <item sd="0" m="1" x="194"/>
        <item sd="0" m="1" x="195"/>
        <item sd="0" m="1" x="196"/>
        <item sd="0" m="1" x="197"/>
        <item sd="0" m="1" x="198"/>
        <item sd="0" m="1" x="199"/>
        <item sd="0" m="1" x="200"/>
        <item sd="0" m="1" x="201"/>
        <item sd="0" m="1" x="202"/>
        <item sd="0" m="1" x="203"/>
        <item sd="0" m="1" x="204"/>
        <item sd="0" m="1" x="205"/>
        <item sd="0" m="1" x="206"/>
        <item sd="0" m="1" x="207"/>
        <item sd="0" m="1" x="208"/>
        <item sd="0" m="1" x="209"/>
        <item sd="0" m="1" x="210"/>
        <item sd="0" m="1" x="211"/>
        <item sd="0" m="1" x="212"/>
        <item sd="0" m="1" x="213"/>
        <item sd="0" m="1" x="214"/>
        <item sd="0" m="1" x="215"/>
        <item x="24"/>
        <item x="26"/>
        <item x="27"/>
        <item x="28"/>
        <item x="29"/>
        <item x="30"/>
        <item x="31"/>
        <item x="32"/>
        <item x="33"/>
        <item x="34"/>
        <item x="35"/>
        <item x="36"/>
        <item x="37"/>
        <item x="133"/>
        <item x="134"/>
        <item x="135"/>
        <item x="136"/>
        <item x="137"/>
        <item x="138"/>
        <item x="0"/>
        <item x="12"/>
        <item x="13"/>
        <item sd="0" x="140"/>
        <item t="default" sd="0"/>
      </items>
    </pivotField>
    <pivotField dataField="1" showAll="0"/>
    <pivotField showAll="0">
      <items count="11">
        <item h="1" sd="0" x="5"/>
        <item x="8"/>
        <item h="1" sd="0" x="4"/>
        <item h="1" sd="0" x="3"/>
        <item sd="0" x="1"/>
        <item n="Exposed Capital" sd="0" x="7"/>
        <item h="1" sd="0" x="0"/>
        <item h="1" sd="0" x="2"/>
        <item h="1" sd="0" x="6"/>
        <item h="1" x="9"/>
        <item t="default"/>
      </items>
    </pivotField>
    <pivotField dragToRow="0" dragToCol="0" dragToPage="0" showAll="0" defaultSubtotal="0"/>
    <pivotField axis="axisCol" showAll="0">
      <items count="10">
        <item h="1" sd="0" x="4"/>
        <item n="Net Income" x="7"/>
        <item h="1" sd="0" x="3"/>
        <item sd="0" x="1"/>
        <item n="Exposed Capital" sd="0" x="6"/>
        <item h="1" sd="0" x="0"/>
        <item h="1" sd="0" x="2"/>
        <item h="1" sd="0" x="5"/>
        <item h="1" x="8"/>
        <item t="default"/>
      </items>
    </pivotField>
  </pivotFields>
  <rowFields count="1">
    <field x="7"/>
  </rowFields>
  <rowItems count="139">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17"/>
    </i>
    <i>
      <x v="138"/>
    </i>
    <i>
      <x v="149"/>
    </i>
    <i>
      <x v="180"/>
    </i>
    <i>
      <x v="191"/>
    </i>
    <i>
      <x v="224"/>
    </i>
    <i>
      <x v="268"/>
    </i>
    <i>
      <x v="279"/>
    </i>
    <i>
      <x v="290"/>
    </i>
    <i>
      <x v="301"/>
    </i>
    <i>
      <x v="334"/>
    </i>
    <i>
      <x v="773"/>
    </i>
    <i>
      <x v="774"/>
    </i>
    <i>
      <x v="775"/>
    </i>
    <i>
      <x v="776"/>
    </i>
    <i>
      <x v="777"/>
    </i>
    <i>
      <x v="778"/>
    </i>
    <i>
      <x v="779"/>
    </i>
    <i>
      <x v="780"/>
    </i>
    <i>
      <x v="781"/>
    </i>
    <i>
      <x v="782"/>
    </i>
    <i>
      <x v="783"/>
    </i>
    <i>
      <x v="784"/>
    </i>
    <i>
      <x v="785"/>
    </i>
    <i>
      <x v="786"/>
    </i>
    <i>
      <x v="787"/>
    </i>
    <i>
      <x v="788"/>
    </i>
    <i>
      <x v="789"/>
    </i>
    <i>
      <x v="790"/>
    </i>
    <i>
      <x v="791"/>
    </i>
    <i>
      <x v="792"/>
    </i>
    <i>
      <x v="793"/>
    </i>
    <i>
      <x v="794"/>
    </i>
  </rowItems>
  <colFields count="1">
    <field x="11"/>
  </colFields>
  <colItems count="3">
    <i>
      <x v="1"/>
    </i>
    <i>
      <x v="3"/>
    </i>
    <i>
      <x v="4"/>
    </i>
  </colItems>
  <dataFields count="1">
    <dataField name="Sum of Amount" fld="8" baseField="0" baseItem="0"/>
  </dataFields>
  <formats count="3">
    <format dxfId="697">
      <pivotArea outline="0" collapsedLevelsAreSubtotals="1" fieldPosition="0"/>
    </format>
    <format dxfId="696">
      <pivotArea field="1" type="button" dataOnly="0" labelOnly="1" outline="0"/>
    </format>
    <format dxfId="695">
      <pivotArea dataOnly="0" labelOnly="1" outline="0" axis="axisValues"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D2DCF5-941C-4977-8871-5B557451E300}" name="PivotTable12" cacheId="3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G5:I115" firstHeaderRow="1" firstDataRow="2" firstDataCol="1"/>
  <pivotFields count="12">
    <pivotField showAll="0"/>
    <pivotField multipleItemSelectionAllowed="1" showAll="0">
      <items count="15">
        <item sd="0" x="12"/>
        <item sd="0" x="1"/>
        <item sd="0" x="10"/>
        <item sd="0" x="9"/>
        <item sd="0" x="6"/>
        <item sd="0" x="4"/>
        <item sd="0" x="7"/>
        <item sd="0" x="0"/>
        <item sd="0" x="2"/>
        <item sd="0" x="3"/>
        <item sd="0" x="8"/>
        <item sd="0" x="5"/>
        <item sd="0" x="13"/>
        <item x="11"/>
        <item t="default" sd="0"/>
      </items>
    </pivotField>
    <pivotField showAll="0"/>
    <pivotField showAll="0"/>
    <pivotField showAll="0"/>
    <pivotField showAll="0">
      <items count="14">
        <item h="1" m="1" x="11"/>
        <item x="8"/>
        <item x="6"/>
        <item h="1" m="1" x="12"/>
        <item x="0"/>
        <item x="5"/>
        <item x="3"/>
        <item h="1" x="7"/>
        <item h="1" x="1"/>
        <item h="1" x="2"/>
        <item x="4"/>
        <item h="1" m="1" x="10"/>
        <item h="1" x="9"/>
        <item t="default"/>
      </items>
    </pivotField>
    <pivotField showAll="0"/>
    <pivotField axis="axisRow" showAll="0" sortType="ascending">
      <items count="797">
        <item x="139"/>
        <item x="38"/>
        <item x="39"/>
        <item x="40"/>
        <item x="41"/>
        <item x="42"/>
        <item x="43"/>
        <item x="44"/>
        <item x="45"/>
        <item x="46"/>
        <item x="47"/>
        <item x="48"/>
        <item x="49"/>
        <item x="50"/>
        <item x="51"/>
        <item x="52"/>
        <item x="53"/>
        <item x="54"/>
        <item x="55"/>
        <item x="56"/>
        <item x="3"/>
        <item x="4"/>
        <item x="5"/>
        <item x="6"/>
        <item x="57"/>
        <item x="58"/>
        <item x="59"/>
        <item x="60"/>
        <item x="61"/>
        <item x="62"/>
        <item x="63"/>
        <item x="64"/>
        <item x="65"/>
        <item x="66"/>
        <item x="67"/>
        <item x="68"/>
        <item x="69"/>
        <item x="70"/>
        <item x="71"/>
        <item x="8"/>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9"/>
        <item x="109"/>
        <item x="110"/>
        <item x="111"/>
        <item x="112"/>
        <item x="113"/>
        <item x="114"/>
        <item x="115"/>
        <item x="116"/>
        <item x="117"/>
        <item x="15"/>
        <item x="25"/>
        <item x="118"/>
        <item x="119"/>
        <item x="120"/>
        <item x="121"/>
        <item x="122"/>
        <item x="123"/>
        <item x="124"/>
        <item x="125"/>
        <item x="126"/>
        <item x="127"/>
        <item x="128"/>
        <item x="129"/>
        <item x="130"/>
        <item x="131"/>
        <item x="132"/>
        <item x="11"/>
        <item x="19"/>
        <item x="1"/>
        <item sd="0" m="1" x="216"/>
        <item sd="0" m="1" x="217"/>
        <item sd="0" m="1" x="218"/>
        <item sd="0" m="1" x="219"/>
        <item sd="0" m="1" x="220"/>
        <item sd="0" m="1" x="221"/>
        <item sd="0" m="1" x="222"/>
        <item sd="0" m="1" x="223"/>
        <item sd="0" m="1" x="224"/>
        <item sd="0" m="1" x="225"/>
        <item x="2"/>
        <item sd="0" m="1" x="226"/>
        <item sd="0" m="1" x="227"/>
        <item sd="0" m="1" x="228"/>
        <item sd="0" m="1" x="229"/>
        <item sd="0" m="1" x="230"/>
        <item sd="0" m="1" x="231"/>
        <item sd="0" m="1" x="232"/>
        <item sd="0" m="1" x="233"/>
        <item sd="0" m="1" x="234"/>
        <item sd="0" m="1" x="235"/>
        <item sd="0" m="1" x="236"/>
        <item sd="0" m="1" x="237"/>
        <item sd="0" m="1" x="238"/>
        <item sd="0" m="1" x="239"/>
        <item sd="0" m="1" x="240"/>
        <item sd="0" m="1" x="241"/>
        <item sd="0" m="1" x="242"/>
        <item sd="0" m="1" x="243"/>
        <item sd="0" m="1" x="244"/>
        <item sd="0" m="1" x="245"/>
        <item x="10"/>
        <item sd="0" m="1" x="246"/>
        <item sd="0" m="1" x="247"/>
        <item sd="0" m="1" x="248"/>
        <item sd="0" m="1" x="249"/>
        <item sd="0" m="1" x="250"/>
        <item sd="0" m="1" x="251"/>
        <item sd="0" m="1" x="252"/>
        <item sd="0" m="1" x="253"/>
        <item sd="0" m="1" x="254"/>
        <item sd="0" m="1" x="255"/>
        <item x="14"/>
        <item sd="0" m="1" x="256"/>
        <item sd="0" m="1" x="257"/>
        <item sd="0" m="1" x="258"/>
        <item sd="0" m="1" x="259"/>
        <item sd="0" m="1" x="260"/>
        <item sd="0" m="1" x="261"/>
        <item sd="0" m="1" x="262"/>
        <item sd="0" m="1" x="263"/>
        <item sd="0" m="1" x="264"/>
        <item sd="0" m="1" x="265"/>
        <item sd="0" m="1" x="266"/>
        <item sd="0" m="1" x="267"/>
        <item sd="0" m="1" x="268"/>
        <item sd="0" m="1" x="269"/>
        <item sd="0" m="1" x="270"/>
        <item sd="0" m="1" x="271"/>
        <item sd="0" m="1" x="272"/>
        <item sd="0" m="1" x="273"/>
        <item sd="0" m="1" x="274"/>
        <item sd="0" m="1" x="275"/>
        <item sd="0" m="1" x="276"/>
        <item sd="0" m="1" x="277"/>
        <item sd="0" m="1" x="278"/>
        <item sd="0" m="1" x="279"/>
        <item sd="0" m="1" x="280"/>
        <item sd="0" m="1" x="281"/>
        <item sd="0" m="1" x="282"/>
        <item sd="0" m="1" x="283"/>
        <item sd="0" m="1" x="284"/>
        <item sd="0" m="1" x="285"/>
        <item sd="0" x="7"/>
        <item sd="0" m="1" x="286"/>
        <item sd="0" m="1" x="287"/>
        <item sd="0" m="1" x="288"/>
        <item sd="0" m="1" x="289"/>
        <item sd="0" m="1" x="290"/>
        <item sd="0" m="1" x="291"/>
        <item sd="0" m="1" x="292"/>
        <item sd="0" m="1" x="293"/>
        <item sd="0" m="1" x="294"/>
        <item sd="0" m="1" x="295"/>
        <item sd="0" x="16"/>
        <item sd="0" m="1" x="296"/>
        <item sd="0" m="1" x="297"/>
        <item sd="0" m="1" x="298"/>
        <item sd="0" m="1" x="299"/>
        <item sd="0" m="1" x="300"/>
        <item sd="0" m="1" x="301"/>
        <item sd="0" m="1" x="302"/>
        <item sd="0" m="1" x="303"/>
        <item sd="0" m="1" x="304"/>
        <item sd="0" m="1" x="305"/>
        <item sd="0" m="1" x="141"/>
        <item sd="0" m="1" x="306"/>
        <item sd="0" m="1" x="307"/>
        <item sd="0" m="1" x="308"/>
        <item sd="0" m="1" x="309"/>
        <item sd="0" m="1" x="310"/>
        <item sd="0" m="1" x="311"/>
        <item sd="0" m="1" x="312"/>
        <item sd="0" m="1" x="313"/>
        <item sd="0" m="1" x="314"/>
        <item sd="0" m="1" x="315"/>
        <item sd="0" m="1" x="142"/>
        <item sd="0" m="1" x="316"/>
        <item sd="0" m="1" x="317"/>
        <item sd="0" m="1" x="318"/>
        <item sd="0" m="1" x="319"/>
        <item sd="0" m="1" x="320"/>
        <item sd="0" m="1" x="321"/>
        <item sd="0" m="1" x="322"/>
        <item sd="0" m="1" x="323"/>
        <item sd="0" m="1" x="324"/>
        <item sd="0" m="1" x="325"/>
        <item sd="0" x="17"/>
        <item sd="0" m="1" x="326"/>
        <item sd="0" m="1" x="327"/>
        <item sd="0" m="1" x="328"/>
        <item sd="0" m="1" x="329"/>
        <item sd="0" m="1" x="330"/>
        <item sd="0" m="1" x="331"/>
        <item sd="0" m="1" x="332"/>
        <item sd="0" m="1" x="333"/>
        <item sd="0" m="1" x="334"/>
        <item sd="0" m="1" x="335"/>
        <item sd="0" m="1" x="143"/>
        <item sd="0" m="1" x="336"/>
        <item sd="0" m="1" x="337"/>
        <item sd="0" m="1" x="338"/>
        <item sd="0" m="1" x="339"/>
        <item sd="0" m="1" x="340"/>
        <item sd="0" m="1" x="341"/>
        <item sd="0" m="1" x="342"/>
        <item sd="0" m="1" x="343"/>
        <item sd="0" m="1" x="344"/>
        <item sd="0" m="1" x="345"/>
        <item sd="0" m="1" x="144"/>
        <item sd="0" m="1" x="346"/>
        <item sd="0" m="1" x="347"/>
        <item sd="0" m="1" x="348"/>
        <item sd="0" m="1" x="349"/>
        <item sd="0" m="1" x="350"/>
        <item sd="0" m="1" x="351"/>
        <item sd="0" m="1" x="352"/>
        <item sd="0" m="1" x="353"/>
        <item sd="0" m="1" x="354"/>
        <item sd="0" m="1" x="355"/>
        <item sd="0" m="1" x="145"/>
        <item sd="0" m="1" x="356"/>
        <item sd="0" m="1" x="357"/>
        <item sd="0" m="1" x="358"/>
        <item sd="0" m="1" x="359"/>
        <item sd="0" m="1" x="360"/>
        <item sd="0" m="1" x="361"/>
        <item sd="0" m="1" x="362"/>
        <item sd="0" m="1" x="363"/>
        <item sd="0" m="1" x="364"/>
        <item sd="0" m="1" x="365"/>
        <item sd="0" x="18"/>
        <item sd="0" m="1" x="366"/>
        <item sd="0" m="1" x="367"/>
        <item sd="0" m="1" x="368"/>
        <item sd="0" m="1" x="369"/>
        <item sd="0" m="1" x="370"/>
        <item sd="0" m="1" x="371"/>
        <item sd="0" m="1" x="372"/>
        <item sd="0" m="1" x="373"/>
        <item sd="0" m="1" x="374"/>
        <item sd="0" m="1" x="375"/>
        <item sd="0" x="20"/>
        <item sd="0" m="1" x="376"/>
        <item sd="0" m="1" x="377"/>
        <item sd="0" m="1" x="378"/>
        <item sd="0" m="1" x="379"/>
        <item sd="0" m="1" x="380"/>
        <item sd="0" m="1" x="381"/>
        <item sd="0" m="1" x="382"/>
        <item sd="0" m="1" x="383"/>
        <item sd="0" m="1" x="384"/>
        <item sd="0" m="1" x="385"/>
        <item sd="0" x="21"/>
        <item sd="0" m="1" x="386"/>
        <item sd="0" m="1" x="387"/>
        <item sd="0" m="1" x="388"/>
        <item sd="0" m="1" x="389"/>
        <item sd="0" m="1" x="390"/>
        <item sd="0" m="1" x="391"/>
        <item sd="0" m="1" x="392"/>
        <item sd="0" m="1" x="393"/>
        <item sd="0" m="1" x="394"/>
        <item sd="0" m="1" x="395"/>
        <item sd="0" x="22"/>
        <item sd="0" m="1" x="396"/>
        <item sd="0" m="1" x="397"/>
        <item sd="0" m="1" x="398"/>
        <item sd="0" m="1" x="399"/>
        <item sd="0" m="1" x="400"/>
        <item sd="0" m="1" x="401"/>
        <item sd="0" m="1" x="402"/>
        <item sd="0" m="1" x="403"/>
        <item sd="0" m="1" x="404"/>
        <item sd="0" m="1" x="405"/>
        <item sd="0" m="1" x="146"/>
        <item sd="0" m="1" x="406"/>
        <item sd="0" m="1" x="407"/>
        <item sd="0" m="1" x="408"/>
        <item sd="0" m="1" x="409"/>
        <item sd="0" m="1" x="410"/>
        <item sd="0" m="1" x="411"/>
        <item sd="0" m="1" x="412"/>
        <item sd="0" m="1" x="413"/>
        <item sd="0" m="1" x="414"/>
        <item sd="0" m="1" x="415"/>
        <item sd="0" m="1" x="147"/>
        <item sd="0" m="1" x="416"/>
        <item sd="0" m="1" x="417"/>
        <item sd="0" m="1" x="418"/>
        <item sd="0" m="1" x="419"/>
        <item sd="0" m="1" x="420"/>
        <item sd="0" m="1" x="421"/>
        <item sd="0" m="1" x="422"/>
        <item sd="0" m="1" x="423"/>
        <item sd="0" m="1" x="424"/>
        <item sd="0" m="1" x="425"/>
        <item sd="0" x="23"/>
        <item sd="0" m="1" x="426"/>
        <item sd="0" m="1" x="427"/>
        <item sd="0" m="1" x="428"/>
        <item sd="0" m="1" x="429"/>
        <item sd="0" m="1" x="430"/>
        <item sd="0" m="1" x="431"/>
        <item sd="0" m="1" x="432"/>
        <item sd="0" m="1" x="433"/>
        <item sd="0" m="1" x="434"/>
        <item sd="0" m="1" x="435"/>
        <item sd="0" m="1" x="148"/>
        <item sd="0" m="1" x="436"/>
        <item sd="0" m="1" x="437"/>
        <item sd="0" m="1" x="438"/>
        <item sd="0" m="1" x="439"/>
        <item sd="0" m="1" x="440"/>
        <item sd="0" m="1" x="441"/>
        <item sd="0" m="1" x="442"/>
        <item sd="0" m="1" x="443"/>
        <item sd="0" m="1" x="444"/>
        <item sd="0" m="1" x="445"/>
        <item sd="0" m="1" x="149"/>
        <item sd="0" m="1" x="446"/>
        <item sd="0" m="1" x="447"/>
        <item sd="0" m="1" x="448"/>
        <item sd="0" m="1" x="449"/>
        <item sd="0" m="1" x="450"/>
        <item sd="0" m="1" x="451"/>
        <item sd="0" m="1" x="452"/>
        <item sd="0" m="1" x="453"/>
        <item sd="0" m="1" x="454"/>
        <item sd="0" m="1" x="455"/>
        <item sd="0" m="1" x="150"/>
        <item sd="0" m="1" x="456"/>
        <item sd="0" m="1" x="457"/>
        <item sd="0" m="1" x="458"/>
        <item sd="0" m="1" x="459"/>
        <item sd="0" m="1" x="460"/>
        <item sd="0" m="1" x="461"/>
        <item sd="0" m="1" x="462"/>
        <item sd="0" m="1" x="463"/>
        <item sd="0" m="1" x="464"/>
        <item sd="0" m="1" x="465"/>
        <item sd="0" m="1" x="151"/>
        <item sd="0" m="1" x="466"/>
        <item sd="0" m="1" x="467"/>
        <item sd="0" m="1" x="468"/>
        <item sd="0" m="1" x="469"/>
        <item sd="0" m="1" x="470"/>
        <item sd="0" m="1" x="471"/>
        <item sd="0" m="1" x="472"/>
        <item sd="0" m="1" x="473"/>
        <item sd="0" m="1" x="474"/>
        <item sd="0" m="1" x="475"/>
        <item sd="0" m="1" x="152"/>
        <item sd="0" m="1" x="476"/>
        <item sd="0" m="1" x="477"/>
        <item sd="0" m="1" x="478"/>
        <item sd="0" m="1" x="479"/>
        <item sd="0" m="1" x="480"/>
        <item sd="0" m="1" x="481"/>
        <item sd="0" m="1" x="482"/>
        <item sd="0" m="1" x="483"/>
        <item sd="0" m="1" x="484"/>
        <item sd="0" m="1" x="485"/>
        <item sd="0" m="1" x="153"/>
        <item sd="0" m="1" x="486"/>
        <item sd="0" m="1" x="487"/>
        <item sd="0" m="1" x="488"/>
        <item sd="0" m="1" x="489"/>
        <item sd="0" m="1" x="490"/>
        <item sd="0" m="1" x="491"/>
        <item sd="0" m="1" x="492"/>
        <item sd="0" m="1" x="493"/>
        <item sd="0" m="1" x="494"/>
        <item sd="0" m="1" x="495"/>
        <item sd="0" m="1" x="154"/>
        <item sd="0" m="1" x="496"/>
        <item sd="0" m="1" x="497"/>
        <item sd="0" m="1" x="498"/>
        <item sd="0" m="1" x="499"/>
        <item sd="0" m="1" x="500"/>
        <item sd="0" m="1" x="501"/>
        <item sd="0" m="1" x="502"/>
        <item sd="0" m="1" x="503"/>
        <item sd="0" m="1" x="504"/>
        <item sd="0" m="1" x="505"/>
        <item sd="0" m="1" x="155"/>
        <item sd="0" m="1" x="506"/>
        <item sd="0" m="1" x="507"/>
        <item sd="0" m="1" x="508"/>
        <item sd="0" m="1" x="509"/>
        <item sd="0" m="1" x="510"/>
        <item sd="0" m="1" x="511"/>
        <item sd="0" m="1" x="512"/>
        <item sd="0" m="1" x="513"/>
        <item sd="0" m="1" x="514"/>
        <item sd="0" m="1" x="515"/>
        <item sd="0" m="1" x="156"/>
        <item sd="0" m="1" x="516"/>
        <item sd="0" m="1" x="517"/>
        <item sd="0" m="1" x="518"/>
        <item sd="0" m="1" x="519"/>
        <item sd="0" m="1" x="520"/>
        <item sd="0" m="1" x="521"/>
        <item sd="0" m="1" x="522"/>
        <item sd="0" m="1" x="523"/>
        <item sd="0" m="1" x="524"/>
        <item sd="0" m="1" x="525"/>
        <item sd="0" m="1" x="157"/>
        <item sd="0" m="1" x="526"/>
        <item sd="0" m="1" x="527"/>
        <item sd="0" m="1" x="528"/>
        <item sd="0" m="1" x="529"/>
        <item sd="0" m="1" x="530"/>
        <item sd="0" m="1" x="531"/>
        <item sd="0" m="1" x="532"/>
        <item sd="0" m="1" x="533"/>
        <item sd="0" m="1" x="534"/>
        <item sd="0" m="1" x="535"/>
        <item sd="0" m="1" x="158"/>
        <item sd="0" m="1" x="536"/>
        <item sd="0" m="1" x="537"/>
        <item sd="0" m="1" x="538"/>
        <item sd="0" m="1" x="539"/>
        <item sd="0" m="1" x="540"/>
        <item sd="0" m="1" x="541"/>
        <item sd="0" m="1" x="542"/>
        <item sd="0" m="1" x="543"/>
        <item sd="0" m="1" x="544"/>
        <item sd="0" m="1" x="545"/>
        <item sd="0" m="1" x="159"/>
        <item sd="0" m="1" x="546"/>
        <item sd="0" m="1" x="547"/>
        <item sd="0" m="1" x="548"/>
        <item sd="0" m="1" x="549"/>
        <item sd="0" m="1" x="550"/>
        <item sd="0" m="1" x="551"/>
        <item sd="0" m="1" x="552"/>
        <item sd="0" m="1" x="553"/>
        <item sd="0" m="1" x="554"/>
        <item sd="0" m="1" x="555"/>
        <item sd="0" m="1" x="160"/>
        <item sd="0" m="1" x="556"/>
        <item sd="0" m="1" x="557"/>
        <item sd="0" m="1" x="558"/>
        <item sd="0" m="1" x="559"/>
        <item sd="0" m="1" x="560"/>
        <item sd="0" m="1" x="561"/>
        <item sd="0" m="1" x="562"/>
        <item sd="0" m="1" x="563"/>
        <item sd="0" m="1" x="564"/>
        <item sd="0" m="1" x="565"/>
        <item sd="0" m="1" x="161"/>
        <item sd="0" m="1" x="566"/>
        <item sd="0" m="1" x="567"/>
        <item sd="0" m="1" x="568"/>
        <item sd="0" m="1" x="569"/>
        <item sd="0" m="1" x="570"/>
        <item sd="0" m="1" x="571"/>
        <item sd="0" m="1" x="572"/>
        <item sd="0" m="1" x="573"/>
        <item sd="0" m="1" x="574"/>
        <item sd="0" m="1" x="575"/>
        <item sd="0" m="1" x="162"/>
        <item sd="0" m="1" x="576"/>
        <item sd="0" m="1" x="577"/>
        <item sd="0" m="1" x="578"/>
        <item sd="0" m="1" x="579"/>
        <item sd="0" m="1" x="580"/>
        <item sd="0" m="1" x="581"/>
        <item sd="0" m="1" x="582"/>
        <item sd="0" m="1" x="583"/>
        <item sd="0" m="1" x="584"/>
        <item sd="0" m="1" x="585"/>
        <item sd="0" m="1" x="163"/>
        <item sd="0" m="1" x="586"/>
        <item sd="0" m="1" x="587"/>
        <item sd="0" m="1" x="588"/>
        <item sd="0" m="1" x="589"/>
        <item sd="0" m="1" x="590"/>
        <item sd="0" m="1" x="591"/>
        <item sd="0" m="1" x="592"/>
        <item sd="0" m="1" x="593"/>
        <item sd="0" m="1" x="594"/>
        <item sd="0" m="1" x="595"/>
        <item sd="0" m="1" x="164"/>
        <item sd="0" m="1" x="596"/>
        <item sd="0" m="1" x="597"/>
        <item sd="0" m="1" x="598"/>
        <item sd="0" m="1" x="599"/>
        <item sd="0" m="1" x="600"/>
        <item sd="0" m="1" x="601"/>
        <item sd="0" m="1" x="602"/>
        <item sd="0" m="1" x="603"/>
        <item sd="0" m="1" x="604"/>
        <item sd="0" m="1" x="605"/>
        <item sd="0" m="1" x="165"/>
        <item sd="0" m="1" x="606"/>
        <item sd="0" m="1" x="607"/>
        <item sd="0" m="1" x="608"/>
        <item sd="0" m="1" x="609"/>
        <item sd="0" m="1" x="610"/>
        <item sd="0" m="1" x="611"/>
        <item sd="0" m="1" x="612"/>
        <item sd="0" m="1" x="613"/>
        <item sd="0" m="1" x="614"/>
        <item sd="0" m="1" x="615"/>
        <item sd="0" m="1" x="166"/>
        <item sd="0" m="1" x="616"/>
        <item sd="0" m="1" x="617"/>
        <item sd="0" m="1" x="618"/>
        <item sd="0" m="1" x="619"/>
        <item sd="0" m="1" x="620"/>
        <item sd="0" m="1" x="621"/>
        <item sd="0" m="1" x="622"/>
        <item sd="0" m="1" x="623"/>
        <item sd="0" m="1" x="624"/>
        <item sd="0" m="1" x="625"/>
        <item sd="0" m="1" x="167"/>
        <item sd="0" m="1" x="626"/>
        <item sd="0" m="1" x="627"/>
        <item sd="0" m="1" x="628"/>
        <item sd="0" m="1" x="629"/>
        <item sd="0" m="1" x="630"/>
        <item sd="0" m="1" x="631"/>
        <item sd="0" m="1" x="632"/>
        <item sd="0" m="1" x="633"/>
        <item sd="0" m="1" x="634"/>
        <item sd="0" m="1" x="635"/>
        <item sd="0" m="1" x="168"/>
        <item sd="0" m="1" x="636"/>
        <item sd="0" m="1" x="637"/>
        <item sd="0" m="1" x="638"/>
        <item sd="0" m="1" x="639"/>
        <item sd="0" m="1" x="640"/>
        <item sd="0" m="1" x="641"/>
        <item sd="0" m="1" x="642"/>
        <item sd="0" m="1" x="643"/>
        <item sd="0" m="1" x="644"/>
        <item sd="0" m="1" x="645"/>
        <item sd="0" m="1" x="169"/>
        <item sd="0" m="1" x="646"/>
        <item sd="0" m="1" x="647"/>
        <item sd="0" m="1" x="648"/>
        <item sd="0" m="1" x="649"/>
        <item sd="0" m="1" x="650"/>
        <item sd="0" m="1" x="651"/>
        <item sd="0" m="1" x="652"/>
        <item sd="0" m="1" x="653"/>
        <item sd="0" m="1" x="654"/>
        <item sd="0" m="1" x="655"/>
        <item sd="0" m="1" x="170"/>
        <item sd="0" m="1" x="656"/>
        <item sd="0" m="1" x="657"/>
        <item sd="0" m="1" x="658"/>
        <item sd="0" m="1" x="659"/>
        <item sd="0" m="1" x="660"/>
        <item sd="0" m="1" x="661"/>
        <item sd="0" m="1" x="662"/>
        <item sd="0" m="1" x="663"/>
        <item sd="0" m="1" x="664"/>
        <item sd="0" m="1" x="665"/>
        <item sd="0" m="1" x="171"/>
        <item sd="0" m="1" x="666"/>
        <item sd="0" m="1" x="667"/>
        <item sd="0" m="1" x="668"/>
        <item sd="0" m="1" x="669"/>
        <item sd="0" m="1" x="670"/>
        <item sd="0" m="1" x="671"/>
        <item sd="0" m="1" x="672"/>
        <item sd="0" m="1" x="673"/>
        <item sd="0" m="1" x="674"/>
        <item sd="0" m="1" x="675"/>
        <item sd="0" m="1" x="172"/>
        <item sd="0" m="1" x="676"/>
        <item sd="0" m="1" x="677"/>
        <item sd="0" m="1" x="678"/>
        <item sd="0" m="1" x="679"/>
        <item sd="0" m="1" x="680"/>
        <item sd="0" m="1" x="681"/>
        <item sd="0" m="1" x="682"/>
        <item sd="0" m="1" x="683"/>
        <item sd="0" m="1" x="684"/>
        <item sd="0" m="1" x="685"/>
        <item sd="0" m="1" x="173"/>
        <item sd="0" m="1" x="686"/>
        <item sd="0" m="1" x="687"/>
        <item sd="0" m="1" x="688"/>
        <item sd="0" m="1" x="689"/>
        <item sd="0" m="1" x="690"/>
        <item sd="0" m="1" x="691"/>
        <item sd="0" m="1" x="692"/>
        <item sd="0" m="1" x="693"/>
        <item sd="0" m="1" x="694"/>
        <item sd="0" m="1" x="695"/>
        <item sd="0" m="1" x="174"/>
        <item sd="0" m="1" x="696"/>
        <item sd="0" m="1" x="697"/>
        <item sd="0" m="1" x="698"/>
        <item sd="0" m="1" x="699"/>
        <item sd="0" m="1" x="700"/>
        <item sd="0" m="1" x="701"/>
        <item sd="0" m="1" x="702"/>
        <item sd="0" m="1" x="703"/>
        <item sd="0" m="1" x="704"/>
        <item sd="0" m="1" x="705"/>
        <item sd="0" m="1" x="175"/>
        <item sd="0" m="1" x="706"/>
        <item sd="0" m="1" x="707"/>
        <item sd="0" m="1" x="708"/>
        <item sd="0" m="1" x="709"/>
        <item sd="0" m="1" x="710"/>
        <item sd="0" m="1" x="711"/>
        <item sd="0" m="1" x="712"/>
        <item sd="0" m="1" x="713"/>
        <item sd="0" m="1" x="714"/>
        <item sd="0" m="1" x="715"/>
        <item sd="0" m="1" x="176"/>
        <item sd="0" m="1" x="716"/>
        <item sd="0" m="1" x="717"/>
        <item sd="0" m="1" x="718"/>
        <item sd="0" m="1" x="719"/>
        <item sd="0" m="1" x="720"/>
        <item sd="0" m="1" x="721"/>
        <item sd="0" m="1" x="722"/>
        <item sd="0" m="1" x="723"/>
        <item sd="0" m="1" x="724"/>
        <item sd="0" m="1" x="725"/>
        <item sd="0" m="1" x="177"/>
        <item sd="0" m="1" x="726"/>
        <item sd="0" m="1" x="727"/>
        <item sd="0" m="1" x="728"/>
        <item sd="0" m="1" x="729"/>
        <item sd="0" m="1" x="730"/>
        <item sd="0" m="1" x="731"/>
        <item sd="0" m="1" x="732"/>
        <item sd="0" m="1" x="733"/>
        <item sd="0" m="1" x="734"/>
        <item sd="0" m="1" x="735"/>
        <item sd="0" m="1" x="178"/>
        <item sd="0" m="1" x="736"/>
        <item sd="0" m="1" x="737"/>
        <item sd="0" m="1" x="738"/>
        <item sd="0" m="1" x="739"/>
        <item sd="0" m="1" x="740"/>
        <item sd="0" m="1" x="741"/>
        <item sd="0" m="1" x="742"/>
        <item sd="0" m="1" x="743"/>
        <item sd="0" m="1" x="744"/>
        <item sd="0" m="1" x="745"/>
        <item sd="0" m="1" x="179"/>
        <item sd="0" m="1" x="746"/>
        <item sd="0" m="1" x="747"/>
        <item sd="0" m="1" x="748"/>
        <item sd="0" m="1" x="749"/>
        <item sd="0" m="1" x="750"/>
        <item sd="0" m="1" x="751"/>
        <item sd="0" m="1" x="752"/>
        <item sd="0" m="1" x="753"/>
        <item sd="0" m="1" x="754"/>
        <item sd="0" m="1" x="755"/>
        <item sd="0" m="1" x="180"/>
        <item sd="0" m="1" x="756"/>
        <item sd="0" m="1" x="757"/>
        <item sd="0" m="1" x="758"/>
        <item sd="0" m="1" x="759"/>
        <item sd="0" m="1" x="760"/>
        <item sd="0" m="1" x="761"/>
        <item sd="0" m="1" x="762"/>
        <item sd="0" m="1" x="763"/>
        <item sd="0" m="1" x="764"/>
        <item sd="0" m="1" x="765"/>
        <item sd="0" m="1" x="181"/>
        <item sd="0" m="1" x="766"/>
        <item sd="0" m="1" x="767"/>
        <item sd="0" m="1" x="768"/>
        <item sd="0" m="1" x="769"/>
        <item sd="0" m="1" x="770"/>
        <item sd="0" m="1" x="771"/>
        <item sd="0" m="1" x="772"/>
        <item sd="0" m="1" x="773"/>
        <item sd="0" m="1" x="774"/>
        <item sd="0" m="1" x="775"/>
        <item sd="0" m="1" x="182"/>
        <item sd="0" m="1" x="776"/>
        <item sd="0" m="1" x="777"/>
        <item sd="0" m="1" x="778"/>
        <item sd="0" m="1" x="779"/>
        <item sd="0" m="1" x="780"/>
        <item sd="0" m="1" x="781"/>
        <item sd="0" m="1" x="782"/>
        <item sd="0" m="1" x="783"/>
        <item sd="0" m="1" x="784"/>
        <item sd="0" m="1" x="785"/>
        <item sd="0" m="1" x="183"/>
        <item sd="0" m="1" x="786"/>
        <item sd="0" m="1" x="787"/>
        <item sd="0" m="1" x="788"/>
        <item sd="0" m="1" x="789"/>
        <item sd="0" m="1" x="790"/>
        <item sd="0" m="1" x="791"/>
        <item sd="0" m="1" x="792"/>
        <item sd="0" m="1" x="793"/>
        <item sd="0" m="1" x="794"/>
        <item sd="0" m="1" x="795"/>
        <item sd="0" m="1" x="184"/>
        <item sd="0" m="1" x="185"/>
        <item sd="0" m="1" x="186"/>
        <item sd="0" m="1" x="187"/>
        <item sd="0" m="1" x="188"/>
        <item sd="0" m="1" x="189"/>
        <item sd="0" m="1" x="190"/>
        <item sd="0" m="1" x="191"/>
        <item sd="0" m="1" x="192"/>
        <item sd="0" m="1" x="193"/>
        <item sd="0" m="1" x="194"/>
        <item sd="0" m="1" x="195"/>
        <item sd="0" m="1" x="196"/>
        <item sd="0" m="1" x="197"/>
        <item sd="0" m="1" x="198"/>
        <item sd="0" m="1" x="199"/>
        <item sd="0" m="1" x="200"/>
        <item sd="0" m="1" x="201"/>
        <item sd="0" m="1" x="202"/>
        <item sd="0" m="1" x="203"/>
        <item sd="0" m="1" x="204"/>
        <item sd="0" m="1" x="205"/>
        <item sd="0" m="1" x="206"/>
        <item sd="0" m="1" x="207"/>
        <item sd="0" m="1" x="208"/>
        <item sd="0" m="1" x="209"/>
        <item sd="0" m="1" x="210"/>
        <item sd="0" m="1" x="211"/>
        <item sd="0" m="1" x="212"/>
        <item sd="0" m="1" x="213"/>
        <item sd="0" m="1" x="214"/>
        <item sd="0" m="1" x="215"/>
        <item x="24"/>
        <item x="26"/>
        <item x="27"/>
        <item x="28"/>
        <item x="29"/>
        <item x="30"/>
        <item x="31"/>
        <item x="32"/>
        <item x="33"/>
        <item x="34"/>
        <item x="35"/>
        <item x="36"/>
        <item x="37"/>
        <item x="133"/>
        <item x="134"/>
        <item x="135"/>
        <item x="136"/>
        <item x="137"/>
        <item x="138"/>
        <item x="0"/>
        <item x="12"/>
        <item x="13"/>
        <item sd="0" x="140"/>
        <item t="default" sd="0"/>
      </items>
    </pivotField>
    <pivotField dataField="1" showAll="0"/>
    <pivotField showAll="0">
      <items count="11">
        <item h="1" sd="0" x="5"/>
        <item n="Net Income" sd="0" x="8"/>
        <item sd="0" x="4"/>
        <item h="1" sd="0" x="3"/>
        <item h="1" sd="0" x="1"/>
        <item n="Exposed Capital" sd="0" x="7"/>
        <item h="1" sd="0" x="0"/>
        <item h="1" sd="0" x="2"/>
        <item h="1" sd="0" x="6"/>
        <item h="1" x="9"/>
        <item t="default"/>
      </items>
    </pivotField>
    <pivotField dragToRow="0" dragToCol="0" dragToPage="0" showAll="0" defaultSubtotal="0"/>
    <pivotField axis="axisCol" showAll="0">
      <items count="10">
        <item h="1" sd="0" x="4"/>
        <item n="Net Income" x="7"/>
        <item h="1" sd="0" x="3"/>
        <item h="1" sd="0" x="1"/>
        <item n="Exposed Capital" sd="0" x="6"/>
        <item h="1" sd="0" x="0"/>
        <item h="1" sd="0" x="2"/>
        <item h="1" sd="0" x="5"/>
        <item h="1" x="8"/>
        <item t="default"/>
      </items>
    </pivotField>
  </pivotFields>
  <rowFields count="1">
    <field x="7"/>
  </rowFields>
  <rowItems count="109">
    <i>
      <x v="2"/>
    </i>
    <i>
      <x v="3"/>
    </i>
    <i>
      <x v="4"/>
    </i>
    <i>
      <x v="5"/>
    </i>
    <i>
      <x v="7"/>
    </i>
    <i>
      <x v="8"/>
    </i>
    <i>
      <x v="9"/>
    </i>
    <i>
      <x v="10"/>
    </i>
    <i>
      <x v="11"/>
    </i>
    <i>
      <x v="13"/>
    </i>
    <i>
      <x v="14"/>
    </i>
    <i>
      <x v="15"/>
    </i>
    <i>
      <x v="16"/>
    </i>
    <i>
      <x v="17"/>
    </i>
    <i>
      <x v="18"/>
    </i>
    <i>
      <x v="19"/>
    </i>
    <i>
      <x v="25"/>
    </i>
    <i>
      <x v="27"/>
    </i>
    <i>
      <x v="28"/>
    </i>
    <i>
      <x v="29"/>
    </i>
    <i>
      <x v="30"/>
    </i>
    <i>
      <x v="32"/>
    </i>
    <i>
      <x v="33"/>
    </i>
    <i>
      <x v="34"/>
    </i>
    <i>
      <x v="35"/>
    </i>
    <i>
      <x v="36"/>
    </i>
    <i>
      <x v="37"/>
    </i>
    <i>
      <x v="38"/>
    </i>
    <i>
      <x v="39"/>
    </i>
    <i>
      <x v="40"/>
    </i>
    <i>
      <x v="42"/>
    </i>
    <i>
      <x v="43"/>
    </i>
    <i>
      <x v="44"/>
    </i>
    <i>
      <x v="45"/>
    </i>
    <i>
      <x v="47"/>
    </i>
    <i>
      <x v="48"/>
    </i>
    <i>
      <x v="49"/>
    </i>
    <i>
      <x v="51"/>
    </i>
    <i>
      <x v="53"/>
    </i>
    <i>
      <x v="55"/>
    </i>
    <i>
      <x v="56"/>
    </i>
    <i>
      <x v="57"/>
    </i>
    <i>
      <x v="58"/>
    </i>
    <i>
      <x v="59"/>
    </i>
    <i>
      <x v="61"/>
    </i>
    <i>
      <x v="62"/>
    </i>
    <i>
      <x v="65"/>
    </i>
    <i>
      <x v="66"/>
    </i>
    <i>
      <x v="67"/>
    </i>
    <i>
      <x v="69"/>
    </i>
    <i>
      <x v="70"/>
    </i>
    <i>
      <x v="71"/>
    </i>
    <i>
      <x v="72"/>
    </i>
    <i>
      <x v="73"/>
    </i>
    <i>
      <x v="74"/>
    </i>
    <i>
      <x v="78"/>
    </i>
    <i>
      <x v="79"/>
    </i>
    <i>
      <x v="80"/>
    </i>
    <i>
      <x v="81"/>
    </i>
    <i>
      <x v="82"/>
    </i>
    <i>
      <x v="83"/>
    </i>
    <i>
      <x v="84"/>
    </i>
    <i>
      <x v="85"/>
    </i>
    <i>
      <x v="86"/>
    </i>
    <i>
      <x v="87"/>
    </i>
    <i>
      <x v="88"/>
    </i>
    <i>
      <x v="89"/>
    </i>
    <i>
      <x v="90"/>
    </i>
    <i>
      <x v="91"/>
    </i>
    <i>
      <x v="92"/>
    </i>
    <i>
      <x v="93"/>
    </i>
    <i>
      <x v="94"/>
    </i>
    <i>
      <x v="95"/>
    </i>
    <i>
      <x v="96"/>
    </i>
    <i>
      <x v="97"/>
    </i>
    <i>
      <x v="100"/>
    </i>
    <i>
      <x v="101"/>
    </i>
    <i>
      <x v="102"/>
    </i>
    <i>
      <x v="103"/>
    </i>
    <i>
      <x v="104"/>
    </i>
    <i>
      <x v="105"/>
    </i>
    <i>
      <x v="117"/>
    </i>
    <i>
      <x v="138"/>
    </i>
    <i>
      <x v="149"/>
    </i>
    <i>
      <x v="180"/>
    </i>
    <i>
      <x v="191"/>
    </i>
    <i>
      <x v="268"/>
    </i>
    <i>
      <x v="279"/>
    </i>
    <i>
      <x v="290"/>
    </i>
    <i>
      <x v="301"/>
    </i>
    <i>
      <x v="334"/>
    </i>
    <i>
      <x v="773"/>
    </i>
    <i>
      <x v="774"/>
    </i>
    <i>
      <x v="775"/>
    </i>
    <i>
      <x v="776"/>
    </i>
    <i>
      <x v="777"/>
    </i>
    <i>
      <x v="779"/>
    </i>
    <i>
      <x v="782"/>
    </i>
    <i>
      <x v="783"/>
    </i>
    <i>
      <x v="785"/>
    </i>
    <i>
      <x v="786"/>
    </i>
    <i>
      <x v="787"/>
    </i>
    <i>
      <x v="788"/>
    </i>
    <i>
      <x v="789"/>
    </i>
    <i>
      <x v="790"/>
    </i>
    <i>
      <x v="791"/>
    </i>
    <i>
      <x v="792"/>
    </i>
    <i>
      <x v="793"/>
    </i>
    <i>
      <x v="794"/>
    </i>
  </rowItems>
  <colFields count="1">
    <field x="11"/>
  </colFields>
  <colItems count="2">
    <i>
      <x v="1"/>
    </i>
    <i>
      <x v="4"/>
    </i>
  </colItems>
  <dataFields count="1">
    <dataField name="Sum of Amount" fld="8" baseField="0" baseItem="0"/>
  </dataFields>
  <formats count="3">
    <format dxfId="700">
      <pivotArea outline="0" collapsedLevelsAreSubtotals="1" fieldPosition="0"/>
    </format>
    <format dxfId="699">
      <pivotArea field="1" type="button" dataOnly="0" labelOnly="1" outline="0"/>
    </format>
    <format dxfId="698">
      <pivotArea dataOnly="0" labelOnly="1" outline="0" axis="axisValues"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857005-32EB-49E2-827E-EBBE89B45CE0}" name="PivotTable1" cacheId="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Open Positions">
  <location ref="B13:K41" firstHeaderRow="0" firstDataRow="1" firstDataCol="2" rowPageCount="1" colPageCount="1"/>
  <pivotFields count="21">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29">
        <item sd="0" x="27"/>
        <item sd="0" x="8"/>
        <item sd="0" x="13"/>
        <item sd="0" x="28"/>
        <item sd="0" x="6"/>
        <item sd="0" x="3"/>
        <item sd="0" x="16"/>
        <item sd="0" x="26"/>
        <item sd="0" x="11"/>
        <item sd="0" x="0"/>
        <item sd="0" x="2"/>
        <item sd="0" x="18"/>
        <item sd="0" x="10"/>
        <item sd="0" x="5"/>
        <item sd="0" x="20"/>
        <item sd="0" x="23"/>
        <item sd="0" x="25"/>
        <item sd="0" x="17"/>
        <item sd="0" x="22"/>
        <item sd="0" x="9"/>
        <item sd="0" x="14"/>
        <item sd="0" x="21"/>
        <item sd="0" x="4"/>
        <item sd="0" x="7"/>
        <item sd="0" x="24"/>
        <item sd="0" x="12"/>
        <item sd="0" x="19"/>
        <item sd="0" x="15"/>
        <item sd="0" x="1"/>
      </items>
      <autoSortScope>
        <pivotArea dataOnly="0" outline="0" fieldPosition="0">
          <references count="1">
            <reference field="4294967294" count="1" selected="0">
              <x v="4"/>
            </reference>
          </references>
        </pivotArea>
      </autoSortScope>
      <extLst>
        <ext xmlns:x14="http://schemas.microsoft.com/office/spreadsheetml/2009/9/main" uri="{2946ED86-A175-432a-8AC1-64E0C546D7DE}">
          <x14:pivotField fillDownLabels="1"/>
        </ext>
      </extLst>
    </pivotField>
    <pivotField axis="axisRow" compact="0" outline="0" showAll="0" sortType="descending" defaultSubtotal="0">
      <items count="12">
        <item m="1" x="9"/>
        <item x="2"/>
        <item x="0"/>
        <item x="7"/>
        <item x="4"/>
        <item m="1" x="11"/>
        <item x="8"/>
        <item x="3"/>
        <item m="1" x="10"/>
        <item x="5"/>
        <item x="6"/>
        <item x="1"/>
      </items>
      <autoSortScope>
        <pivotArea dataOnly="0" outline="0" fieldPosition="0">
          <references count="1">
            <reference field="4294967294" count="1" selected="0">
              <x v="4"/>
            </reference>
          </references>
        </pivotArea>
      </autoSortScope>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3">
        <item h="1" x="1"/>
        <item x="0"/>
        <item h="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2">
    <field x="2"/>
    <field x="1"/>
  </rowFields>
  <rowItems count="28">
    <i>
      <x v="1"/>
      <x v="15"/>
    </i>
    <i r="1">
      <x v="13"/>
    </i>
    <i r="1">
      <x v="5"/>
    </i>
    <i r="1">
      <x v="19"/>
    </i>
    <i r="1">
      <x v="20"/>
    </i>
    <i r="1">
      <x v="7"/>
    </i>
    <i>
      <x v="7"/>
      <x v="25"/>
    </i>
    <i r="1">
      <x v="4"/>
    </i>
    <i r="1">
      <x v="2"/>
    </i>
    <i r="1">
      <x v="1"/>
    </i>
    <i>
      <x v="11"/>
      <x v="10"/>
    </i>
    <i r="1">
      <x v="23"/>
    </i>
    <i r="1">
      <x v="18"/>
    </i>
    <i r="1">
      <x v="8"/>
    </i>
    <i r="1">
      <x v="6"/>
    </i>
    <i>
      <x v="4"/>
      <x v="12"/>
    </i>
    <i r="1">
      <x v="21"/>
    </i>
    <i r="1">
      <x v="17"/>
    </i>
    <i r="1">
      <x v="26"/>
    </i>
    <i>
      <x v="2"/>
      <x v="9"/>
    </i>
    <i r="1">
      <x v="11"/>
    </i>
    <i r="1">
      <x v="22"/>
    </i>
    <i r="1">
      <x v="27"/>
    </i>
    <i r="1">
      <x v="28"/>
    </i>
    <i r="1">
      <x v="16"/>
    </i>
    <i>
      <x v="9"/>
      <x v="14"/>
    </i>
    <i>
      <x v="10"/>
      <x v="24"/>
    </i>
    <i t="grand">
      <x/>
    </i>
  </rowItems>
  <colFields count="1">
    <field x="-2"/>
  </colFields>
  <colItems count="8">
    <i>
      <x/>
    </i>
    <i i="1">
      <x v="1"/>
    </i>
    <i i="2">
      <x v="2"/>
    </i>
    <i i="3">
      <x v="3"/>
    </i>
    <i i="4">
      <x v="4"/>
    </i>
    <i i="5">
      <x v="5"/>
    </i>
    <i i="6">
      <x v="6"/>
    </i>
    <i i="7">
      <x v="7"/>
    </i>
  </colItems>
  <pageFields count="1">
    <pageField fld="4" hier="-1"/>
  </pageFields>
  <dataFields count="8">
    <dataField name="Start Date" fld="7" subtotal="min" baseField="1" baseItem="25" numFmtId="169"/>
    <dataField name="Volume " fld="6" baseField="1" baseItem="25"/>
    <dataField name=" Entry Price USD" fld="20" baseField="1" baseItem="25" numFmtId="44"/>
    <dataField name="Holding Period (Mon)" fld="3" subtotal="max" baseField="2" baseItem="0" numFmtId="2"/>
    <dataField name="Entry Value USD" fld="10" baseField="2" baseItem="7" numFmtId="44"/>
    <dataField name="Market Value USD" fld="18" baseField="0" baseItem="0" numFmtId="44"/>
    <dataField name="Unrealized Gains" fld="17" baseField="0" baseItem="0" numFmtId="44"/>
    <dataField name="Unrealized Gains %" fld="19" baseField="2" baseItem="0" numFmtId="10"/>
  </dataFields>
  <formats count="21">
    <format dxfId="694">
      <pivotArea outline="0" collapsedLevelsAreSubtotals="1" fieldPosition="0">
        <references count="1">
          <reference field="4294967294" count="1" selected="0">
            <x v="3"/>
          </reference>
        </references>
      </pivotArea>
    </format>
    <format dxfId="693">
      <pivotArea field="2" type="button" dataOnly="0" labelOnly="1" outline="0" axis="axisRow" fieldPosition="0"/>
    </format>
    <format dxfId="692">
      <pivotArea dataOnly="0" labelOnly="1" outline="0" fieldPosition="0">
        <references count="1">
          <reference field="4294967294" count="1">
            <x v="3"/>
          </reference>
        </references>
      </pivotArea>
    </format>
    <format dxfId="691">
      <pivotArea dataOnly="0" labelOnly="1" outline="0" fieldPosition="0">
        <references count="1">
          <reference field="4294967294" count="1">
            <x v="3"/>
          </reference>
        </references>
      </pivotArea>
    </format>
    <format dxfId="690">
      <pivotArea outline="0" collapsedLevelsAreSubtotals="1" fieldPosition="0">
        <references count="1">
          <reference field="4294967294" count="1" selected="0">
            <x v="6"/>
          </reference>
        </references>
      </pivotArea>
    </format>
    <format dxfId="689">
      <pivotArea dataOnly="0" labelOnly="1" outline="0" fieldPosition="0">
        <references count="1">
          <reference field="4294967294" count="1">
            <x v="6"/>
          </reference>
        </references>
      </pivotArea>
    </format>
    <format dxfId="688">
      <pivotArea dataOnly="0" labelOnly="1" outline="0" fieldPosition="0">
        <references count="1">
          <reference field="4294967294" count="1">
            <x v="4"/>
          </reference>
        </references>
      </pivotArea>
    </format>
    <format dxfId="687">
      <pivotArea field="2" type="button" dataOnly="0" labelOnly="1" outline="0" axis="axisRow" fieldPosition="0"/>
    </format>
    <format dxfId="686">
      <pivotArea dataOnly="0" labelOnly="1" outline="0" fieldPosition="0">
        <references count="1">
          <reference field="4294967294" count="3">
            <x v="3"/>
            <x v="4"/>
            <x v="6"/>
          </reference>
        </references>
      </pivotArea>
    </format>
    <format dxfId="685">
      <pivotArea grandRow="1" outline="0" collapsedLevelsAreSubtotals="1" fieldPosition="0"/>
    </format>
    <format dxfId="684">
      <pivotArea dataOnly="0" labelOnly="1" grandRow="1" outline="0" fieldPosition="0"/>
    </format>
    <format dxfId="683">
      <pivotArea outline="0" collapsedLevelsAreSubtotals="1" fieldPosition="0">
        <references count="1">
          <reference field="4294967294" count="1" selected="0">
            <x v="4"/>
          </reference>
        </references>
      </pivotArea>
    </format>
    <format dxfId="682">
      <pivotArea outline="0" collapsedLevelsAreSubtotals="1" fieldPosition="0">
        <references count="1">
          <reference field="4294967294" count="1" selected="0">
            <x v="6"/>
          </reference>
        </references>
      </pivotArea>
    </format>
    <format dxfId="681">
      <pivotArea outline="0" fieldPosition="0">
        <references count="1">
          <reference field="4294967294" count="1">
            <x v="7"/>
          </reference>
        </references>
      </pivotArea>
    </format>
    <format dxfId="680">
      <pivotArea dataOnly="0" labelOnly="1" outline="0" fieldPosition="0">
        <references count="1">
          <reference field="4294967294" count="3">
            <x v="5"/>
            <x v="6"/>
            <x v="7"/>
          </reference>
        </references>
      </pivotArea>
    </format>
    <format dxfId="679">
      <pivotArea field="4" type="button" dataOnly="0" labelOnly="1" outline="0" axis="axisPage" fieldPosition="0"/>
    </format>
    <format dxfId="678">
      <pivotArea outline="0" fieldPosition="0">
        <references count="3">
          <reference field="4294967294" count="1" selected="0">
            <x v="0"/>
          </reference>
          <reference field="1" count="1" selected="0">
            <x v="25"/>
          </reference>
          <reference field="2" count="1" selected="0">
            <x v="7"/>
          </reference>
        </references>
      </pivotArea>
    </format>
    <format dxfId="677">
      <pivotArea outline="0" fieldPosition="0">
        <references count="1">
          <reference field="4294967294" count="1">
            <x v="0"/>
          </reference>
        </references>
      </pivotArea>
    </format>
    <format dxfId="676">
      <pivotArea outline="0" fieldPosition="0">
        <references count="1">
          <reference field="4294967294" count="1" selected="0">
            <x v="0"/>
          </reference>
        </references>
      </pivotArea>
    </format>
    <format dxfId="675">
      <pivotArea dataOnly="0" labelOnly="1" outline="0" fieldPosition="0">
        <references count="1">
          <reference field="4294967294" count="1">
            <x v="0"/>
          </reference>
        </references>
      </pivotArea>
    </format>
    <format dxfId="674">
      <pivotArea outline="0" fieldPosition="0">
        <references count="1">
          <reference field="4294967294" count="1">
            <x v="2"/>
          </reference>
        </references>
      </pivotArea>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pter" xr10:uid="{5E38ABB1-B2A5-49B8-BF23-943B4273A428}" sourceName="Chapter">
  <pivotTables>
    <pivotTable tabId="7" name="PivotTable1"/>
  </pivotTables>
  <data>
    <tabular pivotCacheId="1970586167">
      <items count="11">
        <i x="6" s="1"/>
        <i x="3" s="1"/>
        <i x="4" s="1"/>
        <i x="7" s="1"/>
        <i x="5" s="1"/>
        <i x="1"/>
        <i x="2"/>
        <i x="0" s="1"/>
        <i x="10" nd="1"/>
        <i x="9"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pter1" xr10:uid="{7356B0F2-E601-4B2E-AD1B-B02622F82969}" sourceName="Chapter">
  <pivotTables>
    <pivotTable tabId="7" name="PivotTable3"/>
  </pivotTables>
  <data>
    <tabular pivotCacheId="1241176446">
      <items count="12">
        <i x="6" s="1"/>
        <i x="2" s="1"/>
        <i x="1" s="1"/>
        <i x="3" s="1"/>
        <i x="0" s="1"/>
        <i x="5"/>
        <i x="4" s="1"/>
        <i x="9" nd="1"/>
        <i x="10" nd="1"/>
        <i x="7" nd="1"/>
        <i x="11" nd="1"/>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pter3" xr10:uid="{B4889464-8270-474E-9C80-93E4259869DE}" sourceName="Chapter">
  <data>
    <tabular pivotCacheId="1970586167">
      <items count="11">
        <i x="10" s="1"/>
        <i x="6" s="1"/>
        <i x="3" s="1"/>
        <i x="4" s="1"/>
        <i x="7" s="1"/>
        <i x="5" s="1"/>
        <i x="1" s="1"/>
        <i x="2" s="1"/>
        <i x="0" s="1"/>
        <i x="9"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pter11" xr10:uid="{DB3C5DD8-D607-4BB2-83DB-BFCB30DAA4B4}" sourceName="Chapter">
  <data>
    <tabular pivotCacheId="1241176446">
      <items count="12">
        <i x="9" s="1"/>
        <i x="6" s="1"/>
        <i x="2" s="1"/>
        <i x="10" s="1"/>
        <i x="1" s="1"/>
        <i x="3" s="1"/>
        <i x="0" s="1"/>
        <i x="5" s="1"/>
        <i x="7" s="1"/>
        <i x="4" s="1"/>
        <i x="11"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pter2" xr10:uid="{362A9DEA-11DC-48F4-A9A8-E1460B6BBB28}" sourceName="Chapter">
  <pivotTables>
    <pivotTable tabId="7" name="PivotTable6"/>
    <pivotTable tabId="7" name="PivotTable4"/>
    <pivotTable tabId="7" name="PivotTable5"/>
    <pivotTable tabId="7" name="PivotTable7"/>
    <pivotTable tabId="7" name="PivotTable8"/>
    <pivotTable tabId="8" name="PivotTable12"/>
  </pivotTables>
  <data>
    <tabular pivotCacheId="139815390">
      <items count="13">
        <i x="8" s="1"/>
        <i x="6" s="1"/>
        <i x="0" s="1"/>
        <i x="5" s="1"/>
        <i x="3" s="1"/>
        <i x="7"/>
        <i x="1"/>
        <i x="2"/>
        <i x="4" s="1"/>
        <i x="11" nd="1"/>
        <i x="12" nd="1"/>
        <i x="10" nd="1"/>
        <i x="9"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pter12" xr10:uid="{B528E93B-1EBC-4721-9A44-C96421AD9C9F}" sourceName="Chapter">
  <pivotTables>
    <pivotTable tabId="9" name="PivotTable1"/>
  </pivotTables>
  <data>
    <tabular pivotCacheId="1241176446">
      <items count="12">
        <i x="6" s="1"/>
        <i x="2" s="1"/>
        <i x="1" s="1"/>
        <i x="3" s="1"/>
        <i x="0" s="1"/>
        <i x="5" s="1"/>
        <i x="4" s="1"/>
        <i x="9" s="1" nd="1"/>
        <i x="10" s="1" nd="1"/>
        <i x="7" s="1" nd="1"/>
        <i x="11"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pter" xr10:uid="{4CC41F67-3DD2-4DF2-AB45-FF0EBC13C8DE}" cache="Slicer_Chapter" caption="Chapter" columnCount="3" rowHeight="241300"/>
  <slicer name="Chapter 1" xr10:uid="{EC35CD38-9EB6-44C7-8E18-9BC3A474890E}" cache="Slicer_Chapter1" caption="Chapter" columnCount="3" rowHeight="241300"/>
  <slicer name="Chapter 2" xr10:uid="{DAD004C4-99BC-4629-B267-FB97780501D6}" cache="Slicer_Chapter2" caption="Chapter"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pter 3" xr10:uid="{3D34DB39-F1CA-4600-9E0C-F3EA15289BA3}" cache="Slicer_Chapter3" caption="Chapter" columnCount="3" rowHeight="241300"/>
  <slicer name="Chapter 4" xr10:uid="{6AB90E93-5768-40D7-84CF-8794DFB45EDD}" cache="Slicer_Chapter11" caption="Chapter" columnCount="3" rowHeight="241300"/>
  <slicer name="Chapter 5" xr10:uid="{25E43F1B-6E22-4186-A714-C5E799FE6934}" cache="Slicer_Chapter2" caption="Chapter" columnCoun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pter 6" xr10:uid="{B2DB3A38-6F70-4569-BF83-46E711EE2DB9}" cache="Slicer_Chapter12" caption="Chapter" columnCount="3" rowHeight="241300"/>
</slicers>
</file>

<file path=xl/theme/theme1.xml><?xml version="1.0" encoding="utf-8"?>
<a:theme xmlns:a="http://schemas.openxmlformats.org/drawingml/2006/main" name="Office Theme 2007 - 2010">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0C275-DF9A-45E0-8960-24F546CEDF8B}">
  <sheetPr>
    <tabColor theme="9"/>
  </sheetPr>
  <dimension ref="B10:W265"/>
  <sheetViews>
    <sheetView tabSelected="1" zoomScaleNormal="100" workbookViewId="0">
      <selection activeCell="I22" sqref="I22"/>
    </sheetView>
  </sheetViews>
  <sheetFormatPr defaultRowHeight="15" x14ac:dyDescent="0.25"/>
  <cols>
    <col min="1" max="1" width="9.140625" style="37"/>
    <col min="2" max="2" width="23.42578125" style="37" bestFit="1" customWidth="1"/>
    <col min="3" max="3" width="11.5703125" style="37" bestFit="1" customWidth="1"/>
    <col min="4" max="4" width="11.140625" style="37" bestFit="1" customWidth="1"/>
    <col min="5" max="5" width="9.85546875" style="37" bestFit="1" customWidth="1"/>
    <col min="6" max="6" width="14.140625" style="37" bestFit="1" customWidth="1"/>
    <col min="7" max="7" width="9.140625" style="37"/>
    <col min="8" max="8" width="21.5703125" style="37" bestFit="1" customWidth="1"/>
    <col min="9" max="9" width="7.85546875" style="37" bestFit="1" customWidth="1"/>
    <col min="10" max="10" width="11.140625" style="37" bestFit="1" customWidth="1"/>
    <col min="11" max="11" width="10.5703125" style="37" bestFit="1" customWidth="1"/>
    <col min="12" max="13" width="10.7109375" style="37" bestFit="1" customWidth="1"/>
    <col min="14" max="14" width="17.85546875" style="37" bestFit="1" customWidth="1"/>
    <col min="15" max="15" width="16.140625" style="37" bestFit="1" customWidth="1"/>
    <col min="16" max="16" width="9.85546875" style="37" bestFit="1" customWidth="1"/>
    <col min="17" max="17" width="13.140625" style="37" bestFit="1" customWidth="1"/>
    <col min="18" max="18" width="10" style="37" bestFit="1" customWidth="1"/>
    <col min="19" max="19" width="9.85546875" style="37" bestFit="1" customWidth="1"/>
    <col min="20" max="20" width="9.140625" style="37"/>
    <col min="21" max="21" width="23.28515625" style="37" bestFit="1" customWidth="1"/>
    <col min="22" max="22" width="10.5703125" style="37" bestFit="1" customWidth="1"/>
    <col min="23" max="23" width="8.7109375" style="37" bestFit="1" customWidth="1"/>
    <col min="24" max="16384" width="9.140625" style="37"/>
  </cols>
  <sheetData>
    <row r="10" spans="2:23" x14ac:dyDescent="0.25">
      <c r="B10" s="66" t="s">
        <v>634</v>
      </c>
      <c r="C10" t="s">
        <v>639</v>
      </c>
      <c r="H10" s="66" t="s">
        <v>634</v>
      </c>
      <c r="I10" t="s">
        <v>639</v>
      </c>
    </row>
    <row r="11" spans="2:23" x14ac:dyDescent="0.25">
      <c r="U11" s="82" t="s">
        <v>640</v>
      </c>
      <c r="V11" s="82"/>
      <c r="W11" s="82"/>
    </row>
    <row r="12" spans="2:23" ht="45" x14ac:dyDescent="0.25">
      <c r="B12" s="64" t="s">
        <v>641</v>
      </c>
      <c r="C12" s="65" t="s">
        <v>642</v>
      </c>
      <c r="D12" s="65" t="s">
        <v>643</v>
      </c>
      <c r="E12" s="65" t="s">
        <v>644</v>
      </c>
      <c r="F12" s="65" t="s">
        <v>645</v>
      </c>
      <c r="H12" s="64" t="s">
        <v>646</v>
      </c>
      <c r="I12" s="65" t="s">
        <v>647</v>
      </c>
      <c r="J12" s="65" t="s">
        <v>648</v>
      </c>
      <c r="K12" s="65" t="s">
        <v>649</v>
      </c>
      <c r="L12" s="165" t="s">
        <v>650</v>
      </c>
      <c r="M12" s="65" t="s">
        <v>651</v>
      </c>
      <c r="O12" s="69" t="s">
        <v>652</v>
      </c>
      <c r="P12" s="70" t="s">
        <v>653</v>
      </c>
      <c r="R12" s="39" t="s">
        <v>654</v>
      </c>
      <c r="S12" s="40">
        <f>'CLOSED POSITION HISTORY'!$J$9</f>
        <v>85.05</v>
      </c>
      <c r="U12" s="39" t="s">
        <v>655</v>
      </c>
      <c r="V12" s="39" t="s">
        <v>6</v>
      </c>
      <c r="W12" s="39" t="s">
        <v>656</v>
      </c>
    </row>
    <row r="13" spans="2:23" x14ac:dyDescent="0.25">
      <c r="B13" s="57" t="s">
        <v>657</v>
      </c>
      <c r="C13" s="59">
        <v>10.10222483872122</v>
      </c>
      <c r="D13" s="60">
        <v>843.87000000000023</v>
      </c>
      <c r="E13" s="60">
        <v>915.69000000000028</v>
      </c>
      <c r="F13" s="60">
        <v>51.70000000000001</v>
      </c>
      <c r="H13" s="57" t="s">
        <v>739</v>
      </c>
      <c r="I13" s="67">
        <v>10.880314916895452</v>
      </c>
      <c r="J13" s="60">
        <v>407.81000000000006</v>
      </c>
      <c r="K13" s="60">
        <v>409.92000000000007</v>
      </c>
      <c r="L13" s="71">
        <v>2.1100000000000012</v>
      </c>
      <c r="M13" s="68">
        <v>5.1739780780265341E-3</v>
      </c>
      <c r="O13" s="57" t="s">
        <v>69</v>
      </c>
      <c r="P13" s="58">
        <v>14.789999999999997</v>
      </c>
      <c r="R13" s="37" t="s">
        <v>658</v>
      </c>
      <c r="S13" s="42">
        <f>MIN(O34:O246)</f>
        <v>-1560.4900000000007</v>
      </c>
      <c r="U13" s="43" t="s">
        <v>659</v>
      </c>
      <c r="V13" s="44">
        <f>V14-V15</f>
        <v>1490.4900000000002</v>
      </c>
      <c r="W13" s="45">
        <f>V13/$V$13</f>
        <v>1</v>
      </c>
    </row>
    <row r="14" spans="2:23" x14ac:dyDescent="0.25">
      <c r="B14" s="76" t="s">
        <v>959</v>
      </c>
      <c r="C14" s="59">
        <v>8.9815608917737428</v>
      </c>
      <c r="D14" s="60">
        <v>127.47000000000001</v>
      </c>
      <c r="E14" s="60">
        <v>148.9</v>
      </c>
      <c r="F14" s="60">
        <v>21.43</v>
      </c>
      <c r="H14" s="57" t="s">
        <v>854</v>
      </c>
      <c r="I14" s="67">
        <v>10.164654095705119</v>
      </c>
      <c r="J14" s="60">
        <v>358.7</v>
      </c>
      <c r="K14" s="60">
        <v>364.3</v>
      </c>
      <c r="L14" s="71">
        <v>5.6000000000000005</v>
      </c>
      <c r="M14" s="68">
        <v>1.5611931976582104E-2</v>
      </c>
      <c r="O14" s="57" t="s">
        <v>205</v>
      </c>
      <c r="P14" s="58">
        <v>0</v>
      </c>
      <c r="U14" s="43" t="s">
        <v>660</v>
      </c>
      <c r="V14" s="44">
        <f>GETPIVOTDATA("Market Value USD",$H$12)</f>
        <v>1557.8300000000002</v>
      </c>
      <c r="W14" s="45">
        <f t="shared" ref="W14:W17" si="0">V14/$V$13</f>
        <v>1.0451797730947541</v>
      </c>
    </row>
    <row r="15" spans="2:23" x14ac:dyDescent="0.25">
      <c r="B15" s="76" t="s">
        <v>962</v>
      </c>
      <c r="C15" s="59">
        <v>4.1938561130065537</v>
      </c>
      <c r="D15" s="60">
        <v>145.90999999999997</v>
      </c>
      <c r="E15" s="60">
        <v>161.79999999999998</v>
      </c>
      <c r="F15" s="60">
        <v>15.879999999999999</v>
      </c>
      <c r="H15" s="57" t="s">
        <v>962</v>
      </c>
      <c r="I15" s="67">
        <v>9.2089968378100728</v>
      </c>
      <c r="J15" s="60">
        <v>303.27</v>
      </c>
      <c r="K15" s="60">
        <v>312.25</v>
      </c>
      <c r="L15" s="71">
        <v>8.9799999999999986</v>
      </c>
      <c r="M15" s="68">
        <v>2.9610578032776072E-2</v>
      </c>
      <c r="O15" s="57" t="s">
        <v>116</v>
      </c>
      <c r="P15" s="58">
        <v>-0.01</v>
      </c>
      <c r="U15" s="46" t="s">
        <v>650</v>
      </c>
      <c r="V15" s="47">
        <f>GETPIVOTDATA("Unrealized Gains",$H$12)</f>
        <v>67.34</v>
      </c>
      <c r="W15" s="48">
        <f t="shared" si="0"/>
        <v>4.5179773094754072E-2</v>
      </c>
    </row>
    <row r="16" spans="2:23" x14ac:dyDescent="0.25">
      <c r="B16" s="76" t="s">
        <v>854</v>
      </c>
      <c r="C16" s="59">
        <v>5.0261934578032745</v>
      </c>
      <c r="D16" s="60">
        <v>92.47</v>
      </c>
      <c r="E16" s="60">
        <v>99.68</v>
      </c>
      <c r="F16" s="60">
        <v>7.2099999999999991</v>
      </c>
      <c r="H16" s="57" t="s">
        <v>958</v>
      </c>
      <c r="I16" s="67">
        <v>10.100449584472445</v>
      </c>
      <c r="J16" s="60">
        <v>233.35000000000002</v>
      </c>
      <c r="K16" s="60">
        <v>256.74</v>
      </c>
      <c r="L16" s="71">
        <v>23.39</v>
      </c>
      <c r="M16" s="68">
        <v>0.10023569745018213</v>
      </c>
      <c r="O16" s="57" t="s">
        <v>70</v>
      </c>
      <c r="P16" s="58">
        <v>-3.9299999999999904</v>
      </c>
      <c r="U16" s="46" t="s">
        <v>645</v>
      </c>
      <c r="V16" s="47">
        <f>GETPIVOTDATA("Realized Gains",$B$12,"Type","Stock Holding")</f>
        <v>51.70000000000001</v>
      </c>
      <c r="W16" s="48">
        <f t="shared" si="0"/>
        <v>3.4686579581211546E-2</v>
      </c>
    </row>
    <row r="17" spans="2:23" x14ac:dyDescent="0.25">
      <c r="B17" s="76" t="s">
        <v>958</v>
      </c>
      <c r="C17" s="59">
        <v>10.10222483872122</v>
      </c>
      <c r="D17" s="60">
        <v>404.77</v>
      </c>
      <c r="E17" s="60">
        <v>408.2</v>
      </c>
      <c r="F17" s="60">
        <v>3.4300000000000019</v>
      </c>
      <c r="H17" s="57" t="s">
        <v>959</v>
      </c>
      <c r="I17" s="67">
        <v>5.5405044038395959</v>
      </c>
      <c r="J17" s="60">
        <v>187.32000000000002</v>
      </c>
      <c r="K17" s="60">
        <v>214.58</v>
      </c>
      <c r="L17" s="71">
        <v>27.259999999999994</v>
      </c>
      <c r="M17" s="68">
        <v>0.14552637198377105</v>
      </c>
      <c r="O17" s="57" t="s">
        <v>661</v>
      </c>
      <c r="P17" s="58">
        <v>10.850000000000007</v>
      </c>
      <c r="U17" s="46" t="s">
        <v>662</v>
      </c>
      <c r="V17" s="47">
        <f>GETPIVOTDATA("Amount",$O$12,"Type","DIVIDENT")</f>
        <v>14.789999999999997</v>
      </c>
      <c r="W17" s="48">
        <f t="shared" si="0"/>
        <v>9.9229112573717328E-3</v>
      </c>
    </row>
    <row r="18" spans="2:23" x14ac:dyDescent="0.25">
      <c r="B18" s="76" t="s">
        <v>740</v>
      </c>
      <c r="C18" s="59">
        <v>3.7753006158917608</v>
      </c>
      <c r="D18" s="60">
        <v>33.950000000000003</v>
      </c>
      <c r="E18" s="60">
        <v>36.71</v>
      </c>
      <c r="F18" s="60">
        <v>2.76</v>
      </c>
      <c r="H18" s="76" t="s">
        <v>529</v>
      </c>
      <c r="I18" s="67">
        <v>5.5405044038395959</v>
      </c>
      <c r="J18" s="60">
        <v>65.64</v>
      </c>
      <c r="K18" s="60">
        <v>83.09</v>
      </c>
      <c r="L18" s="71">
        <v>17.45</v>
      </c>
      <c r="M18" s="68">
        <v>0.26584399756246191</v>
      </c>
      <c r="U18" s="43" t="s">
        <v>663</v>
      </c>
      <c r="V18" s="44">
        <f>S12</f>
        <v>85.05</v>
      </c>
      <c r="W18" s="45">
        <f>V18/$V$13</f>
        <v>5.7061771632147804E-2</v>
      </c>
    </row>
    <row r="19" spans="2:23" x14ac:dyDescent="0.25">
      <c r="B19" s="76" t="s">
        <v>739</v>
      </c>
      <c r="C19" s="59">
        <v>9.2747880699736598</v>
      </c>
      <c r="D19" s="60">
        <v>39.299999999999997</v>
      </c>
      <c r="E19" s="60">
        <v>60.4</v>
      </c>
      <c r="F19" s="60">
        <v>0.99000000000000021</v>
      </c>
      <c r="H19" s="76" t="s">
        <v>539</v>
      </c>
      <c r="I19" s="67">
        <v>0.91411082878051375</v>
      </c>
      <c r="J19" s="60">
        <v>40</v>
      </c>
      <c r="K19" s="60">
        <v>44.28</v>
      </c>
      <c r="L19" s="71">
        <v>4.2799999999999994</v>
      </c>
      <c r="M19" s="68">
        <v>0.10699999999999998</v>
      </c>
      <c r="O19" s="69" t="s">
        <v>652</v>
      </c>
      <c r="P19" s="70" t="s">
        <v>653</v>
      </c>
      <c r="U19" s="43" t="s">
        <v>664</v>
      </c>
      <c r="V19" s="44">
        <f>V17+V16</f>
        <v>66.490000000000009</v>
      </c>
      <c r="W19" s="45">
        <f>V19/$V$13</f>
        <v>4.4609490838583281E-2</v>
      </c>
    </row>
    <row r="20" spans="2:23" x14ac:dyDescent="0.25">
      <c r="B20" s="63" t="s">
        <v>661</v>
      </c>
      <c r="C20" s="61">
        <v>10.10222483872122</v>
      </c>
      <c r="D20" s="62">
        <v>843.87000000000023</v>
      </c>
      <c r="E20" s="62">
        <v>915.69000000000028</v>
      </c>
      <c r="F20" s="62">
        <v>51.70000000000001</v>
      </c>
      <c r="H20" s="76" t="s">
        <v>530</v>
      </c>
      <c r="I20" s="67">
        <v>4.8142116780494923</v>
      </c>
      <c r="J20" s="60">
        <v>30.46</v>
      </c>
      <c r="K20" s="60">
        <v>34.590000000000003</v>
      </c>
      <c r="L20" s="71">
        <v>4.1300000000000008</v>
      </c>
      <c r="M20" s="68">
        <v>0.13558765594221933</v>
      </c>
      <c r="O20" s="57" t="s">
        <v>661</v>
      </c>
      <c r="P20" s="58"/>
      <c r="U20" s="43" t="s">
        <v>665</v>
      </c>
      <c r="V20" s="44">
        <f>IFERROR(GETPIVOTDATA("Amount",$O$12,"Type","commission"),0)+IFERROR(GETPIVOTDATA("Amount",$O$12,"Type","Sec Fee"),0)+IFERROR(GETPIVOTDATA("Amount",$O$12,"Type","Withholding Tax"),0)</f>
        <v>-3.9399999999999902</v>
      </c>
      <c r="W20" s="45">
        <f>V20/$V$13</f>
        <v>-2.6434259874269467E-3</v>
      </c>
    </row>
    <row r="21" spans="2:23" x14ac:dyDescent="0.25">
      <c r="B21"/>
      <c r="C21"/>
      <c r="D21"/>
      <c r="E21"/>
      <c r="F21"/>
      <c r="H21" s="76" t="s">
        <v>58</v>
      </c>
      <c r="I21" s="67">
        <v>0.23164507475768437</v>
      </c>
      <c r="J21" s="60">
        <v>25</v>
      </c>
      <c r="K21" s="60">
        <v>25.62</v>
      </c>
      <c r="L21" s="71">
        <v>0.62</v>
      </c>
      <c r="M21" s="68">
        <v>2.4799999999999999E-2</v>
      </c>
      <c r="O21"/>
      <c r="P21"/>
      <c r="U21" s="43" t="s">
        <v>666</v>
      </c>
      <c r="V21" s="44">
        <f>V20+V17+V16+V15</f>
        <v>129.89000000000001</v>
      </c>
      <c r="W21" s="45">
        <f>V21/$V$13</f>
        <v>8.7145837945910395E-2</v>
      </c>
    </row>
    <row r="22" spans="2:23" x14ac:dyDescent="0.25">
      <c r="B22"/>
      <c r="C22"/>
      <c r="D22"/>
      <c r="E22"/>
      <c r="F22"/>
      <c r="H22" s="76" t="s">
        <v>961</v>
      </c>
      <c r="I22" s="67">
        <v>0.10119022009870396</v>
      </c>
      <c r="J22" s="60">
        <v>19.989999999999998</v>
      </c>
      <c r="K22" s="60">
        <v>20.049999999999997</v>
      </c>
      <c r="L22" s="71">
        <v>0.06</v>
      </c>
      <c r="M22" s="68">
        <v>3.0015007503751876E-3</v>
      </c>
      <c r="U22" s="43" t="s">
        <v>667</v>
      </c>
      <c r="V22" s="44">
        <f>V19+V20</f>
        <v>62.550000000000018</v>
      </c>
      <c r="W22" s="45">
        <f>V22/$V$13</f>
        <v>4.1966064851156337E-2</v>
      </c>
    </row>
    <row r="23" spans="2:23" x14ac:dyDescent="0.25">
      <c r="B23"/>
      <c r="C23"/>
      <c r="D23"/>
      <c r="E23"/>
      <c r="F23"/>
      <c r="H23" s="76" t="s">
        <v>523</v>
      </c>
      <c r="I23" s="67">
        <v>1.3439307137970722</v>
      </c>
      <c r="J23" s="60">
        <v>6.23</v>
      </c>
      <c r="K23" s="60">
        <v>6.95</v>
      </c>
      <c r="L23" s="71">
        <v>0.72</v>
      </c>
      <c r="M23" s="68">
        <v>0.11556982343499196</v>
      </c>
      <c r="O23" s="69" t="s">
        <v>652</v>
      </c>
      <c r="P23" s="70" t="s">
        <v>653</v>
      </c>
    </row>
    <row r="24" spans="2:23" x14ac:dyDescent="0.25">
      <c r="B24"/>
      <c r="C24"/>
      <c r="D24"/>
      <c r="E24"/>
      <c r="F24"/>
      <c r="H24" s="57" t="s">
        <v>740</v>
      </c>
      <c r="I24" s="67">
        <v>4.8142336870068458</v>
      </c>
      <c r="J24" s="60">
        <v>0.04</v>
      </c>
      <c r="K24" s="60">
        <v>0.04</v>
      </c>
      <c r="L24" s="71">
        <v>0</v>
      </c>
      <c r="M24" s="68">
        <v>0</v>
      </c>
      <c r="O24" s="57" t="s">
        <v>80</v>
      </c>
      <c r="P24" s="58">
        <v>823.62000000000046</v>
      </c>
      <c r="U24" s="39" t="s">
        <v>668</v>
      </c>
      <c r="V24" s="39"/>
    </row>
    <row r="25" spans="2:23" x14ac:dyDescent="0.25">
      <c r="B25"/>
      <c r="C25"/>
      <c r="D25"/>
      <c r="E25"/>
      <c r="F25"/>
      <c r="H25" s="63" t="s">
        <v>661</v>
      </c>
      <c r="I25" s="72">
        <v>10.880314916895452</v>
      </c>
      <c r="J25" s="62">
        <v>1490.4900000000002</v>
      </c>
      <c r="K25" s="62">
        <v>1557.8300000000002</v>
      </c>
      <c r="L25" s="73">
        <v>67.34</v>
      </c>
      <c r="M25" s="74">
        <v>4.5179773094754072E-2</v>
      </c>
      <c r="O25" s="57" t="s">
        <v>73</v>
      </c>
      <c r="P25" s="58">
        <v>-2314.1</v>
      </c>
      <c r="U25" s="43" t="s">
        <v>669</v>
      </c>
      <c r="V25" s="49">
        <f>MAX(GETPIVOTDATA("Holding Period (Mon)",$H$12),GETPIVOTDATA("Max of ToM",$B$12,"Type","Stock Holding"))</f>
        <v>10.880314916895452</v>
      </c>
    </row>
    <row r="26" spans="2:23" x14ac:dyDescent="0.25">
      <c r="B26"/>
      <c r="C26"/>
      <c r="D26"/>
      <c r="E26"/>
      <c r="F26"/>
      <c r="H26"/>
      <c r="I26"/>
      <c r="J26"/>
      <c r="K26"/>
      <c r="L26"/>
      <c r="M26"/>
      <c r="O26" s="57" t="s">
        <v>661</v>
      </c>
      <c r="P26" s="58">
        <v>-1490.4799999999996</v>
      </c>
      <c r="U26" s="43" t="s">
        <v>670</v>
      </c>
      <c r="V26" s="45">
        <f>W21</f>
        <v>8.7145837945910395E-2</v>
      </c>
    </row>
    <row r="27" spans="2:23" x14ac:dyDescent="0.25">
      <c r="B27"/>
      <c r="C27"/>
      <c r="D27"/>
      <c r="E27"/>
      <c r="F27"/>
      <c r="H27"/>
      <c r="I27"/>
      <c r="J27"/>
      <c r="K27"/>
      <c r="L27"/>
      <c r="M27"/>
      <c r="U27" s="43" t="s">
        <v>671</v>
      </c>
      <c r="V27" s="45">
        <f>V26/V25</f>
        <v>8.0094959209853697E-3</v>
      </c>
    </row>
    <row r="28" spans="2:23" x14ac:dyDescent="0.25">
      <c r="B28"/>
      <c r="C28"/>
      <c r="D28"/>
      <c r="E28"/>
      <c r="F28"/>
      <c r="H28"/>
      <c r="I28"/>
      <c r="J28"/>
      <c r="K28"/>
      <c r="L28"/>
      <c r="M28"/>
      <c r="U28" s="43" t="s">
        <v>672</v>
      </c>
      <c r="V28" s="45">
        <f>((V13+V21)/V13)^(12/V25)-1</f>
        <v>9.6534142421867086E-2</v>
      </c>
    </row>
    <row r="29" spans="2:23" x14ac:dyDescent="0.25">
      <c r="B29"/>
      <c r="C29"/>
      <c r="D29"/>
      <c r="E29"/>
      <c r="F29"/>
      <c r="H29"/>
      <c r="I29"/>
      <c r="J29"/>
      <c r="K29"/>
      <c r="L29"/>
      <c r="M29"/>
      <c r="U29" s="50" t="s">
        <v>673</v>
      </c>
      <c r="V29" s="48">
        <f>W22</f>
        <v>4.1966064851156337E-2</v>
      </c>
    </row>
    <row r="30" spans="2:23" x14ac:dyDescent="0.25">
      <c r="B30"/>
      <c r="C30"/>
      <c r="D30"/>
      <c r="E30"/>
      <c r="F30"/>
      <c r="H30"/>
      <c r="I30"/>
      <c r="J30"/>
      <c r="K30"/>
      <c r="L30"/>
      <c r="M30"/>
      <c r="P30" s="41"/>
      <c r="U30" s="50" t="s">
        <v>674</v>
      </c>
      <c r="V30" s="48">
        <f>W22/V25</f>
        <v>3.8570634371978981E-3</v>
      </c>
    </row>
    <row r="31" spans="2:23" x14ac:dyDescent="0.25">
      <c r="B31"/>
      <c r="C31"/>
      <c r="D31"/>
      <c r="E31"/>
      <c r="F31"/>
      <c r="M31" s="69" t="s">
        <v>15</v>
      </c>
      <c r="N31" t="s">
        <v>675</v>
      </c>
      <c r="Q31" s="69" t="s">
        <v>15</v>
      </c>
      <c r="R31" t="s">
        <v>71</v>
      </c>
      <c r="U31" s="50" t="s">
        <v>676</v>
      </c>
      <c r="V31" s="48">
        <f>((V13+V22)/V13)^(12/V25)-1</f>
        <v>4.6383476313407668E-2</v>
      </c>
    </row>
    <row r="32" spans="2:23" x14ac:dyDescent="0.25">
      <c r="B32"/>
      <c r="C32"/>
      <c r="D32"/>
      <c r="E32"/>
      <c r="F32"/>
    </row>
    <row r="33" spans="2:18" x14ac:dyDescent="0.25">
      <c r="B33"/>
      <c r="C33"/>
      <c r="D33"/>
      <c r="E33"/>
      <c r="F33"/>
      <c r="M33" s="56" t="s">
        <v>652</v>
      </c>
      <c r="N33" s="70" t="s">
        <v>653</v>
      </c>
      <c r="O33" s="37" t="s">
        <v>677</v>
      </c>
      <c r="Q33" s="56" t="s">
        <v>652</v>
      </c>
      <c r="R33" s="70" t="s">
        <v>653</v>
      </c>
    </row>
    <row r="34" spans="2:18" x14ac:dyDescent="0.25">
      <c r="B34"/>
      <c r="C34"/>
      <c r="D34"/>
      <c r="E34"/>
      <c r="F34"/>
      <c r="M34" s="75">
        <v>45446.645868055559</v>
      </c>
      <c r="N34" s="58">
        <v>-20.57</v>
      </c>
      <c r="O34" s="42">
        <f>SUM($N$34:N34)</f>
        <v>-20.57</v>
      </c>
      <c r="Q34"/>
      <c r="R34"/>
    </row>
    <row r="35" spans="2:18" x14ac:dyDescent="0.25">
      <c r="B35"/>
      <c r="C35"/>
      <c r="D35"/>
      <c r="E35"/>
      <c r="F35"/>
      <c r="M35" s="75">
        <v>45446.893657407411</v>
      </c>
      <c r="N35" s="58">
        <v>-20</v>
      </c>
      <c r="O35" s="42">
        <f>SUM($N$34:N35)</f>
        <v>-40.57</v>
      </c>
      <c r="Q35"/>
      <c r="R35"/>
    </row>
    <row r="36" spans="2:18" x14ac:dyDescent="0.25">
      <c r="B36"/>
      <c r="C36"/>
      <c r="D36"/>
      <c r="E36"/>
      <c r="F36"/>
      <c r="M36" s="75">
        <v>45448.645868055559</v>
      </c>
      <c r="N36" s="58">
        <v>-20.25</v>
      </c>
      <c r="O36" s="42">
        <f>SUM($N$34:N36)</f>
        <v>-60.82</v>
      </c>
      <c r="Q36"/>
      <c r="R36"/>
    </row>
    <row r="37" spans="2:18" x14ac:dyDescent="0.25">
      <c r="B37"/>
      <c r="C37"/>
      <c r="D37"/>
      <c r="E37"/>
      <c r="F37"/>
      <c r="M37" s="75">
        <v>45449.867604166669</v>
      </c>
      <c r="N37" s="58">
        <v>-10</v>
      </c>
      <c r="O37" s="42">
        <f>SUM($N$34:N37)</f>
        <v>-70.819999999999993</v>
      </c>
      <c r="Q37"/>
      <c r="R37"/>
    </row>
    <row r="38" spans="2:18" x14ac:dyDescent="0.25">
      <c r="B38"/>
      <c r="C38"/>
      <c r="D38"/>
      <c r="E38"/>
      <c r="F38"/>
      <c r="M38" s="75">
        <v>45453.913344907407</v>
      </c>
      <c r="N38" s="58">
        <v>-10</v>
      </c>
      <c r="O38" s="42">
        <f>SUM($N$34:N38)</f>
        <v>-80.819999999999993</v>
      </c>
      <c r="Q38"/>
      <c r="R38"/>
    </row>
    <row r="39" spans="2:18" x14ac:dyDescent="0.25">
      <c r="B39"/>
      <c r="C39"/>
      <c r="D39"/>
      <c r="E39"/>
      <c r="F39"/>
      <c r="M39" s="75">
        <v>45460.646018518521</v>
      </c>
      <c r="N39" s="58">
        <v>-0.2</v>
      </c>
      <c r="O39" s="42">
        <f>SUM($N$34:N39)</f>
        <v>-81.02</v>
      </c>
      <c r="Q39"/>
      <c r="R39"/>
    </row>
    <row r="40" spans="2:18" x14ac:dyDescent="0.25">
      <c r="B40"/>
      <c r="C40"/>
      <c r="D40"/>
      <c r="E40"/>
      <c r="F40"/>
      <c r="M40" s="75">
        <v>45460.73847222222</v>
      </c>
      <c r="N40" s="58">
        <v>0.2</v>
      </c>
      <c r="O40" s="42">
        <f>SUM($N$34:N40)</f>
        <v>-80.819999999999993</v>
      </c>
      <c r="Q40"/>
      <c r="R40"/>
    </row>
    <row r="41" spans="2:18" x14ac:dyDescent="0.25">
      <c r="B41"/>
      <c r="C41"/>
      <c r="D41"/>
      <c r="E41"/>
      <c r="F41"/>
      <c r="M41" s="75">
        <v>45460.885289351849</v>
      </c>
      <c r="N41" s="58">
        <v>-19.989999999999998</v>
      </c>
      <c r="O41" s="42">
        <f>SUM($N$34:N41)</f>
        <v>-100.80999999999999</v>
      </c>
      <c r="Q41"/>
      <c r="R41"/>
    </row>
    <row r="42" spans="2:18" x14ac:dyDescent="0.25">
      <c r="B42"/>
      <c r="C42"/>
      <c r="D42"/>
      <c r="E42"/>
      <c r="F42"/>
      <c r="M42" s="75">
        <v>45464.645868055559</v>
      </c>
      <c r="N42" s="58">
        <v>40.25</v>
      </c>
      <c r="O42" s="42">
        <f>SUM($N$34:N42)</f>
        <v>-60.559999999999988</v>
      </c>
      <c r="Q42"/>
      <c r="R42"/>
    </row>
    <row r="43" spans="2:18" x14ac:dyDescent="0.25">
      <c r="B43"/>
      <c r="C43"/>
      <c r="D43"/>
      <c r="E43"/>
      <c r="F43"/>
      <c r="M43" s="75">
        <v>45464.66097222222</v>
      </c>
      <c r="N43" s="58">
        <v>-20</v>
      </c>
      <c r="O43" s="42">
        <f>SUM($N$34:N43)</f>
        <v>-80.559999999999988</v>
      </c>
      <c r="Q43"/>
      <c r="R43"/>
    </row>
    <row r="44" spans="2:18" x14ac:dyDescent="0.25">
      <c r="B44"/>
      <c r="C44"/>
      <c r="D44"/>
      <c r="E44"/>
      <c r="F44"/>
      <c r="M44" s="75">
        <v>45464.673819444448</v>
      </c>
      <c r="N44" s="58">
        <v>-20.36</v>
      </c>
      <c r="O44" s="42">
        <f>SUM($N$34:N44)</f>
        <v>-100.91999999999999</v>
      </c>
      <c r="Q44"/>
      <c r="R44"/>
    </row>
    <row r="45" spans="2:18" x14ac:dyDescent="0.25">
      <c r="B45"/>
      <c r="C45"/>
      <c r="D45"/>
      <c r="E45"/>
      <c r="F45"/>
      <c r="M45" s="75">
        <v>45476.645868055559</v>
      </c>
      <c r="N45" s="58">
        <v>-25.28</v>
      </c>
      <c r="O45" s="42">
        <f>SUM($N$34:N45)</f>
        <v>-126.19999999999999</v>
      </c>
      <c r="Q45"/>
      <c r="R45"/>
    </row>
    <row r="46" spans="2:18" x14ac:dyDescent="0.25">
      <c r="B46"/>
      <c r="C46"/>
      <c r="D46"/>
      <c r="E46"/>
      <c r="F46"/>
      <c r="M46" s="75">
        <v>45476.658796296295</v>
      </c>
      <c r="N46" s="58">
        <v>-10.75</v>
      </c>
      <c r="O46" s="42">
        <f>SUM($N$34:N46)</f>
        <v>-136.94999999999999</v>
      </c>
      <c r="Q46"/>
      <c r="R46"/>
    </row>
    <row r="47" spans="2:18" x14ac:dyDescent="0.25">
      <c r="B47"/>
      <c r="C47"/>
      <c r="D47"/>
      <c r="E47"/>
      <c r="F47"/>
      <c r="M47" s="75">
        <v>45478.651863425926</v>
      </c>
      <c r="N47" s="58">
        <v>20.57</v>
      </c>
      <c r="O47" s="42">
        <f>SUM($N$34:N47)</f>
        <v>-116.38</v>
      </c>
      <c r="Q47"/>
      <c r="R47"/>
    </row>
    <row r="48" spans="2:18" x14ac:dyDescent="0.25">
      <c r="B48"/>
      <c r="C48"/>
      <c r="D48"/>
      <c r="E48"/>
      <c r="F48"/>
      <c r="M48" s="75">
        <v>45478.655821759261</v>
      </c>
      <c r="N48" s="58">
        <v>-20.32</v>
      </c>
      <c r="O48" s="42">
        <f>SUM($N$34:N48)</f>
        <v>-136.69999999999999</v>
      </c>
      <c r="Q48"/>
      <c r="R48"/>
    </row>
    <row r="49" spans="2:18" x14ac:dyDescent="0.25">
      <c r="B49"/>
      <c r="C49"/>
      <c r="D49"/>
      <c r="E49"/>
      <c r="F49"/>
      <c r="M49" s="75">
        <v>45478.678159722222</v>
      </c>
      <c r="N49" s="58">
        <v>-20.2</v>
      </c>
      <c r="O49" s="42">
        <f>SUM($N$34:N49)</f>
        <v>-156.89999999999998</v>
      </c>
      <c r="Q49"/>
      <c r="R49"/>
    </row>
    <row r="50" spans="2:18" x14ac:dyDescent="0.25">
      <c r="B50"/>
      <c r="C50"/>
      <c r="D50"/>
      <c r="E50"/>
      <c r="F50"/>
      <c r="M50" s="75">
        <v>45481.657731481479</v>
      </c>
      <c r="N50" s="58">
        <v>10</v>
      </c>
      <c r="O50" s="42">
        <f>SUM($N$34:N50)</f>
        <v>-146.89999999999998</v>
      </c>
      <c r="Q50"/>
      <c r="R50"/>
    </row>
    <row r="51" spans="2:18" x14ac:dyDescent="0.25">
      <c r="B51"/>
      <c r="C51"/>
      <c r="D51"/>
      <c r="E51"/>
      <c r="F51"/>
      <c r="M51" s="75">
        <v>45481.658020833333</v>
      </c>
      <c r="N51" s="58">
        <v>-10</v>
      </c>
      <c r="O51" s="42">
        <f>SUM($N$34:N51)</f>
        <v>-156.89999999999998</v>
      </c>
      <c r="Q51"/>
      <c r="R51"/>
    </row>
    <row r="52" spans="2:18" x14ac:dyDescent="0.25">
      <c r="B52"/>
      <c r="C52"/>
      <c r="D52"/>
      <c r="E52"/>
      <c r="F52"/>
      <c r="M52" s="75">
        <v>45481.670219907406</v>
      </c>
      <c r="N52" s="58">
        <v>20.36</v>
      </c>
      <c r="O52" s="42">
        <f>SUM($N$34:N52)</f>
        <v>-136.53999999999996</v>
      </c>
      <c r="Q52"/>
      <c r="R52"/>
    </row>
    <row r="53" spans="2:18" x14ac:dyDescent="0.25">
      <c r="B53"/>
      <c r="C53"/>
      <c r="D53"/>
      <c r="E53"/>
      <c r="F53"/>
      <c r="M53" s="75">
        <v>45481.779039351852</v>
      </c>
      <c r="N53" s="58">
        <v>20</v>
      </c>
      <c r="O53" s="42">
        <f>SUM($N$34:N53)</f>
        <v>-116.53999999999996</v>
      </c>
      <c r="Q53"/>
      <c r="R53"/>
    </row>
    <row r="54" spans="2:18" x14ac:dyDescent="0.25">
      <c r="B54"/>
      <c r="C54"/>
      <c r="D54"/>
      <c r="E54"/>
      <c r="F54"/>
      <c r="M54" s="75">
        <v>45481.779351851852</v>
      </c>
      <c r="N54" s="58">
        <v>-20.27</v>
      </c>
      <c r="O54" s="42">
        <f>SUM($N$34:N54)</f>
        <v>-136.80999999999997</v>
      </c>
      <c r="Q54"/>
      <c r="R54"/>
    </row>
    <row r="55" spans="2:18" x14ac:dyDescent="0.25">
      <c r="B55"/>
      <c r="C55"/>
      <c r="D55"/>
      <c r="E55"/>
      <c r="F55"/>
      <c r="M55" s="75">
        <v>45481.812060185184</v>
      </c>
      <c r="N55" s="58">
        <v>19.940000000000001</v>
      </c>
      <c r="O55" s="42">
        <f>SUM($N$34:N55)</f>
        <v>-116.86999999999998</v>
      </c>
    </row>
    <row r="56" spans="2:18" x14ac:dyDescent="0.25">
      <c r="B56"/>
      <c r="C56"/>
      <c r="D56"/>
      <c r="E56"/>
      <c r="F56"/>
      <c r="M56" s="75">
        <v>45481.826319444444</v>
      </c>
      <c r="N56" s="58">
        <v>19.829999999999998</v>
      </c>
      <c r="O56" s="42">
        <f>SUM($N$34:N56)</f>
        <v>-97.039999999999978</v>
      </c>
    </row>
    <row r="57" spans="2:18" x14ac:dyDescent="0.25">
      <c r="M57" s="75">
        <v>45481.831284722219</v>
      </c>
      <c r="N57" s="58">
        <v>-20.309999999999999</v>
      </c>
      <c r="O57" s="42">
        <f>SUM($N$34:N57)</f>
        <v>-117.34999999999998</v>
      </c>
    </row>
    <row r="58" spans="2:18" x14ac:dyDescent="0.25">
      <c r="M58" s="75">
        <v>45482.712951388887</v>
      </c>
      <c r="N58" s="58">
        <v>-20.58</v>
      </c>
      <c r="O58" s="42">
        <f>SUM($N$34:N58)</f>
        <v>-137.92999999999998</v>
      </c>
    </row>
    <row r="59" spans="2:18" x14ac:dyDescent="0.25">
      <c r="M59" s="75">
        <v>45482.71371527778</v>
      </c>
      <c r="N59" s="58">
        <v>-14.99</v>
      </c>
      <c r="O59" s="42">
        <f>SUM($N$34:N59)</f>
        <v>-152.91999999999999</v>
      </c>
    </row>
    <row r="60" spans="2:18" x14ac:dyDescent="0.25">
      <c r="M60" s="75">
        <v>45482.72996527778</v>
      </c>
      <c r="N60" s="58">
        <v>20.360000000000003</v>
      </c>
      <c r="O60" s="42">
        <f>SUM($N$34:N60)</f>
        <v>-132.55999999999997</v>
      </c>
    </row>
    <row r="61" spans="2:18" x14ac:dyDescent="0.25">
      <c r="M61" s="75">
        <v>45482.864652777775</v>
      </c>
      <c r="N61" s="58">
        <v>9.99</v>
      </c>
      <c r="O61" s="42">
        <f>SUM($N$34:N61)</f>
        <v>-122.56999999999998</v>
      </c>
    </row>
    <row r="62" spans="2:18" x14ac:dyDescent="0.25">
      <c r="M62" s="75">
        <v>45482.915011574078</v>
      </c>
      <c r="N62" s="58">
        <v>0.01</v>
      </c>
      <c r="O62" s="42">
        <f>SUM($N$34:N62)</f>
        <v>-122.55999999999997</v>
      </c>
    </row>
    <row r="63" spans="2:18" x14ac:dyDescent="0.25">
      <c r="M63" s="75">
        <v>45482.915069444447</v>
      </c>
      <c r="N63" s="58">
        <v>0.21</v>
      </c>
      <c r="O63" s="42">
        <f>SUM($N$34:N63)</f>
        <v>-122.34999999999998</v>
      </c>
    </row>
    <row r="64" spans="2:18" x14ac:dyDescent="0.25">
      <c r="M64" s="75">
        <v>45482.915810185186</v>
      </c>
      <c r="N64" s="58">
        <v>-19.98</v>
      </c>
      <c r="O64" s="42">
        <f>SUM($N$34:N64)</f>
        <v>-142.32999999999998</v>
      </c>
    </row>
    <row r="65" spans="13:15" x14ac:dyDescent="0.25">
      <c r="M65" s="75">
        <v>45483.779085648152</v>
      </c>
      <c r="N65" s="58">
        <v>0.49</v>
      </c>
      <c r="O65" s="42">
        <f>SUM($N$34:N65)</f>
        <v>-141.83999999999997</v>
      </c>
    </row>
    <row r="66" spans="13:15" x14ac:dyDescent="0.25">
      <c r="M66" s="75">
        <v>45483.787152777775</v>
      </c>
      <c r="N66" s="58">
        <v>-24.98</v>
      </c>
      <c r="O66" s="42">
        <f>SUM($N$34:N66)</f>
        <v>-166.81999999999996</v>
      </c>
    </row>
    <row r="67" spans="13:15" x14ac:dyDescent="0.25">
      <c r="M67" s="75">
        <v>45484.671180555553</v>
      </c>
      <c r="N67" s="58">
        <v>-19.989999999999998</v>
      </c>
      <c r="O67" s="42">
        <f>SUM($N$34:N67)</f>
        <v>-186.80999999999997</v>
      </c>
    </row>
    <row r="68" spans="13:15" x14ac:dyDescent="0.25">
      <c r="M68" s="75">
        <v>45484.678344907406</v>
      </c>
      <c r="N68" s="58">
        <v>10</v>
      </c>
      <c r="O68" s="42">
        <f>SUM($N$34:N68)</f>
        <v>-176.80999999999997</v>
      </c>
    </row>
    <row r="69" spans="13:15" x14ac:dyDescent="0.25">
      <c r="M69" s="75">
        <v>45484.678773148145</v>
      </c>
      <c r="N69" s="58">
        <v>-17.899999999999999</v>
      </c>
      <c r="O69" s="42">
        <f>SUM($N$34:N69)</f>
        <v>-194.70999999999998</v>
      </c>
    </row>
    <row r="70" spans="13:15" x14ac:dyDescent="0.25">
      <c r="M70" s="75">
        <v>45511.722708333335</v>
      </c>
      <c r="N70" s="58">
        <v>-15</v>
      </c>
      <c r="O70" s="42">
        <f>SUM($N$34:N70)</f>
        <v>-209.70999999999998</v>
      </c>
    </row>
    <row r="71" spans="13:15" x14ac:dyDescent="0.25">
      <c r="M71" s="75">
        <v>45511.722870370373</v>
      </c>
      <c r="N71" s="58">
        <v>-14.98</v>
      </c>
      <c r="O71" s="42">
        <f>SUM($N$34:N71)</f>
        <v>-224.68999999999997</v>
      </c>
    </row>
    <row r="72" spans="13:15" x14ac:dyDescent="0.25">
      <c r="M72" s="75">
        <v>45511.860497685186</v>
      </c>
      <c r="N72" s="58">
        <v>-14.99</v>
      </c>
      <c r="O72" s="42">
        <f>SUM($N$34:N72)</f>
        <v>-239.67999999999998</v>
      </c>
    </row>
    <row r="73" spans="13:15" x14ac:dyDescent="0.25">
      <c r="M73" s="75">
        <v>45518.844282407408</v>
      </c>
      <c r="N73" s="58">
        <v>-35</v>
      </c>
      <c r="O73" s="42">
        <f>SUM($N$34:N73)</f>
        <v>-274.67999999999995</v>
      </c>
    </row>
    <row r="74" spans="13:15" x14ac:dyDescent="0.25">
      <c r="M74" s="75">
        <v>45523.666342592594</v>
      </c>
      <c r="N74" s="58">
        <v>-19.97</v>
      </c>
      <c r="O74" s="42">
        <f>SUM($N$34:N74)</f>
        <v>-294.64999999999998</v>
      </c>
    </row>
    <row r="75" spans="13:15" x14ac:dyDescent="0.25">
      <c r="M75" s="75">
        <v>45544.650706018518</v>
      </c>
      <c r="N75" s="58">
        <v>-10.99</v>
      </c>
      <c r="O75" s="42">
        <f>SUM($N$34:N75)</f>
        <v>-305.64</v>
      </c>
    </row>
    <row r="76" spans="13:15" x14ac:dyDescent="0.25">
      <c r="M76" s="75">
        <v>45544.651631944442</v>
      </c>
      <c r="N76" s="58">
        <v>-20.190000000000001</v>
      </c>
      <c r="O76" s="42">
        <f>SUM($N$34:N76)</f>
        <v>-325.83</v>
      </c>
    </row>
    <row r="77" spans="13:15" x14ac:dyDescent="0.25">
      <c r="M77" s="75">
        <v>45548.66574074074</v>
      </c>
      <c r="N77" s="58">
        <v>-14.83</v>
      </c>
      <c r="O77" s="42">
        <f>SUM($N$34:N77)</f>
        <v>-340.65999999999997</v>
      </c>
    </row>
    <row r="78" spans="13:15" x14ac:dyDescent="0.25">
      <c r="M78" s="75">
        <v>45551.905092592591</v>
      </c>
      <c r="N78" s="58">
        <v>15</v>
      </c>
      <c r="O78" s="42">
        <f>SUM($N$34:N78)</f>
        <v>-325.65999999999997</v>
      </c>
    </row>
    <row r="79" spans="13:15" x14ac:dyDescent="0.25">
      <c r="M79" s="75">
        <v>45553.653738425928</v>
      </c>
      <c r="N79" s="58">
        <v>-20</v>
      </c>
      <c r="O79" s="42">
        <f>SUM($N$34:N79)</f>
        <v>-345.65999999999997</v>
      </c>
    </row>
    <row r="80" spans="13:15" x14ac:dyDescent="0.25">
      <c r="M80" s="75">
        <v>45559.650509259256</v>
      </c>
      <c r="N80" s="58">
        <v>19.02</v>
      </c>
      <c r="O80" s="42">
        <f>SUM($N$34:N80)</f>
        <v>-326.64</v>
      </c>
    </row>
    <row r="81" spans="13:15" x14ac:dyDescent="0.25">
      <c r="M81" s="75">
        <v>45559.651053240741</v>
      </c>
      <c r="N81" s="58">
        <v>1.25</v>
      </c>
      <c r="O81" s="42">
        <f>SUM($N$34:N81)</f>
        <v>-325.39</v>
      </c>
    </row>
    <row r="82" spans="13:15" x14ac:dyDescent="0.25">
      <c r="M82" s="75">
        <v>45559.652129629627</v>
      </c>
      <c r="N82" s="58">
        <v>-19.98</v>
      </c>
      <c r="O82" s="42">
        <f>SUM($N$34:N82)</f>
        <v>-345.37</v>
      </c>
    </row>
    <row r="83" spans="13:15" x14ac:dyDescent="0.25">
      <c r="M83" s="75">
        <v>45560.820300925923</v>
      </c>
      <c r="N83" s="58">
        <v>24.98</v>
      </c>
      <c r="O83" s="42">
        <f>SUM($N$34:N83)</f>
        <v>-320.39</v>
      </c>
    </row>
    <row r="84" spans="13:15" x14ac:dyDescent="0.25">
      <c r="M84" s="75">
        <v>45560.820416666669</v>
      </c>
      <c r="N84" s="58">
        <v>-19.98</v>
      </c>
      <c r="O84" s="42">
        <f>SUM($N$34:N84)</f>
        <v>-340.37</v>
      </c>
    </row>
    <row r="85" spans="13:15" x14ac:dyDescent="0.25">
      <c r="M85" s="75">
        <v>45568.7734837963</v>
      </c>
      <c r="N85" s="58">
        <v>-15</v>
      </c>
      <c r="O85" s="42">
        <f>SUM($N$34:N85)</f>
        <v>-355.37</v>
      </c>
    </row>
    <row r="86" spans="13:15" x14ac:dyDescent="0.25">
      <c r="M86" s="75">
        <v>45568.775057870371</v>
      </c>
      <c r="N86" s="58">
        <v>-14.97</v>
      </c>
      <c r="O86" s="42">
        <f>SUM($N$34:N86)</f>
        <v>-370.34000000000003</v>
      </c>
    </row>
    <row r="87" spans="13:15" x14ac:dyDescent="0.25">
      <c r="M87" s="75">
        <v>45580.705995370372</v>
      </c>
      <c r="N87" s="58">
        <v>-13.99</v>
      </c>
      <c r="O87" s="42">
        <f>SUM($N$34:N87)</f>
        <v>-384.33000000000004</v>
      </c>
    </row>
    <row r="88" spans="13:15" x14ac:dyDescent="0.25">
      <c r="M88" s="75">
        <v>45580.70648148148</v>
      </c>
      <c r="N88" s="58">
        <v>-26</v>
      </c>
      <c r="O88" s="42">
        <f>SUM($N$34:N88)</f>
        <v>-410.33000000000004</v>
      </c>
    </row>
    <row r="89" spans="13:15" x14ac:dyDescent="0.25">
      <c r="M89" s="75">
        <v>45582.739965277775</v>
      </c>
      <c r="N89" s="58">
        <v>-12.98</v>
      </c>
      <c r="O89" s="42">
        <f>SUM($N$34:N89)</f>
        <v>-423.31000000000006</v>
      </c>
    </row>
    <row r="90" spans="13:15" x14ac:dyDescent="0.25">
      <c r="M90" s="75">
        <v>45583.645891203705</v>
      </c>
      <c r="N90" s="58">
        <v>-20.48</v>
      </c>
      <c r="O90" s="42">
        <f>SUM($N$34:N90)</f>
        <v>-443.79000000000008</v>
      </c>
    </row>
    <row r="91" spans="13:15" x14ac:dyDescent="0.25">
      <c r="M91" s="75">
        <v>45593.726273148146</v>
      </c>
      <c r="N91" s="58">
        <v>-14.98</v>
      </c>
      <c r="O91" s="42">
        <f>SUM($N$34:N91)</f>
        <v>-458.7700000000001</v>
      </c>
    </row>
    <row r="92" spans="13:15" x14ac:dyDescent="0.25">
      <c r="M92" s="75">
        <v>45597.610150462962</v>
      </c>
      <c r="N92" s="58">
        <v>-10</v>
      </c>
      <c r="O92" s="42">
        <f>SUM($N$34:N92)</f>
        <v>-468.7700000000001</v>
      </c>
    </row>
    <row r="93" spans="13:15" x14ac:dyDescent="0.25">
      <c r="M93" s="75">
        <v>45597.610405092593</v>
      </c>
      <c r="N93" s="58">
        <v>-10</v>
      </c>
      <c r="O93" s="42">
        <f>SUM($N$34:N93)</f>
        <v>-478.7700000000001</v>
      </c>
    </row>
    <row r="94" spans="13:15" x14ac:dyDescent="0.25">
      <c r="M94" s="75">
        <v>45597.610868055555</v>
      </c>
      <c r="N94" s="58">
        <v>-10.97</v>
      </c>
      <c r="O94" s="42">
        <f>SUM($N$34:N94)</f>
        <v>-489.74000000000012</v>
      </c>
    </row>
    <row r="95" spans="13:15" x14ac:dyDescent="0.25">
      <c r="M95" s="75">
        <v>45597.850474537037</v>
      </c>
      <c r="N95" s="58">
        <v>-10.92</v>
      </c>
      <c r="O95" s="42">
        <f>SUM($N$34:N95)</f>
        <v>-500.66000000000014</v>
      </c>
    </row>
    <row r="96" spans="13:15" x14ac:dyDescent="0.25">
      <c r="M96" s="75">
        <v>45603.87158564815</v>
      </c>
      <c r="N96" s="58">
        <v>19.98</v>
      </c>
      <c r="O96" s="42">
        <f>SUM($N$34:N96)</f>
        <v>-480.68000000000012</v>
      </c>
    </row>
    <row r="97" spans="13:15" x14ac:dyDescent="0.25">
      <c r="M97" s="75">
        <v>45608.742511574077</v>
      </c>
      <c r="N97" s="58">
        <v>-12.98</v>
      </c>
      <c r="O97" s="42">
        <f>SUM($N$34:N97)</f>
        <v>-493.66000000000014</v>
      </c>
    </row>
    <row r="98" spans="13:15" x14ac:dyDescent="0.25">
      <c r="M98" s="75">
        <v>45609.60769675926</v>
      </c>
      <c r="N98" s="58">
        <v>-10.95</v>
      </c>
      <c r="O98" s="42">
        <f>SUM($N$34:N98)</f>
        <v>-504.61000000000013</v>
      </c>
    </row>
    <row r="99" spans="13:15" x14ac:dyDescent="0.25">
      <c r="M99" s="75">
        <v>45621.856400462966</v>
      </c>
      <c r="N99" s="58">
        <v>-19.989999999999998</v>
      </c>
      <c r="O99" s="42">
        <f>SUM($N$34:N99)</f>
        <v>-524.60000000000014</v>
      </c>
    </row>
    <row r="100" spans="13:15" x14ac:dyDescent="0.25">
      <c r="M100" s="75">
        <v>45623.749513888892</v>
      </c>
      <c r="N100" s="58">
        <v>-14.68</v>
      </c>
      <c r="O100" s="42">
        <f>SUM($N$34:N100)</f>
        <v>-539.28000000000009</v>
      </c>
    </row>
    <row r="101" spans="13:15" x14ac:dyDescent="0.25">
      <c r="M101" s="75">
        <v>45623.749525462961</v>
      </c>
      <c r="N101" s="58">
        <v>-15.3</v>
      </c>
      <c r="O101" s="42">
        <f>SUM($N$34:N101)</f>
        <v>-554.58000000000004</v>
      </c>
    </row>
    <row r="102" spans="13:15" x14ac:dyDescent="0.25">
      <c r="M102" s="75">
        <v>45623.749930555554</v>
      </c>
      <c r="N102" s="58">
        <v>-14.99</v>
      </c>
      <c r="O102" s="42">
        <f>SUM($N$34:N102)</f>
        <v>-569.57000000000005</v>
      </c>
    </row>
    <row r="103" spans="13:15" x14ac:dyDescent="0.25">
      <c r="M103" s="75">
        <v>45628.859293981484</v>
      </c>
      <c r="N103" s="58">
        <v>-19.989999999999998</v>
      </c>
      <c r="O103" s="42">
        <f>SUM($N$34:N103)</f>
        <v>-589.56000000000006</v>
      </c>
    </row>
    <row r="104" spans="13:15" x14ac:dyDescent="0.25">
      <c r="M104" s="75">
        <v>45628.859513888892</v>
      </c>
      <c r="N104" s="58">
        <v>-14.98</v>
      </c>
      <c r="O104" s="42">
        <f>SUM($N$34:N104)</f>
        <v>-604.54000000000008</v>
      </c>
    </row>
    <row r="105" spans="13:15" x14ac:dyDescent="0.25">
      <c r="M105" s="75">
        <v>45628.860138888886</v>
      </c>
      <c r="N105" s="58">
        <v>-15</v>
      </c>
      <c r="O105" s="42">
        <f>SUM($N$34:N105)</f>
        <v>-619.54000000000008</v>
      </c>
    </row>
    <row r="106" spans="13:15" x14ac:dyDescent="0.25">
      <c r="M106" s="75">
        <v>45629.378553240742</v>
      </c>
      <c r="N106" s="58">
        <v>-51.41</v>
      </c>
      <c r="O106" s="42">
        <f>SUM($N$34:N106)</f>
        <v>-670.95</v>
      </c>
    </row>
    <row r="107" spans="13:15" x14ac:dyDescent="0.25">
      <c r="M107" s="75">
        <v>45630.855833333335</v>
      </c>
      <c r="N107" s="58">
        <v>-10</v>
      </c>
      <c r="O107" s="42">
        <f>SUM($N$34:N107)</f>
        <v>-680.95</v>
      </c>
    </row>
    <row r="108" spans="13:15" x14ac:dyDescent="0.25">
      <c r="M108" s="75">
        <v>45632.876666666663</v>
      </c>
      <c r="N108" s="58">
        <v>-20</v>
      </c>
      <c r="O108" s="42">
        <f>SUM($N$34:N108)</f>
        <v>-700.95</v>
      </c>
    </row>
    <row r="109" spans="13:15" x14ac:dyDescent="0.25">
      <c r="M109" s="75">
        <v>45645.887465277781</v>
      </c>
      <c r="N109" s="58">
        <v>-15</v>
      </c>
      <c r="O109" s="42">
        <f>SUM($N$34:N109)</f>
        <v>-715.95</v>
      </c>
    </row>
    <row r="110" spans="13:15" x14ac:dyDescent="0.25">
      <c r="M110" s="75">
        <v>45645.890659722223</v>
      </c>
      <c r="N110" s="58">
        <v>-9.99</v>
      </c>
      <c r="O110" s="42">
        <f>SUM($N$34:N110)</f>
        <v>-725.94</v>
      </c>
    </row>
    <row r="111" spans="13:15" x14ac:dyDescent="0.25">
      <c r="M111" s="75">
        <v>45645.895115740743</v>
      </c>
      <c r="N111" s="58">
        <v>-20</v>
      </c>
      <c r="O111" s="42">
        <f>SUM($N$34:N111)</f>
        <v>-745.94</v>
      </c>
    </row>
    <row r="112" spans="13:15" x14ac:dyDescent="0.25">
      <c r="M112" s="75">
        <v>45645.900763888887</v>
      </c>
      <c r="N112" s="58">
        <v>-10</v>
      </c>
      <c r="O112" s="42">
        <f>SUM($N$34:N112)</f>
        <v>-755.94</v>
      </c>
    </row>
    <row r="113" spans="13:15" x14ac:dyDescent="0.25">
      <c r="M113" s="75">
        <v>45645.901435185187</v>
      </c>
      <c r="N113" s="58">
        <v>-19.98</v>
      </c>
      <c r="O113" s="42">
        <f>SUM($N$34:N113)</f>
        <v>-775.92000000000007</v>
      </c>
    </row>
    <row r="114" spans="13:15" x14ac:dyDescent="0.25">
      <c r="M114" s="75">
        <v>45646.600543981483</v>
      </c>
      <c r="N114" s="58">
        <v>-10.32</v>
      </c>
      <c r="O114" s="42">
        <f>SUM($N$34:N114)</f>
        <v>-786.24000000000012</v>
      </c>
    </row>
    <row r="115" spans="13:15" x14ac:dyDescent="0.25">
      <c r="M115" s="75">
        <v>45659.426446759258</v>
      </c>
      <c r="N115" s="58">
        <v>-17.11</v>
      </c>
      <c r="O115" s="42">
        <f>SUM($N$34:N115)</f>
        <v>-803.35000000000014</v>
      </c>
    </row>
    <row r="116" spans="13:15" x14ac:dyDescent="0.25">
      <c r="M116" s="75">
        <v>45663.67046296296</v>
      </c>
      <c r="N116" s="58">
        <v>18.97</v>
      </c>
      <c r="O116" s="42">
        <f>SUM($N$34:N116)</f>
        <v>-784.38000000000011</v>
      </c>
    </row>
    <row r="117" spans="13:15" x14ac:dyDescent="0.25">
      <c r="M117" s="75">
        <v>45663.670601851853</v>
      </c>
      <c r="N117" s="58">
        <v>1.51</v>
      </c>
      <c r="O117" s="42">
        <f>SUM($N$34:N117)</f>
        <v>-782.87000000000012</v>
      </c>
    </row>
    <row r="118" spans="13:15" x14ac:dyDescent="0.25">
      <c r="M118" s="75">
        <v>45663.730150462965</v>
      </c>
      <c r="N118" s="58">
        <v>-14.99</v>
      </c>
      <c r="O118" s="42">
        <f>SUM($N$34:N118)</f>
        <v>-797.86000000000013</v>
      </c>
    </row>
    <row r="119" spans="13:15" x14ac:dyDescent="0.25">
      <c r="M119" s="75">
        <v>45663.731006944443</v>
      </c>
      <c r="N119" s="58">
        <v>-14.98</v>
      </c>
      <c r="O119" s="42">
        <f>SUM($N$34:N119)</f>
        <v>-812.84000000000015</v>
      </c>
    </row>
    <row r="120" spans="13:15" x14ac:dyDescent="0.25">
      <c r="M120" s="75">
        <v>45663.731157407405</v>
      </c>
      <c r="N120" s="58">
        <v>-14.96</v>
      </c>
      <c r="O120" s="42">
        <f>SUM($N$34:N120)</f>
        <v>-827.80000000000018</v>
      </c>
    </row>
    <row r="121" spans="13:15" x14ac:dyDescent="0.25">
      <c r="M121" s="75">
        <v>45663.735069444447</v>
      </c>
      <c r="N121" s="58">
        <v>-15</v>
      </c>
      <c r="O121" s="42">
        <f>SUM($N$34:N121)</f>
        <v>-842.80000000000018</v>
      </c>
    </row>
    <row r="122" spans="13:15" x14ac:dyDescent="0.25">
      <c r="M122" s="75">
        <v>45663.735625000001</v>
      </c>
      <c r="N122" s="58">
        <v>-9.99</v>
      </c>
      <c r="O122" s="42">
        <f>SUM($N$34:N122)</f>
        <v>-852.79000000000019</v>
      </c>
    </row>
    <row r="123" spans="13:15" x14ac:dyDescent="0.25">
      <c r="M123" s="75">
        <v>45663.73715277778</v>
      </c>
      <c r="N123" s="58">
        <v>-14.99</v>
      </c>
      <c r="O123" s="42">
        <f>SUM($N$34:N123)</f>
        <v>-867.7800000000002</v>
      </c>
    </row>
    <row r="124" spans="13:15" x14ac:dyDescent="0.25">
      <c r="M124" s="75">
        <v>45663.737500000003</v>
      </c>
      <c r="N124" s="58">
        <v>-10</v>
      </c>
      <c r="O124" s="42">
        <f>SUM($N$34:N124)</f>
        <v>-877.7800000000002</v>
      </c>
    </row>
    <row r="125" spans="13:15" x14ac:dyDescent="0.25">
      <c r="M125" s="75">
        <v>45667.681284722225</v>
      </c>
      <c r="N125" s="58">
        <v>10.92</v>
      </c>
      <c r="O125" s="42">
        <f>SUM($N$34:N125)</f>
        <v>-866.86000000000024</v>
      </c>
    </row>
    <row r="126" spans="13:15" x14ac:dyDescent="0.25">
      <c r="M126" s="75">
        <v>45667.686643518522</v>
      </c>
      <c r="N126" s="58">
        <v>-14.98</v>
      </c>
      <c r="O126" s="42">
        <f>SUM($N$34:N126)</f>
        <v>-881.84000000000026</v>
      </c>
    </row>
    <row r="127" spans="13:15" x14ac:dyDescent="0.25">
      <c r="M127" s="75">
        <v>45678.706469907411</v>
      </c>
      <c r="N127" s="58">
        <v>19.989999999999998</v>
      </c>
      <c r="O127" s="42">
        <f>SUM($N$34:N127)</f>
        <v>-861.85000000000025</v>
      </c>
    </row>
    <row r="128" spans="13:15" x14ac:dyDescent="0.25">
      <c r="M128" s="75">
        <v>45678.831782407404</v>
      </c>
      <c r="N128" s="58">
        <v>-10.029999999999999</v>
      </c>
      <c r="O128" s="42">
        <f>SUM($N$34:N128)</f>
        <v>-871.88000000000022</v>
      </c>
    </row>
    <row r="129" spans="13:15" x14ac:dyDescent="0.25">
      <c r="M129" s="75">
        <v>45678.832060185188</v>
      </c>
      <c r="N129" s="58">
        <v>-14.98</v>
      </c>
      <c r="O129" s="42">
        <f>SUM($N$34:N129)</f>
        <v>-886.86000000000024</v>
      </c>
    </row>
    <row r="130" spans="13:15" x14ac:dyDescent="0.25">
      <c r="M130" s="75">
        <v>45680.725844907407</v>
      </c>
      <c r="N130" s="58">
        <v>36.270000000000003</v>
      </c>
      <c r="O130" s="42">
        <f>SUM($N$34:N130)</f>
        <v>-850.59000000000026</v>
      </c>
    </row>
    <row r="131" spans="13:15" x14ac:dyDescent="0.25">
      <c r="M131" s="75">
        <v>45685.832349537035</v>
      </c>
      <c r="N131" s="58">
        <v>-14.97</v>
      </c>
      <c r="O131" s="42">
        <f>SUM($N$34:N131)</f>
        <v>-865.56000000000029</v>
      </c>
    </row>
    <row r="132" spans="13:15" x14ac:dyDescent="0.25">
      <c r="M132" s="75">
        <v>45685.835613425923</v>
      </c>
      <c r="N132" s="58">
        <v>-10.99</v>
      </c>
      <c r="O132" s="42">
        <f>SUM($N$34:N132)</f>
        <v>-876.5500000000003</v>
      </c>
    </row>
    <row r="133" spans="13:15" x14ac:dyDescent="0.25">
      <c r="M133" s="75">
        <v>45685.83625</v>
      </c>
      <c r="N133" s="58">
        <v>-10</v>
      </c>
      <c r="O133" s="42">
        <f>SUM($N$34:N133)</f>
        <v>-886.5500000000003</v>
      </c>
    </row>
    <row r="134" spans="13:15" x14ac:dyDescent="0.25">
      <c r="M134" s="75">
        <v>45685.83792824074</v>
      </c>
      <c r="N134" s="58">
        <v>54.94</v>
      </c>
      <c r="O134" s="42">
        <f>SUM($N$34:N134)</f>
        <v>-831.61000000000035</v>
      </c>
    </row>
    <row r="135" spans="13:15" x14ac:dyDescent="0.25">
      <c r="M135" s="75">
        <v>45686.832719907405</v>
      </c>
      <c r="N135" s="58">
        <v>-44.24</v>
      </c>
      <c r="O135" s="42">
        <f>SUM($N$34:N135)</f>
        <v>-875.85000000000036</v>
      </c>
    </row>
    <row r="136" spans="13:15" x14ac:dyDescent="0.25">
      <c r="M136" s="75">
        <v>45687.852280092593</v>
      </c>
      <c r="N136" s="58">
        <v>-10</v>
      </c>
      <c r="O136" s="42">
        <f>SUM($N$34:N136)</f>
        <v>-885.85000000000036</v>
      </c>
    </row>
    <row r="137" spans="13:15" x14ac:dyDescent="0.25">
      <c r="M137" s="75">
        <v>45692.866122685184</v>
      </c>
      <c r="N137" s="58">
        <v>-19.989999999999998</v>
      </c>
      <c r="O137" s="42">
        <f>SUM($N$34:N137)</f>
        <v>-905.84000000000037</v>
      </c>
    </row>
    <row r="138" spans="13:15" x14ac:dyDescent="0.25">
      <c r="M138" s="75">
        <v>45692.866724537038</v>
      </c>
      <c r="N138" s="58">
        <v>-10</v>
      </c>
      <c r="O138" s="42">
        <f>SUM($N$34:N138)</f>
        <v>-915.84000000000037</v>
      </c>
    </row>
    <row r="139" spans="13:15" x14ac:dyDescent="0.25">
      <c r="M139" s="75">
        <v>45693.850937499999</v>
      </c>
      <c r="N139" s="58">
        <v>-10.99</v>
      </c>
      <c r="O139" s="42">
        <f>SUM($N$34:N139)</f>
        <v>-926.83000000000038</v>
      </c>
    </row>
    <row r="140" spans="13:15" x14ac:dyDescent="0.25">
      <c r="M140" s="75">
        <v>45693.851226851853</v>
      </c>
      <c r="N140" s="58">
        <v>-10.49</v>
      </c>
      <c r="O140" s="42">
        <f>SUM($N$34:N140)</f>
        <v>-937.32000000000039</v>
      </c>
    </row>
    <row r="141" spans="13:15" x14ac:dyDescent="0.25">
      <c r="M141" s="75">
        <v>45693.855011574073</v>
      </c>
      <c r="N141" s="58">
        <v>-20.36</v>
      </c>
      <c r="O141" s="42">
        <f>SUM($N$34:N141)</f>
        <v>-957.6800000000004</v>
      </c>
    </row>
    <row r="142" spans="13:15" x14ac:dyDescent="0.25">
      <c r="M142" s="75">
        <v>45695.852662037039</v>
      </c>
      <c r="N142" s="58">
        <v>33.950000000000003</v>
      </c>
      <c r="O142" s="42">
        <f>SUM($N$34:N142)</f>
        <v>-923.73000000000036</v>
      </c>
    </row>
    <row r="143" spans="13:15" x14ac:dyDescent="0.25">
      <c r="M143" s="75">
        <v>45695.854641203703</v>
      </c>
      <c r="N143" s="58">
        <v>-10.49</v>
      </c>
      <c r="O143" s="42">
        <f>SUM($N$34:N143)</f>
        <v>-934.22000000000037</v>
      </c>
    </row>
    <row r="144" spans="13:15" x14ac:dyDescent="0.25">
      <c r="M144" s="75">
        <v>45695.855312500003</v>
      </c>
      <c r="N144" s="58">
        <v>-10</v>
      </c>
      <c r="O144" s="42">
        <f>SUM($N$34:N144)</f>
        <v>-944.22000000000037</v>
      </c>
    </row>
    <row r="145" spans="13:15" x14ac:dyDescent="0.25">
      <c r="M145" s="75">
        <v>45695.856203703705</v>
      </c>
      <c r="N145" s="58">
        <v>-10.98</v>
      </c>
      <c r="O145" s="42">
        <f>SUM($N$34:N145)</f>
        <v>-955.20000000000039</v>
      </c>
    </row>
    <row r="146" spans="13:15" x14ac:dyDescent="0.25">
      <c r="M146" s="75">
        <v>45695.857928240737</v>
      </c>
      <c r="N146" s="58">
        <v>-10</v>
      </c>
      <c r="O146" s="42">
        <f>SUM($N$34:N146)</f>
        <v>-965.20000000000039</v>
      </c>
    </row>
    <row r="147" spans="13:15" x14ac:dyDescent="0.25">
      <c r="M147" s="75">
        <v>45699.851527777777</v>
      </c>
      <c r="N147" s="58">
        <v>-10</v>
      </c>
      <c r="O147" s="42">
        <f>SUM($N$34:N147)</f>
        <v>-975.20000000000039</v>
      </c>
    </row>
    <row r="148" spans="13:15" x14ac:dyDescent="0.25">
      <c r="M148" s="75">
        <v>45706.652743055558</v>
      </c>
      <c r="N148" s="58">
        <v>14.03</v>
      </c>
      <c r="O148" s="42">
        <f>SUM($N$34:N148)</f>
        <v>-961.17000000000041</v>
      </c>
    </row>
    <row r="149" spans="13:15" x14ac:dyDescent="0.25">
      <c r="M149" s="75">
        <v>45706.652905092589</v>
      </c>
      <c r="N149" s="58">
        <v>28.75</v>
      </c>
      <c r="O149" s="42">
        <f>SUM($N$34:N149)</f>
        <v>-932.42000000000041</v>
      </c>
    </row>
    <row r="150" spans="13:15" x14ac:dyDescent="0.25">
      <c r="M150" s="75">
        <v>45706.870266203703</v>
      </c>
      <c r="N150" s="58">
        <v>-20.65</v>
      </c>
      <c r="O150" s="42">
        <f>SUM($N$34:N150)</f>
        <v>-953.07000000000039</v>
      </c>
    </row>
    <row r="151" spans="13:15" x14ac:dyDescent="0.25">
      <c r="M151" s="75">
        <v>45706.871215277781</v>
      </c>
      <c r="N151" s="58">
        <v>-20</v>
      </c>
      <c r="O151" s="42">
        <f>SUM($N$34:N151)</f>
        <v>-973.07000000000039</v>
      </c>
    </row>
    <row r="152" spans="13:15" x14ac:dyDescent="0.25">
      <c r="M152" s="75">
        <v>45708.679965277777</v>
      </c>
      <c r="N152" s="58">
        <v>-14.98</v>
      </c>
      <c r="O152" s="42">
        <f>SUM($N$34:N152)</f>
        <v>-988.05000000000041</v>
      </c>
    </row>
    <row r="153" spans="13:15" x14ac:dyDescent="0.25">
      <c r="M153" s="75">
        <v>45708.680231481485</v>
      </c>
      <c r="N153" s="58">
        <v>-10</v>
      </c>
      <c r="O153" s="42">
        <f>SUM($N$34:N153)</f>
        <v>-998.05000000000041</v>
      </c>
    </row>
    <row r="154" spans="13:15" x14ac:dyDescent="0.25">
      <c r="M154" s="75">
        <v>45708.681354166663</v>
      </c>
      <c r="N154" s="58">
        <v>-19.98</v>
      </c>
      <c r="O154" s="42">
        <f>SUM($N$34:N154)</f>
        <v>-1018.0300000000004</v>
      </c>
    </row>
    <row r="155" spans="13:15" x14ac:dyDescent="0.25">
      <c r="M155" s="75">
        <v>45708.681655092594</v>
      </c>
      <c r="N155" s="58">
        <v>-2.82</v>
      </c>
      <c r="O155" s="42">
        <f>SUM($N$34:N155)</f>
        <v>-1020.8500000000005</v>
      </c>
    </row>
    <row r="156" spans="13:15" x14ac:dyDescent="0.25">
      <c r="M156" s="75">
        <v>45708.681666666664</v>
      </c>
      <c r="N156" s="58">
        <v>-17.18</v>
      </c>
      <c r="O156" s="42">
        <f>SUM($N$34:N156)</f>
        <v>-1038.0300000000004</v>
      </c>
    </row>
    <row r="157" spans="13:15" x14ac:dyDescent="0.25">
      <c r="M157" s="75">
        <v>45708.682071759256</v>
      </c>
      <c r="N157" s="58">
        <v>-9.99</v>
      </c>
      <c r="O157" s="42">
        <f>SUM($N$34:N157)</f>
        <v>-1048.0200000000004</v>
      </c>
    </row>
    <row r="158" spans="13:15" x14ac:dyDescent="0.25">
      <c r="M158" s="75">
        <v>45716.85565972222</v>
      </c>
      <c r="N158" s="58">
        <v>-34.979999999999997</v>
      </c>
      <c r="O158" s="42">
        <f>SUM($N$34:N158)</f>
        <v>-1083.0000000000005</v>
      </c>
    </row>
    <row r="159" spans="13:15" x14ac:dyDescent="0.25">
      <c r="M159" s="75">
        <v>45716.856388888889</v>
      </c>
      <c r="N159" s="58">
        <v>-44.49</v>
      </c>
      <c r="O159" s="42">
        <f>SUM($N$34:N159)</f>
        <v>-1127.4900000000005</v>
      </c>
    </row>
    <row r="160" spans="13:15" x14ac:dyDescent="0.25">
      <c r="M160" s="75">
        <v>45716.857048611113</v>
      </c>
      <c r="N160" s="58">
        <v>-14.99</v>
      </c>
      <c r="O160" s="42">
        <f>SUM($N$34:N160)</f>
        <v>-1142.4800000000005</v>
      </c>
    </row>
    <row r="161" spans="13:15" x14ac:dyDescent="0.25">
      <c r="M161" s="75">
        <v>45727.871678240743</v>
      </c>
      <c r="N161" s="58">
        <v>-19.989999999999998</v>
      </c>
      <c r="O161" s="42">
        <f>SUM($N$34:N161)</f>
        <v>-1162.4700000000005</v>
      </c>
    </row>
    <row r="162" spans="13:15" x14ac:dyDescent="0.25">
      <c r="M162" s="75">
        <v>45727.872025462966</v>
      </c>
      <c r="N162" s="58">
        <v>-15</v>
      </c>
      <c r="O162" s="42">
        <f>SUM($N$34:N162)</f>
        <v>-1177.4700000000005</v>
      </c>
    </row>
    <row r="163" spans="13:15" x14ac:dyDescent="0.25">
      <c r="M163" s="75">
        <v>45727.872141203705</v>
      </c>
      <c r="N163" s="58">
        <v>-14.99</v>
      </c>
      <c r="O163" s="42">
        <f>SUM($N$34:N163)</f>
        <v>-1192.4600000000005</v>
      </c>
    </row>
    <row r="164" spans="13:15" x14ac:dyDescent="0.25">
      <c r="M164" s="75">
        <v>45734.854895833334</v>
      </c>
      <c r="N164" s="58">
        <v>-11</v>
      </c>
      <c r="O164" s="42">
        <f>SUM($N$34:N164)</f>
        <v>-1203.4600000000005</v>
      </c>
    </row>
    <row r="165" spans="13:15" x14ac:dyDescent="0.25">
      <c r="M165" s="75">
        <v>45734.855763888889</v>
      </c>
      <c r="N165" s="58">
        <v>-19.98</v>
      </c>
      <c r="O165" s="42">
        <f>SUM($N$34:N165)</f>
        <v>-1223.4400000000005</v>
      </c>
    </row>
    <row r="166" spans="13:15" x14ac:dyDescent="0.25">
      <c r="M166" s="75">
        <v>45741.871770833335</v>
      </c>
      <c r="N166" s="58">
        <v>9.33</v>
      </c>
      <c r="O166" s="42">
        <f>SUM($N$34:N166)</f>
        <v>-1214.1100000000006</v>
      </c>
    </row>
    <row r="167" spans="13:15" x14ac:dyDescent="0.25">
      <c r="M167" s="75">
        <v>45742.775960648149</v>
      </c>
      <c r="N167" s="58">
        <v>4.55</v>
      </c>
      <c r="O167" s="42">
        <f>SUM($N$34:N167)</f>
        <v>-1209.5600000000006</v>
      </c>
    </row>
    <row r="168" spans="13:15" x14ac:dyDescent="0.25">
      <c r="M168" s="75">
        <v>45743.761064814818</v>
      </c>
      <c r="N168" s="58">
        <v>-46.11</v>
      </c>
      <c r="O168" s="42">
        <f>SUM($N$34:N168)</f>
        <v>-1255.6700000000005</v>
      </c>
    </row>
    <row r="169" spans="13:15" x14ac:dyDescent="0.25">
      <c r="M169" s="75">
        <v>45743.76599537037</v>
      </c>
      <c r="N169" s="58">
        <v>2.04</v>
      </c>
      <c r="O169" s="42">
        <f>SUM($N$34:N169)</f>
        <v>-1253.6300000000006</v>
      </c>
    </row>
    <row r="170" spans="13:15" x14ac:dyDescent="0.25">
      <c r="M170" s="75">
        <v>45743.766331018516</v>
      </c>
      <c r="N170" s="58">
        <v>2.06</v>
      </c>
      <c r="O170" s="42">
        <f>SUM($N$34:N170)</f>
        <v>-1251.5700000000006</v>
      </c>
    </row>
    <row r="171" spans="13:15" x14ac:dyDescent="0.25">
      <c r="M171" s="75">
        <v>45743.766585648147</v>
      </c>
      <c r="N171" s="58">
        <v>-21.13</v>
      </c>
      <c r="O171" s="42">
        <f>SUM($N$34:N171)</f>
        <v>-1272.7000000000007</v>
      </c>
    </row>
    <row r="172" spans="13:15" x14ac:dyDescent="0.25">
      <c r="M172" s="75">
        <v>45743.767696759256</v>
      </c>
      <c r="N172" s="58">
        <v>10.25</v>
      </c>
      <c r="O172" s="42">
        <f>SUM($N$34:N172)</f>
        <v>-1262.4500000000007</v>
      </c>
    </row>
    <row r="173" spans="13:15" x14ac:dyDescent="0.25">
      <c r="M173" s="75">
        <v>45743.773900462962</v>
      </c>
      <c r="N173" s="58">
        <v>-72.87</v>
      </c>
      <c r="O173" s="42">
        <f>SUM($N$34:N173)</f>
        <v>-1335.3200000000006</v>
      </c>
    </row>
    <row r="174" spans="13:15" x14ac:dyDescent="0.25">
      <c r="M174" s="75">
        <v>45744.713402777779</v>
      </c>
      <c r="N174" s="58">
        <v>-15</v>
      </c>
      <c r="O174" s="42">
        <f>SUM($N$34:N174)</f>
        <v>-1350.3200000000006</v>
      </c>
    </row>
    <row r="175" spans="13:15" x14ac:dyDescent="0.25">
      <c r="M175" s="75">
        <v>45751.723171296297</v>
      </c>
      <c r="N175" s="58">
        <v>-10</v>
      </c>
      <c r="O175" s="42">
        <f>SUM($N$34:N175)</f>
        <v>-1360.3200000000006</v>
      </c>
    </row>
    <row r="176" spans="13:15" x14ac:dyDescent="0.25">
      <c r="M176" s="75">
        <v>45751.739259259259</v>
      </c>
      <c r="N176" s="58">
        <v>-40</v>
      </c>
      <c r="O176" s="42">
        <f>SUM($N$34:N176)</f>
        <v>-1400.3200000000006</v>
      </c>
    </row>
    <row r="177" spans="13:15" x14ac:dyDescent="0.25">
      <c r="M177" s="75">
        <v>45751.742303240739</v>
      </c>
      <c r="N177" s="58">
        <v>-7.45</v>
      </c>
      <c r="O177" s="42">
        <f>SUM($N$34:N177)</f>
        <v>-1407.7700000000007</v>
      </c>
    </row>
    <row r="178" spans="13:15" x14ac:dyDescent="0.25">
      <c r="M178" s="75">
        <v>45751.742314814815</v>
      </c>
      <c r="N178" s="58">
        <v>-17.54</v>
      </c>
      <c r="O178" s="42">
        <f>SUM($N$34:N178)</f>
        <v>-1425.3100000000006</v>
      </c>
    </row>
    <row r="179" spans="13:15" x14ac:dyDescent="0.25">
      <c r="M179" s="75">
        <v>45751.745011574072</v>
      </c>
      <c r="N179" s="58">
        <v>-19.989999999999998</v>
      </c>
      <c r="O179" s="42">
        <f>SUM($N$34:N179)</f>
        <v>-1445.3000000000006</v>
      </c>
    </row>
    <row r="180" spans="13:15" x14ac:dyDescent="0.25">
      <c r="M180" s="75">
        <v>45751.745347222219</v>
      </c>
      <c r="N180" s="58">
        <v>-74.13</v>
      </c>
      <c r="O180" s="42">
        <f>SUM($N$34:N180)</f>
        <v>-1519.4300000000007</v>
      </c>
    </row>
    <row r="181" spans="13:15" x14ac:dyDescent="0.25">
      <c r="M181" s="75">
        <v>45754.579409722224</v>
      </c>
      <c r="N181" s="58">
        <v>-41.06</v>
      </c>
      <c r="O181" s="42">
        <f>SUM($N$34:N181)</f>
        <v>-1560.4900000000007</v>
      </c>
    </row>
    <row r="182" spans="13:15" x14ac:dyDescent="0.25">
      <c r="M182" s="75">
        <v>45754.647627314815</v>
      </c>
      <c r="N182" s="58">
        <v>28.71</v>
      </c>
      <c r="O182" s="42">
        <f>SUM($N$34:N182)</f>
        <v>-1531.7800000000007</v>
      </c>
    </row>
    <row r="183" spans="13:15" x14ac:dyDescent="0.25">
      <c r="M183" s="75">
        <v>45755.880254629628</v>
      </c>
      <c r="N183" s="58">
        <v>-9.98</v>
      </c>
      <c r="O183" s="42">
        <f>SUM($N$34:N183)</f>
        <v>-1541.7600000000007</v>
      </c>
    </row>
    <row r="184" spans="13:15" x14ac:dyDescent="0.25">
      <c r="M184" s="75">
        <v>45755.880555555559</v>
      </c>
      <c r="N184" s="58">
        <v>-9.99</v>
      </c>
      <c r="O184" s="42">
        <f>SUM($N$34:N184)</f>
        <v>-1551.7500000000007</v>
      </c>
    </row>
    <row r="185" spans="13:15" x14ac:dyDescent="0.25">
      <c r="M185" s="75">
        <v>45764.850289351853</v>
      </c>
      <c r="N185" s="58">
        <v>2.2799999999999998</v>
      </c>
      <c r="O185" s="42">
        <f>SUM($N$34:N185)</f>
        <v>-1549.4700000000007</v>
      </c>
    </row>
    <row r="186" spans="13:15" x14ac:dyDescent="0.25">
      <c r="M186" s="75">
        <v>45764.851782407408</v>
      </c>
      <c r="N186" s="58">
        <v>14.74</v>
      </c>
      <c r="O186" s="42">
        <f>SUM($N$34:N186)</f>
        <v>-1534.7300000000007</v>
      </c>
    </row>
    <row r="187" spans="13:15" x14ac:dyDescent="0.25">
      <c r="M187" s="75">
        <v>45764.854513888888</v>
      </c>
      <c r="N187" s="58">
        <v>-10</v>
      </c>
      <c r="O187" s="42">
        <f>SUM($N$34:N187)</f>
        <v>-1544.7300000000007</v>
      </c>
    </row>
    <row r="188" spans="13:15" x14ac:dyDescent="0.25">
      <c r="M188" s="75">
        <v>45777.646678240744</v>
      </c>
      <c r="N188" s="58">
        <v>-10</v>
      </c>
      <c r="O188" s="42">
        <f>SUM($N$34:N188)</f>
        <v>-1554.7300000000007</v>
      </c>
    </row>
    <row r="189" spans="13:15" x14ac:dyDescent="0.25">
      <c r="M189" s="75">
        <v>45782.676898148151</v>
      </c>
      <c r="N189" s="58">
        <v>92.47</v>
      </c>
      <c r="O189" s="42">
        <f>SUM($N$34:N189)</f>
        <v>-1462.2600000000007</v>
      </c>
    </row>
    <row r="190" spans="13:15" x14ac:dyDescent="0.25">
      <c r="M190" s="75">
        <v>45783.831099537034</v>
      </c>
      <c r="N190" s="58">
        <v>-10.99</v>
      </c>
      <c r="O190" s="42">
        <f>SUM($N$34:N190)</f>
        <v>-1473.2500000000007</v>
      </c>
    </row>
    <row r="191" spans="13:15" x14ac:dyDescent="0.25">
      <c r="M191" s="75">
        <v>45783.831250000003</v>
      </c>
      <c r="N191" s="58">
        <v>-10</v>
      </c>
      <c r="O191" s="42">
        <f>SUM($N$34:N191)</f>
        <v>-1483.2500000000007</v>
      </c>
    </row>
    <row r="192" spans="13:15" x14ac:dyDescent="0.25">
      <c r="M192" s="75">
        <v>45783.830578703702</v>
      </c>
      <c r="N192" s="58">
        <v>-10</v>
      </c>
      <c r="O192" s="42">
        <f>SUM($N$34:N192)</f>
        <v>-1493.2500000000007</v>
      </c>
    </row>
    <row r="193" spans="13:15" x14ac:dyDescent="0.25">
      <c r="M193" s="75">
        <v>45783.83189814815</v>
      </c>
      <c r="N193" s="58">
        <v>-3.88</v>
      </c>
      <c r="O193" s="42">
        <f>SUM($N$34:N193)</f>
        <v>-1497.1300000000008</v>
      </c>
    </row>
    <row r="194" spans="13:15" x14ac:dyDescent="0.25">
      <c r="M194" s="75">
        <v>45783.831909722219</v>
      </c>
      <c r="N194" s="58">
        <v>-16.12</v>
      </c>
      <c r="O194" s="42">
        <f>SUM($N$34:N194)</f>
        <v>-1513.2500000000007</v>
      </c>
    </row>
    <row r="195" spans="13:15" x14ac:dyDescent="0.25">
      <c r="M195" s="75">
        <v>45784.776655092595</v>
      </c>
      <c r="N195" s="58">
        <v>26.36</v>
      </c>
      <c r="O195" s="42">
        <f>SUM($N$34:N195)</f>
        <v>-1486.8900000000008</v>
      </c>
    </row>
    <row r="196" spans="13:15" x14ac:dyDescent="0.25">
      <c r="M196" s="75">
        <v>45785.660474537035</v>
      </c>
      <c r="N196" s="58">
        <v>29.89</v>
      </c>
      <c r="O196" s="42">
        <f>SUM($N$34:N196)</f>
        <v>-1457.0000000000007</v>
      </c>
    </row>
    <row r="197" spans="13:15" x14ac:dyDescent="0.25">
      <c r="M197" s="75">
        <v>45785.658854166664</v>
      </c>
      <c r="N197" s="58">
        <v>4.1900000000000004</v>
      </c>
      <c r="O197" s="42">
        <f>SUM($N$34:N197)</f>
        <v>-1452.8100000000006</v>
      </c>
    </row>
    <row r="198" spans="13:15" x14ac:dyDescent="0.25">
      <c r="M198" s="75">
        <v>45785.659085648149</v>
      </c>
      <c r="N198" s="58">
        <v>13.76</v>
      </c>
      <c r="O198" s="42">
        <f>SUM($N$34:N198)</f>
        <v>-1439.0500000000006</v>
      </c>
    </row>
    <row r="199" spans="13:15" x14ac:dyDescent="0.25">
      <c r="M199" s="75">
        <v>45785.661435185182</v>
      </c>
      <c r="N199" s="58">
        <v>-11</v>
      </c>
      <c r="O199" s="42">
        <f>SUM($N$34:N199)</f>
        <v>-1450.0500000000006</v>
      </c>
    </row>
    <row r="200" spans="13:15" x14ac:dyDescent="0.25">
      <c r="M200" s="75">
        <v>45785.669722222221</v>
      </c>
      <c r="N200" s="58">
        <v>-10.51</v>
      </c>
      <c r="O200" s="42">
        <f>SUM($N$34:N200)</f>
        <v>-1460.5600000000006</v>
      </c>
    </row>
    <row r="201" spans="13:15" x14ac:dyDescent="0.25">
      <c r="M201" s="75">
        <v>45785.669733796298</v>
      </c>
      <c r="N201" s="58">
        <v>-14.49</v>
      </c>
      <c r="O201" s="42">
        <f>SUM($N$34:N201)</f>
        <v>-1475.0500000000006</v>
      </c>
    </row>
    <row r="202" spans="13:15" x14ac:dyDescent="0.25">
      <c r="M202" s="75">
        <v>45789.647870370369</v>
      </c>
      <c r="N202" s="58">
        <v>-10</v>
      </c>
      <c r="O202" s="42">
        <f>SUM($N$34:N202)</f>
        <v>-1485.0500000000006</v>
      </c>
    </row>
    <row r="203" spans="13:15" x14ac:dyDescent="0.25">
      <c r="M203" s="75">
        <v>45789.648599537039</v>
      </c>
      <c r="N203" s="58">
        <v>-19.989999999999998</v>
      </c>
      <c r="O203" s="42">
        <f>SUM($N$34:N203)</f>
        <v>-1505.0400000000006</v>
      </c>
    </row>
    <row r="204" spans="13:15" x14ac:dyDescent="0.25">
      <c r="M204" s="75">
        <v>45791.649768518517</v>
      </c>
      <c r="N204" s="58">
        <v>60.63</v>
      </c>
      <c r="O204" s="42">
        <f>SUM($N$34:N204)</f>
        <v>-1444.4100000000005</v>
      </c>
    </row>
    <row r="205" spans="13:15" x14ac:dyDescent="0.25">
      <c r="M205" s="75">
        <v>45792.646550925929</v>
      </c>
      <c r="N205" s="58">
        <v>13.94</v>
      </c>
      <c r="O205" s="42">
        <f>SUM($N$34:N205)</f>
        <v>-1430.4700000000005</v>
      </c>
    </row>
    <row r="206" spans="13:15" x14ac:dyDescent="0.25">
      <c r="M206" s="75">
        <v>45792.647141203706</v>
      </c>
      <c r="N206" s="58">
        <v>-20</v>
      </c>
      <c r="O206" s="42">
        <f>SUM($N$34:N206)</f>
        <v>-1450.4700000000005</v>
      </c>
    </row>
    <row r="207" spans="13:15" x14ac:dyDescent="0.25">
      <c r="M207" s="75">
        <v>45792.64702546296</v>
      </c>
      <c r="N207" s="58">
        <v>-21.66</v>
      </c>
      <c r="O207" s="42">
        <f>SUM($N$34:N207)</f>
        <v>-1472.1300000000006</v>
      </c>
    </row>
    <row r="208" spans="13:15" x14ac:dyDescent="0.25">
      <c r="M208" s="75">
        <v>45792.647326388891</v>
      </c>
      <c r="N208" s="58">
        <v>-10</v>
      </c>
      <c r="O208" s="42">
        <f>SUM($N$34:N208)</f>
        <v>-1482.1300000000006</v>
      </c>
    </row>
    <row r="209" spans="13:15" x14ac:dyDescent="0.25">
      <c r="M209" s="75">
        <v>45792.647812499999</v>
      </c>
      <c r="N209" s="58">
        <v>16.650000000000002</v>
      </c>
      <c r="O209" s="42">
        <f>SUM($N$34:N209)</f>
        <v>-1465.4800000000005</v>
      </c>
    </row>
    <row r="210" spans="13:15" x14ac:dyDescent="0.25">
      <c r="M210" s="75">
        <v>45792.648055555554</v>
      </c>
      <c r="N210" s="58">
        <v>-15</v>
      </c>
      <c r="O210" s="42">
        <f>SUM($N$34:N210)</f>
        <v>-1480.4800000000005</v>
      </c>
    </row>
    <row r="211" spans="13:15" x14ac:dyDescent="0.25">
      <c r="M211" s="75">
        <v>45792.760937500003</v>
      </c>
      <c r="N211" s="58">
        <v>-10</v>
      </c>
      <c r="O211" s="42">
        <f>SUM($N$34:N211)</f>
        <v>-1490.4800000000005</v>
      </c>
    </row>
    <row r="212" spans="13:15" x14ac:dyDescent="0.25">
      <c r="M212"/>
      <c r="N212"/>
      <c r="O212" s="42">
        <f>SUM($N$34:N212)</f>
        <v>-1490.4800000000005</v>
      </c>
    </row>
    <row r="213" spans="13:15" x14ac:dyDescent="0.25">
      <c r="M213"/>
      <c r="N213"/>
      <c r="O213" s="42">
        <f>SUM($N$34:N213)</f>
        <v>-1490.4800000000005</v>
      </c>
    </row>
    <row r="214" spans="13:15" x14ac:dyDescent="0.25">
      <c r="M214"/>
      <c r="N214"/>
      <c r="O214" s="42">
        <f>SUM($N$34:N214)</f>
        <v>-1490.4800000000005</v>
      </c>
    </row>
    <row r="215" spans="13:15" x14ac:dyDescent="0.25">
      <c r="M215"/>
      <c r="N215"/>
      <c r="O215" s="42">
        <f>SUM($N$34:N215)</f>
        <v>-1490.4800000000005</v>
      </c>
    </row>
    <row r="216" spans="13:15" x14ac:dyDescent="0.25">
      <c r="M216"/>
      <c r="N216"/>
      <c r="O216" s="42">
        <f>SUM($N$34:N216)</f>
        <v>-1490.4800000000005</v>
      </c>
    </row>
    <row r="217" spans="13:15" x14ac:dyDescent="0.25">
      <c r="M217"/>
      <c r="N217"/>
      <c r="O217" s="42">
        <f>SUM($N$34:N217)</f>
        <v>-1490.4800000000005</v>
      </c>
    </row>
    <row r="218" spans="13:15" x14ac:dyDescent="0.25">
      <c r="M218"/>
      <c r="N218"/>
      <c r="O218" s="42">
        <f>SUM($N$34:N218)</f>
        <v>-1490.4800000000005</v>
      </c>
    </row>
    <row r="219" spans="13:15" x14ac:dyDescent="0.25">
      <c r="M219"/>
      <c r="N219"/>
      <c r="O219" s="42">
        <f>SUM($N$34:N219)</f>
        <v>-1490.4800000000005</v>
      </c>
    </row>
    <row r="220" spans="13:15" x14ac:dyDescent="0.25">
      <c r="M220"/>
      <c r="N220"/>
      <c r="O220" s="42">
        <f>SUM($N$34:N220)</f>
        <v>-1490.4800000000005</v>
      </c>
    </row>
    <row r="221" spans="13:15" x14ac:dyDescent="0.25">
      <c r="M221"/>
      <c r="N221"/>
      <c r="O221" s="42">
        <f>SUM($N$34:N221)</f>
        <v>-1490.4800000000005</v>
      </c>
    </row>
    <row r="222" spans="13:15" x14ac:dyDescent="0.25">
      <c r="M222"/>
      <c r="N222"/>
      <c r="O222" s="42">
        <f>SUM($N$34:N222)</f>
        <v>-1490.4800000000005</v>
      </c>
    </row>
    <row r="223" spans="13:15" x14ac:dyDescent="0.25">
      <c r="M223"/>
      <c r="N223"/>
      <c r="O223" s="42">
        <f>SUM($N$34:N223)</f>
        <v>-1490.4800000000005</v>
      </c>
    </row>
    <row r="224" spans="13:15" x14ac:dyDescent="0.25">
      <c r="M224"/>
      <c r="N224"/>
      <c r="O224" s="42">
        <f>SUM($N$34:N224)</f>
        <v>-1490.4800000000005</v>
      </c>
    </row>
    <row r="225" spans="13:15" x14ac:dyDescent="0.25">
      <c r="M225"/>
      <c r="N225"/>
      <c r="O225" s="42">
        <f>SUM($N$34:N225)</f>
        <v>-1490.4800000000005</v>
      </c>
    </row>
    <row r="226" spans="13:15" x14ac:dyDescent="0.25">
      <c r="M226"/>
      <c r="N226"/>
      <c r="O226" s="42">
        <f>SUM($N$34:N226)</f>
        <v>-1490.4800000000005</v>
      </c>
    </row>
    <row r="227" spans="13:15" x14ac:dyDescent="0.25">
      <c r="M227"/>
      <c r="N227"/>
      <c r="O227" s="42">
        <f>SUM($N$34:N227)</f>
        <v>-1490.4800000000005</v>
      </c>
    </row>
    <row r="228" spans="13:15" x14ac:dyDescent="0.25">
      <c r="M228"/>
      <c r="N228"/>
      <c r="O228" s="42">
        <f>SUM($N$34:N228)</f>
        <v>-1490.4800000000005</v>
      </c>
    </row>
    <row r="229" spans="13:15" x14ac:dyDescent="0.25">
      <c r="M229"/>
      <c r="N229"/>
      <c r="O229" s="42">
        <f>SUM($N$34:N229)</f>
        <v>-1490.4800000000005</v>
      </c>
    </row>
    <row r="230" spans="13:15" x14ac:dyDescent="0.25">
      <c r="M230"/>
      <c r="N230"/>
      <c r="O230" s="42">
        <f>SUM($N$34:N230)</f>
        <v>-1490.4800000000005</v>
      </c>
    </row>
    <row r="231" spans="13:15" x14ac:dyDescent="0.25">
      <c r="M231"/>
      <c r="N231"/>
      <c r="O231" s="42">
        <f>SUM($N$34:N231)</f>
        <v>-1490.4800000000005</v>
      </c>
    </row>
    <row r="232" spans="13:15" x14ac:dyDescent="0.25">
      <c r="M232"/>
      <c r="N232"/>
      <c r="O232" s="42">
        <f>SUM($N$34:N232)</f>
        <v>-1490.4800000000005</v>
      </c>
    </row>
    <row r="233" spans="13:15" x14ac:dyDescent="0.25">
      <c r="M233"/>
      <c r="N233"/>
      <c r="O233" s="42">
        <f>SUM($N$34:N233)</f>
        <v>-1490.4800000000005</v>
      </c>
    </row>
    <row r="234" spans="13:15" x14ac:dyDescent="0.25">
      <c r="M234"/>
      <c r="N234"/>
      <c r="O234" s="42">
        <f>SUM($N$34:N234)</f>
        <v>-1490.4800000000005</v>
      </c>
    </row>
    <row r="235" spans="13:15" x14ac:dyDescent="0.25">
      <c r="M235"/>
      <c r="N235"/>
      <c r="O235" s="42">
        <f>SUM($N$34:N235)</f>
        <v>-1490.4800000000005</v>
      </c>
    </row>
    <row r="236" spans="13:15" x14ac:dyDescent="0.25">
      <c r="M236"/>
      <c r="N236"/>
      <c r="O236" s="42">
        <f>SUM($N$34:N236)</f>
        <v>-1490.4800000000005</v>
      </c>
    </row>
    <row r="237" spans="13:15" x14ac:dyDescent="0.25">
      <c r="M237"/>
      <c r="N237"/>
      <c r="O237" s="42">
        <f>SUM($N$34:N237)</f>
        <v>-1490.4800000000005</v>
      </c>
    </row>
    <row r="238" spans="13:15" x14ac:dyDescent="0.25">
      <c r="M238"/>
      <c r="N238"/>
      <c r="O238" s="42">
        <f>SUM($N$34:N238)</f>
        <v>-1490.4800000000005</v>
      </c>
    </row>
    <row r="239" spans="13:15" x14ac:dyDescent="0.25">
      <c r="M239"/>
      <c r="N239"/>
      <c r="O239" s="42">
        <f>SUM($N$34:N239)</f>
        <v>-1490.4800000000005</v>
      </c>
    </row>
    <row r="240" spans="13:15" x14ac:dyDescent="0.25">
      <c r="M240"/>
      <c r="N240"/>
      <c r="O240" s="42">
        <f>SUM($N$34:N240)</f>
        <v>-1490.4800000000005</v>
      </c>
    </row>
    <row r="241" spans="13:15" x14ac:dyDescent="0.25">
      <c r="M241"/>
      <c r="N241"/>
      <c r="O241" s="42">
        <f>SUM($N$34:N241)</f>
        <v>-1490.4800000000005</v>
      </c>
    </row>
    <row r="242" spans="13:15" x14ac:dyDescent="0.25">
      <c r="M242"/>
      <c r="N242"/>
      <c r="O242" s="42">
        <f>SUM($N$34:N242)</f>
        <v>-1490.4800000000005</v>
      </c>
    </row>
    <row r="243" spans="13:15" x14ac:dyDescent="0.25">
      <c r="M243"/>
      <c r="N243"/>
      <c r="O243" s="42">
        <f>SUM($N$34:N243)</f>
        <v>-1490.4800000000005</v>
      </c>
    </row>
    <row r="244" spans="13:15" x14ac:dyDescent="0.25">
      <c r="M244"/>
      <c r="N244"/>
      <c r="O244" s="42">
        <f>SUM($N$34:N244)</f>
        <v>-1490.4800000000005</v>
      </c>
    </row>
    <row r="245" spans="13:15" x14ac:dyDescent="0.25">
      <c r="M245"/>
      <c r="N245"/>
      <c r="O245" s="42">
        <f>SUM($N$34:N245)</f>
        <v>-1490.4800000000005</v>
      </c>
    </row>
    <row r="246" spans="13:15" x14ac:dyDescent="0.25">
      <c r="M246"/>
      <c r="N246"/>
      <c r="O246" s="42">
        <f>SUM($N$34:N246)</f>
        <v>-1490.4800000000005</v>
      </c>
    </row>
    <row r="247" spans="13:15" x14ac:dyDescent="0.25">
      <c r="M247"/>
      <c r="N247"/>
    </row>
    <row r="248" spans="13:15" x14ac:dyDescent="0.25">
      <c r="M248"/>
      <c r="N248"/>
    </row>
    <row r="249" spans="13:15" x14ac:dyDescent="0.25">
      <c r="M249"/>
      <c r="N249"/>
    </row>
    <row r="250" spans="13:15" x14ac:dyDescent="0.25">
      <c r="M250"/>
      <c r="N250"/>
    </row>
    <row r="251" spans="13:15" x14ac:dyDescent="0.25">
      <c r="M251"/>
      <c r="N251"/>
    </row>
    <row r="252" spans="13:15" x14ac:dyDescent="0.25">
      <c r="M252"/>
      <c r="N252"/>
    </row>
    <row r="253" spans="13:15" x14ac:dyDescent="0.25">
      <c r="M253"/>
      <c r="N253"/>
    </row>
    <row r="254" spans="13:15" x14ac:dyDescent="0.25">
      <c r="M254"/>
      <c r="N254"/>
    </row>
    <row r="255" spans="13:15" x14ac:dyDescent="0.25">
      <c r="M255"/>
      <c r="N255"/>
    </row>
    <row r="256" spans="13:15" x14ac:dyDescent="0.25">
      <c r="M256"/>
      <c r="N256"/>
    </row>
    <row r="257" spans="13:14" x14ac:dyDescent="0.25">
      <c r="M257"/>
      <c r="N257"/>
    </row>
    <row r="258" spans="13:14" x14ac:dyDescent="0.25">
      <c r="M258"/>
      <c r="N258"/>
    </row>
    <row r="259" spans="13:14" x14ac:dyDescent="0.25">
      <c r="M259"/>
      <c r="N259"/>
    </row>
    <row r="260" spans="13:14" x14ac:dyDescent="0.25">
      <c r="M260"/>
      <c r="N260"/>
    </row>
    <row r="261" spans="13:14" x14ac:dyDescent="0.25">
      <c r="M261"/>
      <c r="N261"/>
    </row>
    <row r="262" spans="13:14" x14ac:dyDescent="0.25">
      <c r="M262"/>
      <c r="N262"/>
    </row>
    <row r="263" spans="13:14" x14ac:dyDescent="0.25">
      <c r="M263"/>
      <c r="N263"/>
    </row>
    <row r="264" spans="13:14" x14ac:dyDescent="0.25">
      <c r="M264"/>
      <c r="N264"/>
    </row>
    <row r="265" spans="13:14" x14ac:dyDescent="0.25">
      <c r="M265"/>
      <c r="N265"/>
    </row>
  </sheetData>
  <mergeCells count="1">
    <mergeCell ref="U11:W11"/>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CBF7F-4CDC-4041-8C82-4FC3E30DBA0C}">
  <sheetPr>
    <tabColor theme="9"/>
  </sheetPr>
  <dimension ref="B5:AP1302"/>
  <sheetViews>
    <sheetView showGridLines="0" topLeftCell="P5" zoomScale="85" zoomScaleNormal="85" workbookViewId="0">
      <selection activeCell="AL11" sqref="AL11:AN11"/>
    </sheetView>
  </sheetViews>
  <sheetFormatPr defaultRowHeight="15" outlineLevelCol="1" x14ac:dyDescent="0.25"/>
  <cols>
    <col min="1" max="1" width="9.140625" style="37"/>
    <col min="2" max="2" width="14.85546875" style="37" customWidth="1" outlineLevel="1"/>
    <col min="3" max="3" width="16.28515625" style="37" customWidth="1" outlineLevel="1"/>
    <col min="4" max="4" width="7.7109375" style="37" bestFit="1" customWidth="1" outlineLevel="1"/>
    <col min="5" max="5" width="15.140625" style="37" customWidth="1" outlineLevel="1"/>
    <col min="6" max="6" width="17" style="37" customWidth="1" outlineLevel="1"/>
    <col min="7" max="7" width="14.85546875" style="37" customWidth="1" outlineLevel="1"/>
    <col min="8" max="8" width="16.28515625" style="37" customWidth="1" outlineLevel="1"/>
    <col min="9" max="9" width="15.140625" style="37" customWidth="1" outlineLevel="1"/>
    <col min="10" max="10" width="15.7109375" style="37" customWidth="1" outlineLevel="1"/>
    <col min="11" max="11" width="17" style="37" customWidth="1" outlineLevel="1"/>
    <col min="12" max="12" width="17" style="53" customWidth="1" outlineLevel="1"/>
    <col min="13" max="13" width="17.28515625" style="37" customWidth="1" outlineLevel="1"/>
    <col min="14" max="15" width="16.42578125" style="37" customWidth="1" outlineLevel="1"/>
    <col min="16" max="16" width="13.7109375" style="52" customWidth="1" outlineLevel="1"/>
    <col min="17" max="17" width="11.85546875" style="52" customWidth="1" outlineLevel="1"/>
    <col min="18" max="18" width="13.85546875" style="37" customWidth="1" outlineLevel="1"/>
    <col min="19" max="19" width="11.28515625" style="37" bestFit="1" customWidth="1"/>
    <col min="20" max="37" width="9.140625" style="37"/>
    <col min="38" max="38" width="26" style="37" bestFit="1" customWidth="1"/>
    <col min="39" max="39" width="10.5703125" style="37" bestFit="1" customWidth="1"/>
    <col min="40" max="40" width="8.7109375" style="37" bestFit="1" customWidth="1"/>
    <col min="41" max="41" width="9.140625" style="37"/>
    <col min="42" max="42" width="10.5703125" style="37" bestFit="1" customWidth="1"/>
    <col min="43" max="16384" width="9.140625" style="37"/>
  </cols>
  <sheetData>
    <row r="5" spans="2:42" x14ac:dyDescent="0.25">
      <c r="B5" s="56" t="s">
        <v>678</v>
      </c>
      <c r="C5" s="56" t="s">
        <v>679</v>
      </c>
      <c r="D5"/>
      <c r="E5"/>
      <c r="G5" s="56" t="s">
        <v>678</v>
      </c>
      <c r="H5" s="56" t="s">
        <v>679</v>
      </c>
      <c r="I5"/>
      <c r="K5" s="38"/>
      <c r="L5" s="51"/>
    </row>
    <row r="6" spans="2:42" x14ac:dyDescent="0.25">
      <c r="B6" s="56" t="s">
        <v>652</v>
      </c>
      <c r="C6" t="s">
        <v>680</v>
      </c>
      <c r="D6" t="s">
        <v>71</v>
      </c>
      <c r="E6" t="s">
        <v>681</v>
      </c>
      <c r="G6" s="56" t="s">
        <v>652</v>
      </c>
      <c r="H6" t="s">
        <v>680</v>
      </c>
      <c r="I6" t="s">
        <v>681</v>
      </c>
      <c r="J6" s="37" t="s">
        <v>682</v>
      </c>
      <c r="L6" s="53" t="s">
        <v>682</v>
      </c>
      <c r="M6" s="37" t="s">
        <v>683</v>
      </c>
      <c r="N6" s="37" t="s">
        <v>684</v>
      </c>
      <c r="O6" s="37" t="s">
        <v>680</v>
      </c>
      <c r="P6" s="52" t="s">
        <v>685</v>
      </c>
      <c r="Q6" s="52" t="s">
        <v>686</v>
      </c>
      <c r="R6" s="37" t="s">
        <v>687</v>
      </c>
    </row>
    <row r="7" spans="2:42" x14ac:dyDescent="0.25">
      <c r="B7" s="57" t="s">
        <v>855</v>
      </c>
      <c r="C7" s="58"/>
      <c r="D7" s="58">
        <v>100</v>
      </c>
      <c r="E7" s="58"/>
      <c r="G7" s="57" t="s">
        <v>856</v>
      </c>
      <c r="H7" s="58"/>
      <c r="I7" s="58">
        <v>-40.57</v>
      </c>
      <c r="J7" s="54">
        <f t="shared" ref="J7:J70" si="0">VALUE(G7)</f>
        <v>45446</v>
      </c>
      <c r="L7" s="55">
        <f t="shared" ref="L7:L70" si="1">VALUE(B7)</f>
        <v>45443</v>
      </c>
      <c r="M7" s="42">
        <f>SUM($D7:D$7)</f>
        <v>100</v>
      </c>
      <c r="N7" s="42">
        <f t="shared" ref="N7:N70" si="2">-SUMIFS(I:I,J:J,"&lt;="&amp;L7)</f>
        <v>0</v>
      </c>
      <c r="O7" s="42">
        <f t="shared" ref="O7:O70" si="3">SUMIFS(H:H,J:J,"&lt;="&amp;L7)</f>
        <v>0</v>
      </c>
      <c r="P7" s="52">
        <f>IFERROR(O7/N7,0)</f>
        <v>0</v>
      </c>
      <c r="Q7" s="52">
        <f>IFERROR((P7+1)^(12/((MAX($J$7:J7)-$J$7)/30.5))-1,0)</f>
        <v>0</v>
      </c>
      <c r="R7" s="52">
        <f t="shared" ref="R7:R70" si="4">N7/M7</f>
        <v>0</v>
      </c>
    </row>
    <row r="8" spans="2:42" x14ac:dyDescent="0.25">
      <c r="B8" s="57" t="s">
        <v>856</v>
      </c>
      <c r="C8" s="58"/>
      <c r="D8" s="58"/>
      <c r="E8" s="58">
        <v>-69.09</v>
      </c>
      <c r="G8" s="57" t="s">
        <v>857</v>
      </c>
      <c r="H8" s="58"/>
      <c r="I8" s="58">
        <v>-20.25</v>
      </c>
      <c r="J8" s="54">
        <f t="shared" si="0"/>
        <v>45448</v>
      </c>
      <c r="K8" s="42"/>
      <c r="L8" s="55">
        <f t="shared" si="1"/>
        <v>45446</v>
      </c>
      <c r="M8" s="42">
        <f>SUM($D$7:D8)</f>
        <v>100</v>
      </c>
      <c r="N8" s="42">
        <f t="shared" si="2"/>
        <v>40.57</v>
      </c>
      <c r="O8" s="42">
        <f t="shared" si="3"/>
        <v>0</v>
      </c>
      <c r="P8" s="52">
        <f t="shared" ref="P8:P71" si="5">IFERROR(O8/N8,0)</f>
        <v>0</v>
      </c>
      <c r="Q8" s="52">
        <f>IFERROR((P8+1)^(12/((MAX($J$7:J8)-$J$7)/30.5))-1,0)</f>
        <v>0</v>
      </c>
      <c r="R8" s="52">
        <f t="shared" si="4"/>
        <v>0.40570000000000001</v>
      </c>
      <c r="AL8" s="82" t="str">
        <f>PVT!U11</f>
        <v>Total Portfolio</v>
      </c>
      <c r="AM8" s="82">
        <f>PVT!V11</f>
        <v>0</v>
      </c>
      <c r="AN8" s="82">
        <f>PVT!W11</f>
        <v>0</v>
      </c>
    </row>
    <row r="9" spans="2:42" ht="30" x14ac:dyDescent="0.25">
      <c r="B9" s="57" t="s">
        <v>857</v>
      </c>
      <c r="C9" s="58"/>
      <c r="D9" s="58"/>
      <c r="E9" s="58">
        <v>-20.25</v>
      </c>
      <c r="G9" s="57" t="s">
        <v>691</v>
      </c>
      <c r="H9" s="58"/>
      <c r="I9" s="58">
        <v>-10</v>
      </c>
      <c r="J9" s="54">
        <f t="shared" si="0"/>
        <v>45449</v>
      </c>
      <c r="K9" s="42"/>
      <c r="L9" s="55">
        <f t="shared" si="1"/>
        <v>45448</v>
      </c>
      <c r="M9" s="42">
        <f>SUM($D$7:D9)</f>
        <v>100</v>
      </c>
      <c r="N9" s="42">
        <f t="shared" si="2"/>
        <v>60.82</v>
      </c>
      <c r="O9" s="42">
        <f t="shared" si="3"/>
        <v>0</v>
      </c>
      <c r="P9" s="52">
        <f t="shared" si="5"/>
        <v>0</v>
      </c>
      <c r="Q9" s="52">
        <f>IFERROR((P9+1)^(12/((MAX($J$7:J9)-$J$7)/30.5))-1,0)</f>
        <v>0</v>
      </c>
      <c r="R9" s="52">
        <f t="shared" si="4"/>
        <v>0.60819999999999996</v>
      </c>
      <c r="AL9" s="39" t="s">
        <v>690</v>
      </c>
      <c r="AM9" s="39" t="str">
        <f>PVT!V12</f>
        <v>USD</v>
      </c>
      <c r="AN9" s="39" t="str">
        <f>PVT!W12</f>
        <v>% Of Invested</v>
      </c>
    </row>
    <row r="10" spans="2:42" x14ac:dyDescent="0.25">
      <c r="B10" s="57" t="s">
        <v>691</v>
      </c>
      <c r="C10" s="58"/>
      <c r="D10" s="58"/>
      <c r="E10" s="58">
        <v>-10</v>
      </c>
      <c r="G10" s="57" t="s">
        <v>858</v>
      </c>
      <c r="H10" s="58"/>
      <c r="I10" s="58">
        <v>-10</v>
      </c>
      <c r="J10" s="54">
        <f t="shared" si="0"/>
        <v>45453</v>
      </c>
      <c r="K10" s="42"/>
      <c r="L10" s="55">
        <f t="shared" si="1"/>
        <v>45449</v>
      </c>
      <c r="M10" s="42">
        <f>SUM($D$7:D10)</f>
        <v>100</v>
      </c>
      <c r="N10" s="42">
        <f t="shared" si="2"/>
        <v>70.819999999999993</v>
      </c>
      <c r="O10" s="42">
        <f t="shared" si="3"/>
        <v>0</v>
      </c>
      <c r="P10" s="52">
        <f t="shared" si="5"/>
        <v>0</v>
      </c>
      <c r="Q10" s="52">
        <f>IFERROR((P10+1)^(12/((MAX($J$7:J10)-$J$7)/30.5))-1,0)</f>
        <v>0</v>
      </c>
      <c r="R10" s="52">
        <f t="shared" si="4"/>
        <v>0.70819999999999994</v>
      </c>
      <c r="AL10" s="43" t="s">
        <v>692</v>
      </c>
      <c r="AM10" s="44">
        <f>PVT!V13</f>
        <v>1490.4900000000002</v>
      </c>
      <c r="AN10" s="45">
        <f>PVT!W13</f>
        <v>1</v>
      </c>
      <c r="AP10" s="41"/>
    </row>
    <row r="11" spans="2:42" x14ac:dyDescent="0.25">
      <c r="B11" s="57" t="s">
        <v>858</v>
      </c>
      <c r="C11" s="58">
        <v>-2.2800000000000002</v>
      </c>
      <c r="D11" s="58"/>
      <c r="E11" s="58">
        <v>5.15</v>
      </c>
      <c r="G11" s="57" t="s">
        <v>696</v>
      </c>
      <c r="H11" s="58">
        <v>0</v>
      </c>
      <c r="I11" s="58">
        <v>-19.989999999999998</v>
      </c>
      <c r="J11" s="54">
        <f t="shared" si="0"/>
        <v>45460</v>
      </c>
      <c r="K11" s="42"/>
      <c r="L11" s="55">
        <f t="shared" si="1"/>
        <v>45453</v>
      </c>
      <c r="M11" s="42">
        <f>SUM($D$7:D11)</f>
        <v>100</v>
      </c>
      <c r="N11" s="42">
        <f t="shared" si="2"/>
        <v>80.819999999999993</v>
      </c>
      <c r="O11" s="42">
        <f t="shared" si="3"/>
        <v>0</v>
      </c>
      <c r="P11" s="52">
        <f t="shared" si="5"/>
        <v>0</v>
      </c>
      <c r="Q11" s="52">
        <f>IFERROR((P11+1)^(12/((MAX($J$7:J11)-$J$7)/30.5))-1,0)</f>
        <v>0</v>
      </c>
      <c r="R11" s="52">
        <f t="shared" si="4"/>
        <v>0.80819999999999992</v>
      </c>
      <c r="AL11" s="43" t="s">
        <v>693</v>
      </c>
      <c r="AM11" s="44">
        <f>PVT!V14</f>
        <v>1557.8300000000002</v>
      </c>
      <c r="AN11" s="45">
        <f>PVT!W14</f>
        <v>1.0451797730947541</v>
      </c>
      <c r="AP11" s="41"/>
    </row>
    <row r="12" spans="2:42" x14ac:dyDescent="0.25">
      <c r="B12" s="57" t="s">
        <v>859</v>
      </c>
      <c r="C12" s="58"/>
      <c r="D12" s="58">
        <v>50</v>
      </c>
      <c r="E12" s="58"/>
      <c r="G12" s="57" t="s">
        <v>698</v>
      </c>
      <c r="H12" s="58">
        <v>0</v>
      </c>
      <c r="I12" s="58"/>
      <c r="J12" s="54">
        <f t="shared" si="0"/>
        <v>45461</v>
      </c>
      <c r="K12" s="42"/>
      <c r="L12" s="55">
        <f t="shared" si="1"/>
        <v>45458</v>
      </c>
      <c r="M12" s="42">
        <f>SUM($D$7:D12)</f>
        <v>150</v>
      </c>
      <c r="N12" s="42">
        <f t="shared" si="2"/>
        <v>80.819999999999993</v>
      </c>
      <c r="O12" s="42">
        <f t="shared" si="3"/>
        <v>0</v>
      </c>
      <c r="P12" s="52">
        <f t="shared" si="5"/>
        <v>0</v>
      </c>
      <c r="Q12" s="52">
        <f>IFERROR((P12+1)^(12/((MAX($J$7:J12)-$J$7)/30.5))-1,0)</f>
        <v>0</v>
      </c>
      <c r="R12" s="52">
        <f t="shared" si="4"/>
        <v>0.53879999999999995</v>
      </c>
      <c r="AL12" s="46" t="s">
        <v>695</v>
      </c>
      <c r="AM12" s="47">
        <f>PVT!V15</f>
        <v>67.34</v>
      </c>
      <c r="AN12" s="48">
        <f>PVT!W15</f>
        <v>4.5179773094754072E-2</v>
      </c>
      <c r="AP12" s="41"/>
    </row>
    <row r="13" spans="2:42" x14ac:dyDescent="0.25">
      <c r="B13" s="57" t="s">
        <v>696</v>
      </c>
      <c r="C13" s="58">
        <v>-0.75</v>
      </c>
      <c r="D13" s="58"/>
      <c r="E13" s="58">
        <v>-50.18</v>
      </c>
      <c r="G13" s="57" t="s">
        <v>860</v>
      </c>
      <c r="H13" s="58">
        <v>2.02</v>
      </c>
      <c r="I13" s="58">
        <v>-0.10999999999999943</v>
      </c>
      <c r="J13" s="54">
        <f t="shared" si="0"/>
        <v>45464</v>
      </c>
      <c r="K13" s="42"/>
      <c r="L13" s="55">
        <f t="shared" si="1"/>
        <v>45460</v>
      </c>
      <c r="M13" s="42">
        <f>SUM($D$7:D13)</f>
        <v>150</v>
      </c>
      <c r="N13" s="42">
        <f t="shared" si="2"/>
        <v>100.80999999999999</v>
      </c>
      <c r="O13" s="42">
        <f t="shared" si="3"/>
        <v>0</v>
      </c>
      <c r="P13" s="52">
        <f t="shared" si="5"/>
        <v>0</v>
      </c>
      <c r="Q13" s="52">
        <f>IFERROR((P13+1)^(12/((MAX($J$7:J13)-$J$7)/30.5))-1,0)</f>
        <v>0</v>
      </c>
      <c r="R13" s="52">
        <f t="shared" si="4"/>
        <v>0.67206666666666659</v>
      </c>
      <c r="AL13" s="46" t="s">
        <v>697</v>
      </c>
      <c r="AM13" s="47">
        <f>PVT!V16</f>
        <v>51.70000000000001</v>
      </c>
      <c r="AN13" s="48">
        <f>PVT!W16</f>
        <v>3.4686579581211546E-2</v>
      </c>
      <c r="AP13" s="41"/>
    </row>
    <row r="14" spans="2:42" x14ac:dyDescent="0.25">
      <c r="B14" s="57" t="s">
        <v>698</v>
      </c>
      <c r="C14" s="58">
        <v>-0.01</v>
      </c>
      <c r="D14" s="58"/>
      <c r="E14" s="58"/>
      <c r="G14" s="57" t="s">
        <v>861</v>
      </c>
      <c r="H14" s="58">
        <v>0</v>
      </c>
      <c r="I14" s="58"/>
      <c r="J14" s="54">
        <f t="shared" si="0"/>
        <v>45467</v>
      </c>
      <c r="K14" s="42"/>
      <c r="L14" s="55">
        <f t="shared" si="1"/>
        <v>45461</v>
      </c>
      <c r="M14" s="42">
        <f>SUM($D$7:D14)</f>
        <v>150</v>
      </c>
      <c r="N14" s="42">
        <f t="shared" si="2"/>
        <v>100.80999999999999</v>
      </c>
      <c r="O14" s="42">
        <f t="shared" si="3"/>
        <v>0</v>
      </c>
      <c r="P14" s="52">
        <f t="shared" si="5"/>
        <v>0</v>
      </c>
      <c r="Q14" s="52">
        <f>IFERROR((P14+1)^(12/((MAX($J$7:J14)-$J$7)/30.5))-1,0)</f>
        <v>0</v>
      </c>
      <c r="R14" s="52">
        <f t="shared" si="4"/>
        <v>0.67206666666666659</v>
      </c>
      <c r="AL14" s="46" t="s">
        <v>699</v>
      </c>
      <c r="AM14" s="47">
        <f>PVT!V17</f>
        <v>14.789999999999997</v>
      </c>
      <c r="AN14" s="48">
        <f>PVT!W17</f>
        <v>9.9229112573717328E-3</v>
      </c>
      <c r="AP14" s="41"/>
    </row>
    <row r="15" spans="2:42" x14ac:dyDescent="0.25">
      <c r="B15" s="57" t="s">
        <v>860</v>
      </c>
      <c r="C15" s="58">
        <v>0.56000000000000005</v>
      </c>
      <c r="D15" s="58"/>
      <c r="E15" s="58">
        <v>0.32999999999999829</v>
      </c>
      <c r="G15" s="57" t="s">
        <v>862</v>
      </c>
      <c r="H15" s="58">
        <v>0</v>
      </c>
      <c r="I15" s="58"/>
      <c r="J15" s="54">
        <f t="shared" si="0"/>
        <v>45471</v>
      </c>
      <c r="K15" s="42"/>
      <c r="L15" s="55">
        <f t="shared" si="1"/>
        <v>45464</v>
      </c>
      <c r="M15" s="42">
        <f>SUM($D$7:D15)</f>
        <v>150</v>
      </c>
      <c r="N15" s="42">
        <f t="shared" si="2"/>
        <v>100.91999999999999</v>
      </c>
      <c r="O15" s="42">
        <f t="shared" si="3"/>
        <v>2.02</v>
      </c>
      <c r="P15" s="52">
        <f t="shared" si="5"/>
        <v>2.0015854141894572E-2</v>
      </c>
      <c r="Q15" s="52">
        <f>IFERROR((P15+1)^(12/((MAX($J$7:J15)-$J$7)/30.5))-1,0)</f>
        <v>0.33661194834692654</v>
      </c>
      <c r="R15" s="52">
        <f t="shared" si="4"/>
        <v>0.67279999999999995</v>
      </c>
      <c r="AL15" s="43" t="s">
        <v>701</v>
      </c>
      <c r="AM15" s="44">
        <f>PVT!V18</f>
        <v>85.05</v>
      </c>
      <c r="AN15" s="45">
        <f>PVT!W18</f>
        <v>5.7061771632147804E-2</v>
      </c>
      <c r="AP15" s="41"/>
    </row>
    <row r="16" spans="2:42" x14ac:dyDescent="0.25">
      <c r="B16" s="57" t="s">
        <v>861</v>
      </c>
      <c r="C16" s="58">
        <v>0</v>
      </c>
      <c r="D16" s="58"/>
      <c r="E16" s="58"/>
      <c r="G16" s="57" t="s">
        <v>864</v>
      </c>
      <c r="H16" s="58"/>
      <c r="I16" s="58">
        <v>-36.03</v>
      </c>
      <c r="J16" s="54">
        <f t="shared" si="0"/>
        <v>45476</v>
      </c>
      <c r="K16" s="42"/>
      <c r="L16" s="55">
        <f t="shared" si="1"/>
        <v>45467</v>
      </c>
      <c r="M16" s="42">
        <f>SUM($D$7:D16)</f>
        <v>150</v>
      </c>
      <c r="N16" s="42">
        <f t="shared" si="2"/>
        <v>100.91999999999999</v>
      </c>
      <c r="O16" s="42">
        <f t="shared" si="3"/>
        <v>2.02</v>
      </c>
      <c r="P16" s="52">
        <f t="shared" si="5"/>
        <v>2.0015854141894572E-2</v>
      </c>
      <c r="Q16" s="52">
        <f>IFERROR((P16+1)^(12/((MAX($J$7:J16)-$J$7)/30.5))-1,0)</f>
        <v>0.2735161278003535</v>
      </c>
      <c r="R16" s="52">
        <f t="shared" si="4"/>
        <v>0.67279999999999995</v>
      </c>
      <c r="AL16" s="43" t="s">
        <v>703</v>
      </c>
      <c r="AM16" s="44">
        <f>PVT!V19</f>
        <v>66.490000000000009</v>
      </c>
      <c r="AN16" s="45">
        <f>PVT!W19</f>
        <v>4.4609490838583281E-2</v>
      </c>
      <c r="AP16" s="41"/>
    </row>
    <row r="17" spans="2:42" x14ac:dyDescent="0.25">
      <c r="B17" s="57" t="s">
        <v>862</v>
      </c>
      <c r="C17" s="58">
        <v>0</v>
      </c>
      <c r="D17" s="58"/>
      <c r="E17" s="58"/>
      <c r="G17" s="57" t="s">
        <v>865</v>
      </c>
      <c r="H17" s="58">
        <v>3.7</v>
      </c>
      <c r="I17" s="58">
        <v>-19.95</v>
      </c>
      <c r="J17" s="54">
        <f t="shared" si="0"/>
        <v>45478</v>
      </c>
      <c r="K17" s="42"/>
      <c r="L17" s="55">
        <f t="shared" si="1"/>
        <v>45471</v>
      </c>
      <c r="M17" s="42">
        <f>SUM($D$7:D17)</f>
        <v>150</v>
      </c>
      <c r="N17" s="42">
        <f t="shared" si="2"/>
        <v>100.91999999999999</v>
      </c>
      <c r="O17" s="42">
        <f t="shared" si="3"/>
        <v>2.02</v>
      </c>
      <c r="P17" s="52">
        <f t="shared" si="5"/>
        <v>2.0015854141894572E-2</v>
      </c>
      <c r="Q17" s="52">
        <f>IFERROR((P17+1)^(12/((MAX($J$7:J17)-$J$7)/30.5))-1,0)</f>
        <v>0.2544162495124076</v>
      </c>
      <c r="R17" s="52">
        <f t="shared" si="4"/>
        <v>0.67279999999999995</v>
      </c>
      <c r="AL17" s="43" t="s">
        <v>705</v>
      </c>
      <c r="AM17" s="44">
        <f>PVT!V20</f>
        <v>-3.9399999999999902</v>
      </c>
      <c r="AN17" s="45">
        <f>PVT!W20</f>
        <v>-2.6434259874269467E-3</v>
      </c>
      <c r="AP17" s="41"/>
    </row>
    <row r="18" spans="2:42" x14ac:dyDescent="0.25">
      <c r="B18" s="57" t="s">
        <v>863</v>
      </c>
      <c r="C18" s="58"/>
      <c r="D18" s="58">
        <v>50</v>
      </c>
      <c r="E18" s="58"/>
      <c r="G18" s="57" t="s">
        <v>688</v>
      </c>
      <c r="H18" s="58">
        <v>0.65000000000000013</v>
      </c>
      <c r="I18" s="58">
        <v>39.549999999999997</v>
      </c>
      <c r="J18" s="54">
        <f t="shared" si="0"/>
        <v>45481</v>
      </c>
      <c r="K18" s="42"/>
      <c r="L18" s="55">
        <f t="shared" si="1"/>
        <v>45475</v>
      </c>
      <c r="M18" s="42">
        <f>SUM($D$7:D18)</f>
        <v>200</v>
      </c>
      <c r="N18" s="42">
        <f t="shared" si="2"/>
        <v>100.91999999999999</v>
      </c>
      <c r="O18" s="42">
        <f t="shared" si="3"/>
        <v>2.02</v>
      </c>
      <c r="P18" s="52">
        <f t="shared" si="5"/>
        <v>2.0015854141894572E-2</v>
      </c>
      <c r="Q18" s="52">
        <f>IFERROR((P18+1)^(12/((MAX($J$7:J18)-$J$7)/30.5))-1,0)</f>
        <v>0.23027957411035027</v>
      </c>
      <c r="R18" s="52">
        <f t="shared" si="4"/>
        <v>0.50459999999999994</v>
      </c>
      <c r="AL18" s="43" t="s">
        <v>706</v>
      </c>
      <c r="AM18" s="44">
        <f>PVT!V21</f>
        <v>129.89000000000001</v>
      </c>
      <c r="AN18" s="45">
        <f>PVT!W21</f>
        <v>8.7145837945910395E-2</v>
      </c>
      <c r="AP18" s="41"/>
    </row>
    <row r="19" spans="2:42" x14ac:dyDescent="0.25">
      <c r="B19" s="57" t="s">
        <v>864</v>
      </c>
      <c r="C19" s="58"/>
      <c r="D19" s="58"/>
      <c r="E19" s="58">
        <v>-36.03</v>
      </c>
      <c r="G19" s="57" t="s">
        <v>689</v>
      </c>
      <c r="H19" s="58">
        <v>-0.31000000000000005</v>
      </c>
      <c r="I19" s="58">
        <v>-24.98</v>
      </c>
      <c r="J19" s="54">
        <f t="shared" si="0"/>
        <v>45482</v>
      </c>
      <c r="K19" s="42"/>
      <c r="L19" s="55">
        <f t="shared" si="1"/>
        <v>45476</v>
      </c>
      <c r="M19" s="42">
        <f>SUM($D$7:D19)</f>
        <v>200</v>
      </c>
      <c r="N19" s="42">
        <f t="shared" si="2"/>
        <v>136.94999999999999</v>
      </c>
      <c r="O19" s="42">
        <f t="shared" si="3"/>
        <v>2.02</v>
      </c>
      <c r="P19" s="52">
        <f t="shared" si="5"/>
        <v>1.4749908725812342E-2</v>
      </c>
      <c r="Q19" s="52">
        <f>IFERROR((P19+1)^(12/((MAX($J$7:J19)-$J$7)/30.5))-1,0)</f>
        <v>0.16051309704354955</v>
      </c>
      <c r="R19" s="52">
        <f t="shared" si="4"/>
        <v>0.68474999999999997</v>
      </c>
      <c r="AL19" s="43" t="s">
        <v>707</v>
      </c>
      <c r="AM19" s="44">
        <f>PVT!V22</f>
        <v>62.550000000000018</v>
      </c>
      <c r="AN19" s="45">
        <f>PVT!W22</f>
        <v>4.1966064851156337E-2</v>
      </c>
      <c r="AP19" s="41"/>
    </row>
    <row r="20" spans="2:42" x14ac:dyDescent="0.25">
      <c r="B20" s="57" t="s">
        <v>865</v>
      </c>
      <c r="C20" s="58">
        <v>3.7</v>
      </c>
      <c r="D20" s="58"/>
      <c r="E20" s="58">
        <v>-19.95</v>
      </c>
      <c r="G20" s="57" t="s">
        <v>866</v>
      </c>
      <c r="H20" s="58">
        <v>0</v>
      </c>
      <c r="I20" s="58">
        <v>-24.490000000000002</v>
      </c>
      <c r="J20" s="54">
        <f t="shared" si="0"/>
        <v>45483</v>
      </c>
      <c r="K20" s="42"/>
      <c r="L20" s="55">
        <f t="shared" si="1"/>
        <v>45478</v>
      </c>
      <c r="M20" s="42">
        <f>SUM($D$7:D20)</f>
        <v>200</v>
      </c>
      <c r="N20" s="42">
        <f t="shared" si="2"/>
        <v>156.89999999999998</v>
      </c>
      <c r="O20" s="42">
        <f t="shared" si="3"/>
        <v>5.7200000000000006</v>
      </c>
      <c r="P20" s="52">
        <f t="shared" si="5"/>
        <v>3.6456341618865531E-2</v>
      </c>
      <c r="Q20" s="52">
        <f>IFERROR((P20+1)^(12/((MAX($J$7:J20)-$J$7)/30.5))-1,0)</f>
        <v>0.42504618820420537</v>
      </c>
      <c r="R20" s="52">
        <f t="shared" si="4"/>
        <v>0.78449999999999986</v>
      </c>
    </row>
    <row r="21" spans="2:42" x14ac:dyDescent="0.25">
      <c r="B21" s="57" t="s">
        <v>688</v>
      </c>
      <c r="C21" s="58">
        <v>0.65000000000000013</v>
      </c>
      <c r="D21" s="58"/>
      <c r="E21" s="58">
        <v>19.280000000000005</v>
      </c>
      <c r="G21" s="57" t="s">
        <v>867</v>
      </c>
      <c r="H21" s="58">
        <v>0.78</v>
      </c>
      <c r="I21" s="58">
        <v>-27.889999999999997</v>
      </c>
      <c r="J21" s="54">
        <f t="shared" si="0"/>
        <v>45484</v>
      </c>
      <c r="K21" s="42"/>
      <c r="L21" s="55">
        <f t="shared" si="1"/>
        <v>45481</v>
      </c>
      <c r="M21" s="42">
        <f>SUM($D$7:D21)</f>
        <v>200</v>
      </c>
      <c r="N21" s="42">
        <f t="shared" si="2"/>
        <v>117.34999999999998</v>
      </c>
      <c r="O21" s="42">
        <f t="shared" si="3"/>
        <v>6.370000000000001</v>
      </c>
      <c r="P21" s="52">
        <f t="shared" si="5"/>
        <v>5.4282062207072879E-2</v>
      </c>
      <c r="Q21" s="52">
        <f>IFERROR((P21+1)^(12/((MAX($J$7:J21)-$J$7)/30.5))-1,0)</f>
        <v>0.66383554927459865</v>
      </c>
      <c r="R21" s="52">
        <f t="shared" si="4"/>
        <v>0.58674999999999988</v>
      </c>
      <c r="AL21" s="39" t="str">
        <f>PVT!U24</f>
        <v>Portfolio Metrics</v>
      </c>
      <c r="AM21" s="39"/>
    </row>
    <row r="22" spans="2:42" x14ac:dyDescent="0.25">
      <c r="B22" s="57" t="s">
        <v>689</v>
      </c>
      <c r="C22" s="58">
        <v>-4.5799999999999992</v>
      </c>
      <c r="D22" s="58"/>
      <c r="E22" s="58">
        <v>-2.089999999999999</v>
      </c>
      <c r="G22" s="57" t="s">
        <v>868</v>
      </c>
      <c r="H22" s="58">
        <v>0</v>
      </c>
      <c r="I22" s="58"/>
      <c r="J22" s="54">
        <f t="shared" si="0"/>
        <v>45485</v>
      </c>
      <c r="K22" s="42"/>
      <c r="L22" s="55">
        <f t="shared" si="1"/>
        <v>45482</v>
      </c>
      <c r="M22" s="42">
        <f>SUM($D$7:D22)</f>
        <v>200</v>
      </c>
      <c r="N22" s="42">
        <f t="shared" si="2"/>
        <v>142.32999999999998</v>
      </c>
      <c r="O22" s="42">
        <f t="shared" si="3"/>
        <v>6.0600000000000005</v>
      </c>
      <c r="P22" s="52">
        <f t="shared" si="5"/>
        <v>4.2577109534181139E-2</v>
      </c>
      <c r="Q22" s="52">
        <f>IFERROR((P22+1)^(12/((MAX($J$7:J22)-$J$7)/30.5))-1,0)</f>
        <v>0.47889845758244887</v>
      </c>
      <c r="R22" s="52">
        <f t="shared" si="4"/>
        <v>0.71164999999999989</v>
      </c>
      <c r="AL22" s="43" t="s">
        <v>710</v>
      </c>
      <c r="AM22" s="49">
        <f>PVT!V25</f>
        <v>10.880314916895452</v>
      </c>
    </row>
    <row r="23" spans="2:42" x14ac:dyDescent="0.25">
      <c r="B23" s="57" t="s">
        <v>866</v>
      </c>
      <c r="C23" s="58">
        <v>-0.21000000000000002</v>
      </c>
      <c r="D23" s="58"/>
      <c r="E23" s="58">
        <v>-4.2600000000000016</v>
      </c>
      <c r="G23" s="57" t="s">
        <v>874</v>
      </c>
      <c r="H23" s="58"/>
      <c r="I23" s="58">
        <v>-44.97</v>
      </c>
      <c r="J23" s="54">
        <f t="shared" si="0"/>
        <v>45511</v>
      </c>
      <c r="K23" s="42"/>
      <c r="L23" s="55">
        <f t="shared" si="1"/>
        <v>45483</v>
      </c>
      <c r="M23" s="42">
        <f>SUM($D$7:D23)</f>
        <v>200</v>
      </c>
      <c r="N23" s="42">
        <f t="shared" si="2"/>
        <v>166.82</v>
      </c>
      <c r="O23" s="42">
        <f t="shared" si="3"/>
        <v>6.0600000000000005</v>
      </c>
      <c r="P23" s="52">
        <f t="shared" si="5"/>
        <v>3.632657954681693E-2</v>
      </c>
      <c r="Q23" s="52">
        <f>IFERROR((P23+1)^(12/((MAX($J$7:J23)-$J$7)/30.5))-1,0)</f>
        <v>0.22252566970614751</v>
      </c>
      <c r="R23" s="52">
        <f t="shared" si="4"/>
        <v>0.83409999999999995</v>
      </c>
      <c r="AL23" s="43" t="s">
        <v>712</v>
      </c>
      <c r="AM23" s="45">
        <f>PVT!V26</f>
        <v>8.7145837945910395E-2</v>
      </c>
    </row>
    <row r="24" spans="2:42" x14ac:dyDescent="0.25">
      <c r="B24" s="57" t="s">
        <v>867</v>
      </c>
      <c r="C24" s="58">
        <v>1.02</v>
      </c>
      <c r="D24" s="58"/>
      <c r="E24" s="58">
        <v>-7.6199999999999974</v>
      </c>
      <c r="G24" s="57" t="s">
        <v>719</v>
      </c>
      <c r="H24" s="58"/>
      <c r="I24" s="58">
        <v>-35</v>
      </c>
      <c r="J24" s="54">
        <f t="shared" si="0"/>
        <v>45518</v>
      </c>
      <c r="K24" s="42"/>
      <c r="L24" s="55">
        <f t="shared" si="1"/>
        <v>45484</v>
      </c>
      <c r="M24" s="42">
        <f>SUM($D$7:D24)</f>
        <v>200</v>
      </c>
      <c r="N24" s="42">
        <f t="shared" si="2"/>
        <v>194.70999999999998</v>
      </c>
      <c r="O24" s="42">
        <f t="shared" si="3"/>
        <v>6.8400000000000007</v>
      </c>
      <c r="P24" s="52">
        <f t="shared" si="5"/>
        <v>3.5129166452673215E-2</v>
      </c>
      <c r="Q24" s="52">
        <f>IFERROR((P24+1)^(12/((MAX($J$7:J24)-$J$7)/30.5))-1,0)</f>
        <v>0.1918518475666926</v>
      </c>
      <c r="R24" s="52">
        <f t="shared" si="4"/>
        <v>0.97354999999999992</v>
      </c>
      <c r="AL24" s="43" t="s">
        <v>714</v>
      </c>
      <c r="AM24" s="45">
        <f>PVT!V27</f>
        <v>8.0094959209853697E-3</v>
      </c>
    </row>
    <row r="25" spans="2:42" x14ac:dyDescent="0.25">
      <c r="B25" s="57" t="s">
        <v>868</v>
      </c>
      <c r="C25" s="58">
        <v>0</v>
      </c>
      <c r="D25" s="58"/>
      <c r="E25" s="58"/>
      <c r="G25" s="57" t="s">
        <v>876</v>
      </c>
      <c r="H25" s="58">
        <v>0.01</v>
      </c>
      <c r="I25" s="58"/>
      <c r="J25" s="54">
        <f t="shared" si="0"/>
        <v>45519</v>
      </c>
      <c r="K25" s="42"/>
      <c r="L25" s="55">
        <f t="shared" si="1"/>
        <v>45485</v>
      </c>
      <c r="M25" s="42">
        <f>SUM($D$7:D25)</f>
        <v>200</v>
      </c>
      <c r="N25" s="42">
        <f t="shared" si="2"/>
        <v>194.70999999999998</v>
      </c>
      <c r="O25" s="42">
        <f t="shared" si="3"/>
        <v>6.8400000000000007</v>
      </c>
      <c r="P25" s="52">
        <f t="shared" si="5"/>
        <v>3.5129166452673215E-2</v>
      </c>
      <c r="Q25" s="52">
        <f>IFERROR((P25+1)^(12/((MAX($J$7:J25)-$J$7)/30.5))-1,0)</f>
        <v>0.18898981192148678</v>
      </c>
      <c r="R25" s="52">
        <f t="shared" si="4"/>
        <v>0.97354999999999992</v>
      </c>
      <c r="AL25" s="43" t="s">
        <v>715</v>
      </c>
      <c r="AM25" s="45">
        <f>PVT!V28</f>
        <v>9.6534142421867086E-2</v>
      </c>
    </row>
    <row r="26" spans="2:42" x14ac:dyDescent="0.25">
      <c r="B26" s="57" t="s">
        <v>869</v>
      </c>
      <c r="C26" s="58"/>
      <c r="D26" s="58">
        <v>50</v>
      </c>
      <c r="E26" s="58"/>
      <c r="G26" s="57" t="s">
        <v>877</v>
      </c>
      <c r="H26" s="58"/>
      <c r="I26" s="58">
        <v>-19.97</v>
      </c>
      <c r="J26" s="54">
        <f t="shared" si="0"/>
        <v>45523</v>
      </c>
      <c r="K26" s="42"/>
      <c r="L26" s="55">
        <f t="shared" si="1"/>
        <v>45495</v>
      </c>
      <c r="M26" s="42">
        <f>SUM($D$7:D26)</f>
        <v>250</v>
      </c>
      <c r="N26" s="42">
        <f t="shared" si="2"/>
        <v>194.70999999999998</v>
      </c>
      <c r="O26" s="42">
        <f t="shared" si="3"/>
        <v>6.8400000000000007</v>
      </c>
      <c r="P26" s="52">
        <f t="shared" si="5"/>
        <v>3.5129166452673215E-2</v>
      </c>
      <c r="Q26" s="52">
        <f>IFERROR((P26+1)^(12/((MAX($J$7:J26)-$J$7)/30.5))-1,0)</f>
        <v>0.17834584759135796</v>
      </c>
      <c r="R26" s="52">
        <f t="shared" si="4"/>
        <v>0.77883999999999987</v>
      </c>
      <c r="AL26" s="50" t="s">
        <v>716</v>
      </c>
      <c r="AM26" s="48">
        <f>PVT!V29</f>
        <v>4.1966064851156337E-2</v>
      </c>
    </row>
    <row r="27" spans="2:42" x14ac:dyDescent="0.25">
      <c r="B27" s="57" t="s">
        <v>870</v>
      </c>
      <c r="C27" s="58">
        <v>-0.01</v>
      </c>
      <c r="D27" s="58"/>
      <c r="E27" s="58">
        <v>-44.890000000000008</v>
      </c>
      <c r="G27" s="57" t="s">
        <v>878</v>
      </c>
      <c r="H27" s="58">
        <v>1.9999999999999997E-2</v>
      </c>
      <c r="I27" s="58"/>
      <c r="J27" s="54">
        <f t="shared" si="0"/>
        <v>45538</v>
      </c>
      <c r="K27" s="42"/>
      <c r="L27" s="55">
        <f t="shared" si="1"/>
        <v>45496</v>
      </c>
      <c r="M27" s="42">
        <f>SUM($D$7:D27)</f>
        <v>250</v>
      </c>
      <c r="N27" s="42">
        <f t="shared" si="2"/>
        <v>194.70999999999998</v>
      </c>
      <c r="O27" s="42">
        <f t="shared" si="3"/>
        <v>6.8400000000000007</v>
      </c>
      <c r="P27" s="52">
        <f t="shared" si="5"/>
        <v>3.5129166452673215E-2</v>
      </c>
      <c r="Q27" s="52">
        <f>IFERROR((P27+1)^(12/((MAX($J$7:J27)-$J$7)/30.5))-1,0)</f>
        <v>0.14723454149035708</v>
      </c>
      <c r="R27" s="52">
        <f t="shared" si="4"/>
        <v>0.77883999999999987</v>
      </c>
      <c r="AL27" s="50" t="s">
        <v>717</v>
      </c>
      <c r="AM27" s="48">
        <f>PVT!V30</f>
        <v>3.8570634371978981E-3</v>
      </c>
    </row>
    <row r="28" spans="2:42" x14ac:dyDescent="0.25">
      <c r="B28" s="57" t="s">
        <v>871</v>
      </c>
      <c r="C28" s="58">
        <v>-0.02</v>
      </c>
      <c r="D28" s="58"/>
      <c r="E28" s="58">
        <v>12.65</v>
      </c>
      <c r="G28" s="57" t="s">
        <v>722</v>
      </c>
      <c r="H28" s="58"/>
      <c r="I28" s="58">
        <v>-31.18</v>
      </c>
      <c r="J28" s="54">
        <f t="shared" si="0"/>
        <v>45544</v>
      </c>
      <c r="K28" s="42"/>
      <c r="L28" s="55">
        <f t="shared" si="1"/>
        <v>45497</v>
      </c>
      <c r="M28" s="42">
        <f>SUM($D$7:D28)</f>
        <v>250</v>
      </c>
      <c r="N28" s="42">
        <f t="shared" si="2"/>
        <v>194.70999999999998</v>
      </c>
      <c r="O28" s="42">
        <f t="shared" si="3"/>
        <v>6.8400000000000007</v>
      </c>
      <c r="P28" s="52">
        <f t="shared" si="5"/>
        <v>3.5129166452673215E-2</v>
      </c>
      <c r="Q28" s="52">
        <f>IFERROR((P28+1)^(12/((MAX($J$7:J28)-$J$7)/30.5))-1,0)</f>
        <v>0.13762738555265774</v>
      </c>
      <c r="R28" s="52">
        <f t="shared" si="4"/>
        <v>0.77883999999999987</v>
      </c>
      <c r="AL28" s="50" t="s">
        <v>718</v>
      </c>
      <c r="AM28" s="48">
        <f>PVT!V31</f>
        <v>4.6383476313407668E-2</v>
      </c>
    </row>
    <row r="29" spans="2:42" x14ac:dyDescent="0.25">
      <c r="B29" s="57" t="s">
        <v>872</v>
      </c>
      <c r="C29" s="58">
        <v>0.01</v>
      </c>
      <c r="D29" s="58"/>
      <c r="E29" s="58">
        <v>-12.57</v>
      </c>
      <c r="G29" s="57" t="s">
        <v>880</v>
      </c>
      <c r="H29" s="58">
        <v>2.9999999999999992E-2</v>
      </c>
      <c r="I29" s="58"/>
      <c r="J29" s="54">
        <f t="shared" si="0"/>
        <v>45547</v>
      </c>
      <c r="K29" s="42"/>
      <c r="L29" s="55">
        <f t="shared" si="1"/>
        <v>45504</v>
      </c>
      <c r="M29" s="42">
        <f>SUM($D$7:D29)</f>
        <v>250</v>
      </c>
      <c r="N29" s="42">
        <f t="shared" si="2"/>
        <v>194.70999999999998</v>
      </c>
      <c r="O29" s="42">
        <f t="shared" si="3"/>
        <v>6.8400000000000007</v>
      </c>
      <c r="P29" s="52">
        <f t="shared" si="5"/>
        <v>3.5129166452673215E-2</v>
      </c>
      <c r="Q29" s="52">
        <f>IFERROR((P29+1)^(12/((MAX($J$7:J29)-$J$7)/30.5))-1,0)</f>
        <v>0.13327855474470662</v>
      </c>
      <c r="R29" s="52">
        <f t="shared" si="4"/>
        <v>0.77883999999999987</v>
      </c>
    </row>
    <row r="30" spans="2:42" x14ac:dyDescent="0.25">
      <c r="B30" s="57" t="s">
        <v>873</v>
      </c>
      <c r="C30" s="58"/>
      <c r="D30" s="58">
        <v>50</v>
      </c>
      <c r="E30" s="58"/>
      <c r="G30" s="57" t="s">
        <v>881</v>
      </c>
      <c r="H30" s="58"/>
      <c r="I30" s="58">
        <v>-14.83</v>
      </c>
      <c r="J30" s="54">
        <f t="shared" si="0"/>
        <v>45548</v>
      </c>
      <c r="K30" s="42"/>
      <c r="L30" s="55">
        <f t="shared" si="1"/>
        <v>45510</v>
      </c>
      <c r="M30" s="42">
        <f>SUM($D$7:D30)</f>
        <v>300</v>
      </c>
      <c r="N30" s="42">
        <f t="shared" si="2"/>
        <v>194.70999999999998</v>
      </c>
      <c r="O30" s="42">
        <f t="shared" si="3"/>
        <v>6.8400000000000007</v>
      </c>
      <c r="P30" s="52">
        <f t="shared" si="5"/>
        <v>3.5129166452673215E-2</v>
      </c>
      <c r="Q30" s="52">
        <f>IFERROR((P30+1)^(12/((MAX($J$7:J30)-$J$7)/30.5))-1,0)</f>
        <v>0.13188930961574763</v>
      </c>
      <c r="R30" s="52">
        <f t="shared" si="4"/>
        <v>0.64903333333333324</v>
      </c>
    </row>
    <row r="31" spans="2:42" x14ac:dyDescent="0.25">
      <c r="B31" s="57" t="s">
        <v>874</v>
      </c>
      <c r="C31" s="58">
        <v>-0.19</v>
      </c>
      <c r="D31" s="58"/>
      <c r="E31" s="58">
        <v>-44.970000000000006</v>
      </c>
      <c r="G31" s="57" t="s">
        <v>882</v>
      </c>
      <c r="H31" s="58">
        <v>1.78</v>
      </c>
      <c r="I31" s="58">
        <v>15</v>
      </c>
      <c r="J31" s="54">
        <f t="shared" si="0"/>
        <v>45551</v>
      </c>
      <c r="K31" s="42"/>
      <c r="L31" s="55">
        <f t="shared" si="1"/>
        <v>45511</v>
      </c>
      <c r="M31" s="42">
        <f>SUM($D$7:D31)</f>
        <v>300</v>
      </c>
      <c r="N31" s="42">
        <f t="shared" si="2"/>
        <v>239.67999999999998</v>
      </c>
      <c r="O31" s="42">
        <f t="shared" si="3"/>
        <v>6.8400000000000007</v>
      </c>
      <c r="P31" s="52">
        <f t="shared" si="5"/>
        <v>2.8538050734312422E-2</v>
      </c>
      <c r="Q31" s="52">
        <f>IFERROR((P31+1)^(12/((MAX($J$7:J31)-$J$7)/30.5))-1,0)</f>
        <v>0.10305379726453445</v>
      </c>
      <c r="R31" s="52">
        <f t="shared" si="4"/>
        <v>0.79893333333333327</v>
      </c>
    </row>
    <row r="32" spans="2:42" x14ac:dyDescent="0.25">
      <c r="B32" s="57" t="s">
        <v>875</v>
      </c>
      <c r="C32" s="58">
        <v>0</v>
      </c>
      <c r="D32" s="58"/>
      <c r="E32" s="58"/>
      <c r="G32" s="57" t="s">
        <v>883</v>
      </c>
      <c r="H32" s="58">
        <v>0</v>
      </c>
      <c r="I32" s="58"/>
      <c r="J32" s="54">
        <f t="shared" si="0"/>
        <v>45552</v>
      </c>
      <c r="K32" s="42"/>
      <c r="L32" s="55">
        <f t="shared" si="1"/>
        <v>45512</v>
      </c>
      <c r="M32" s="42">
        <f>SUM($D$7:D32)</f>
        <v>300</v>
      </c>
      <c r="N32" s="42">
        <f t="shared" si="2"/>
        <v>239.67999999999998</v>
      </c>
      <c r="O32" s="42">
        <f t="shared" si="3"/>
        <v>6.8400000000000007</v>
      </c>
      <c r="P32" s="52">
        <f t="shared" si="5"/>
        <v>2.8538050734312422E-2</v>
      </c>
      <c r="Q32" s="52">
        <f>IFERROR((P32+1)^(12/((MAX($J$7:J32)-$J$7)/30.5))-1,0)</f>
        <v>0.102033606237389</v>
      </c>
      <c r="R32" s="52">
        <f t="shared" si="4"/>
        <v>0.79893333333333327</v>
      </c>
    </row>
    <row r="33" spans="2:18" x14ac:dyDescent="0.25">
      <c r="B33" s="57" t="s">
        <v>719</v>
      </c>
      <c r="C33" s="58"/>
      <c r="D33" s="58">
        <v>50</v>
      </c>
      <c r="E33" s="58">
        <v>-35</v>
      </c>
      <c r="G33" s="57" t="s">
        <v>723</v>
      </c>
      <c r="H33" s="58"/>
      <c r="I33" s="58">
        <v>-20</v>
      </c>
      <c r="J33" s="54">
        <f t="shared" si="0"/>
        <v>45553</v>
      </c>
      <c r="K33" s="42"/>
      <c r="L33" s="55">
        <f t="shared" si="1"/>
        <v>45518</v>
      </c>
      <c r="M33" s="42">
        <f>SUM($D$7:D33)</f>
        <v>350</v>
      </c>
      <c r="N33" s="42">
        <f t="shared" si="2"/>
        <v>274.67999999999995</v>
      </c>
      <c r="O33" s="42">
        <f t="shared" si="3"/>
        <v>6.8400000000000007</v>
      </c>
      <c r="P33" s="52">
        <f t="shared" si="5"/>
        <v>2.4901703800786375E-2</v>
      </c>
      <c r="Q33" s="52">
        <f>IFERROR((P33+1)^(12/((MAX($J$7:J33)-$J$7)/30.5))-1,0)</f>
        <v>8.7775231307307022E-2</v>
      </c>
      <c r="R33" s="52">
        <f t="shared" si="4"/>
        <v>0.78479999999999983</v>
      </c>
    </row>
    <row r="34" spans="2:18" x14ac:dyDescent="0.25">
      <c r="B34" s="57" t="s">
        <v>876</v>
      </c>
      <c r="C34" s="58">
        <v>0.01</v>
      </c>
      <c r="D34" s="58"/>
      <c r="E34" s="58"/>
      <c r="G34" s="57" t="s">
        <v>884</v>
      </c>
      <c r="H34" s="58">
        <v>-3.95</v>
      </c>
      <c r="I34" s="58">
        <v>0.28999999999999915</v>
      </c>
      <c r="J34" s="54">
        <f t="shared" si="0"/>
        <v>45559</v>
      </c>
      <c r="K34" s="42"/>
      <c r="L34" s="55">
        <f t="shared" si="1"/>
        <v>45519</v>
      </c>
      <c r="M34" s="42">
        <f>SUM($D$7:D34)</f>
        <v>350</v>
      </c>
      <c r="N34" s="42">
        <f t="shared" si="2"/>
        <v>274.67999999999995</v>
      </c>
      <c r="O34" s="42">
        <f t="shared" si="3"/>
        <v>6.8500000000000005</v>
      </c>
      <c r="P34" s="52">
        <f t="shared" si="5"/>
        <v>2.4938109800495128E-2</v>
      </c>
      <c r="Q34" s="52">
        <f>IFERROR((P34+1)^(12/((MAX($J$7:J34)-$J$7)/30.5))-1,0)</f>
        <v>8.3051226392268918E-2</v>
      </c>
      <c r="R34" s="52">
        <f t="shared" si="4"/>
        <v>0.78479999999999983</v>
      </c>
    </row>
    <row r="35" spans="2:18" x14ac:dyDescent="0.25">
      <c r="B35" s="57" t="s">
        <v>877</v>
      </c>
      <c r="C35" s="58"/>
      <c r="D35" s="58"/>
      <c r="E35" s="58">
        <v>-19.97</v>
      </c>
      <c r="G35" s="57" t="s">
        <v>885</v>
      </c>
      <c r="H35" s="58">
        <v>-3.78</v>
      </c>
      <c r="I35" s="58">
        <v>5</v>
      </c>
      <c r="J35" s="54">
        <f t="shared" si="0"/>
        <v>45560</v>
      </c>
      <c r="K35" s="42"/>
      <c r="L35" s="55">
        <f t="shared" si="1"/>
        <v>45523</v>
      </c>
      <c r="M35" s="42">
        <f>SUM($D$7:D35)</f>
        <v>350</v>
      </c>
      <c r="N35" s="42">
        <f t="shared" si="2"/>
        <v>294.64999999999998</v>
      </c>
      <c r="O35" s="42">
        <f t="shared" si="3"/>
        <v>6.8500000000000005</v>
      </c>
      <c r="P35" s="52">
        <f t="shared" si="5"/>
        <v>2.3247921262514851E-2</v>
      </c>
      <c r="Q35" s="52">
        <f>IFERROR((P35+1)^(12/((MAX($J$7:J35)-$J$7)/30.5))-1,0)</f>
        <v>7.6573905919605112E-2</v>
      </c>
      <c r="R35" s="52">
        <f t="shared" si="4"/>
        <v>0.84185714285714275</v>
      </c>
    </row>
    <row r="36" spans="2:18" x14ac:dyDescent="0.25">
      <c r="B36" s="57" t="s">
        <v>878</v>
      </c>
      <c r="C36" s="58">
        <v>1.9999999999999997E-2</v>
      </c>
      <c r="D36" s="58"/>
      <c r="E36" s="58"/>
      <c r="G36" s="57" t="s">
        <v>886</v>
      </c>
      <c r="H36" s="58">
        <v>0.08</v>
      </c>
      <c r="I36" s="58"/>
      <c r="J36" s="54">
        <f t="shared" si="0"/>
        <v>45561</v>
      </c>
      <c r="K36" s="42"/>
      <c r="L36" s="55">
        <f t="shared" si="1"/>
        <v>45538</v>
      </c>
      <c r="M36" s="42">
        <f>SUM($D$7:D36)</f>
        <v>350</v>
      </c>
      <c r="N36" s="42">
        <f t="shared" si="2"/>
        <v>294.64999999999998</v>
      </c>
      <c r="O36" s="42">
        <f t="shared" si="3"/>
        <v>6.87</v>
      </c>
      <c r="P36" s="52">
        <f t="shared" si="5"/>
        <v>2.3315798404887157E-2</v>
      </c>
      <c r="Q36" s="52">
        <f>IFERROR((P36+1)^(12/((MAX($J$7:J36)-$J$7)/30.5))-1,0)</f>
        <v>7.6110555687447068E-2</v>
      </c>
      <c r="R36" s="52">
        <f t="shared" si="4"/>
        <v>0.84185714285714275</v>
      </c>
    </row>
    <row r="37" spans="2:18" x14ac:dyDescent="0.25">
      <c r="B37" s="57" t="s">
        <v>879</v>
      </c>
      <c r="C37" s="58"/>
      <c r="D37" s="58">
        <v>50</v>
      </c>
      <c r="E37" s="58"/>
      <c r="G37" s="57" t="s">
        <v>724</v>
      </c>
      <c r="H37" s="58">
        <v>0.11</v>
      </c>
      <c r="I37" s="58"/>
      <c r="J37" s="54">
        <f t="shared" si="0"/>
        <v>45565</v>
      </c>
      <c r="K37" s="42"/>
      <c r="L37" s="55">
        <f t="shared" si="1"/>
        <v>45539</v>
      </c>
      <c r="M37" s="42">
        <f>SUM($D$7:D37)</f>
        <v>400</v>
      </c>
      <c r="N37" s="42">
        <f t="shared" si="2"/>
        <v>294.64999999999998</v>
      </c>
      <c r="O37" s="42">
        <f t="shared" si="3"/>
        <v>6.87</v>
      </c>
      <c r="P37" s="52">
        <f t="shared" si="5"/>
        <v>2.3315798404887157E-2</v>
      </c>
      <c r="Q37" s="52">
        <f>IFERROR((P37+1)^(12/((MAX($J$7:J37)-$J$7)/30.5))-1,0)</f>
        <v>7.3460507897022298E-2</v>
      </c>
      <c r="R37" s="52">
        <f t="shared" si="4"/>
        <v>0.73662499999999997</v>
      </c>
    </row>
    <row r="38" spans="2:18" x14ac:dyDescent="0.25">
      <c r="B38" s="57" t="s">
        <v>722</v>
      </c>
      <c r="C38" s="58"/>
      <c r="D38" s="58"/>
      <c r="E38" s="58">
        <v>-31.18</v>
      </c>
      <c r="G38" s="57" t="s">
        <v>725</v>
      </c>
      <c r="H38" s="58"/>
      <c r="I38" s="58">
        <v>-29.97</v>
      </c>
      <c r="J38" s="54">
        <f t="shared" si="0"/>
        <v>45568</v>
      </c>
      <c r="K38" s="42"/>
      <c r="L38" s="55">
        <f t="shared" si="1"/>
        <v>45544</v>
      </c>
      <c r="M38" s="42">
        <f>SUM($D$7:D38)</f>
        <v>400</v>
      </c>
      <c r="N38" s="42">
        <f t="shared" si="2"/>
        <v>325.83</v>
      </c>
      <c r="O38" s="42">
        <f t="shared" si="3"/>
        <v>6.87</v>
      </c>
      <c r="P38" s="52">
        <f t="shared" si="5"/>
        <v>2.1084614676364976E-2</v>
      </c>
      <c r="Q38" s="52">
        <f>IFERROR((P38+1)^(12/((MAX($J$7:J38)-$J$7)/30.5))-1,0)</f>
        <v>6.4596900354127573E-2</v>
      </c>
      <c r="R38" s="52">
        <f t="shared" si="4"/>
        <v>0.81457499999999994</v>
      </c>
    </row>
    <row r="39" spans="2:18" x14ac:dyDescent="0.25">
      <c r="B39" s="57" t="s">
        <v>880</v>
      </c>
      <c r="C39" s="58">
        <v>2.9999999999999992E-2</v>
      </c>
      <c r="D39" s="58"/>
      <c r="E39" s="58"/>
      <c r="G39" s="57" t="s">
        <v>888</v>
      </c>
      <c r="H39" s="58">
        <v>6.0000000000000005E-2</v>
      </c>
      <c r="I39" s="58"/>
      <c r="J39" s="54">
        <f t="shared" si="0"/>
        <v>45574</v>
      </c>
      <c r="K39" s="42"/>
      <c r="L39" s="55">
        <f t="shared" si="1"/>
        <v>45547</v>
      </c>
      <c r="M39" s="42">
        <f>SUM($D$7:D39)</f>
        <v>400</v>
      </c>
      <c r="N39" s="42">
        <f t="shared" si="2"/>
        <v>325.83</v>
      </c>
      <c r="O39" s="42">
        <f t="shared" si="3"/>
        <v>6.9</v>
      </c>
      <c r="P39" s="52">
        <f t="shared" si="5"/>
        <v>2.1176687229536879E-2</v>
      </c>
      <c r="Q39" s="52">
        <f>IFERROR((P39+1)^(12/((MAX($J$7:J39)-$J$7)/30.5))-1,0)</f>
        <v>6.1751447911146728E-2</v>
      </c>
      <c r="R39" s="52">
        <f t="shared" si="4"/>
        <v>0.81457499999999994</v>
      </c>
    </row>
    <row r="40" spans="2:18" x14ac:dyDescent="0.25">
      <c r="B40" s="57" t="s">
        <v>881</v>
      </c>
      <c r="C40" s="58"/>
      <c r="D40" s="58"/>
      <c r="E40" s="58">
        <v>-14.83</v>
      </c>
      <c r="G40" s="57" t="s">
        <v>726</v>
      </c>
      <c r="H40" s="58">
        <v>0.49</v>
      </c>
      <c r="I40" s="58"/>
      <c r="J40" s="54">
        <f t="shared" si="0"/>
        <v>45575</v>
      </c>
      <c r="K40" s="42"/>
      <c r="L40" s="55">
        <f t="shared" si="1"/>
        <v>45548</v>
      </c>
      <c r="M40" s="42">
        <f>SUM($D$7:D40)</f>
        <v>400</v>
      </c>
      <c r="N40" s="42">
        <f t="shared" si="2"/>
        <v>340.65999999999997</v>
      </c>
      <c r="O40" s="42">
        <f t="shared" si="3"/>
        <v>6.9</v>
      </c>
      <c r="P40" s="52">
        <f t="shared" si="5"/>
        <v>2.0254799506839668E-2</v>
      </c>
      <c r="Q40" s="52">
        <f>IFERROR((P40+1)^(12/((MAX($J$7:J40)-$J$7)/30.5))-1,0)</f>
        <v>5.8542386270990399E-2</v>
      </c>
      <c r="R40" s="52">
        <f t="shared" si="4"/>
        <v>0.85164999999999991</v>
      </c>
    </row>
    <row r="41" spans="2:18" x14ac:dyDescent="0.25">
      <c r="B41" s="57" t="s">
        <v>882</v>
      </c>
      <c r="C41" s="58">
        <v>1.78</v>
      </c>
      <c r="D41" s="58"/>
      <c r="E41" s="58">
        <v>15</v>
      </c>
      <c r="G41" s="57" t="s">
        <v>727</v>
      </c>
      <c r="H41" s="58"/>
      <c r="I41" s="58">
        <v>-39.99</v>
      </c>
      <c r="J41" s="54">
        <f t="shared" si="0"/>
        <v>45580</v>
      </c>
      <c r="K41" s="42"/>
      <c r="L41" s="55">
        <f t="shared" si="1"/>
        <v>45551</v>
      </c>
      <c r="M41" s="42">
        <f>SUM($D$7:D41)</f>
        <v>400</v>
      </c>
      <c r="N41" s="42">
        <f t="shared" si="2"/>
        <v>325.65999999999997</v>
      </c>
      <c r="O41" s="42">
        <f t="shared" si="3"/>
        <v>8.68</v>
      </c>
      <c r="P41" s="52">
        <f t="shared" si="5"/>
        <v>2.6653565067862189E-2</v>
      </c>
      <c r="Q41" s="52">
        <f>IFERROR((P41+1)^(12/((MAX($J$7:J41)-$J$7)/30.5))-1,0)</f>
        <v>7.4490663180841743E-2</v>
      </c>
      <c r="R41" s="52">
        <f t="shared" si="4"/>
        <v>0.81414999999999993</v>
      </c>
    </row>
    <row r="42" spans="2:18" x14ac:dyDescent="0.25">
      <c r="B42" s="57" t="s">
        <v>883</v>
      </c>
      <c r="C42" s="58">
        <v>0</v>
      </c>
      <c r="D42" s="58"/>
      <c r="E42" s="58"/>
      <c r="G42" s="57" t="s">
        <v>890</v>
      </c>
      <c r="H42" s="58"/>
      <c r="I42" s="58">
        <v>-12.98</v>
      </c>
      <c r="J42" s="54">
        <f t="shared" si="0"/>
        <v>45582</v>
      </c>
      <c r="K42" s="42"/>
      <c r="L42" s="55">
        <f t="shared" si="1"/>
        <v>45552</v>
      </c>
      <c r="M42" s="42">
        <f>SUM($D$7:D42)</f>
        <v>400</v>
      </c>
      <c r="N42" s="42">
        <f t="shared" si="2"/>
        <v>325.65999999999997</v>
      </c>
      <c r="O42" s="42">
        <f t="shared" si="3"/>
        <v>8.68</v>
      </c>
      <c r="P42" s="52">
        <f t="shared" si="5"/>
        <v>2.6653565067862189E-2</v>
      </c>
      <c r="Q42" s="52">
        <f>IFERROR((P42+1)^(12/((MAX($J$7:J42)-$J$7)/30.5))-1,0)</f>
        <v>7.3355988313822174E-2</v>
      </c>
      <c r="R42" s="52">
        <f t="shared" si="4"/>
        <v>0.81414999999999993</v>
      </c>
    </row>
    <row r="43" spans="2:18" x14ac:dyDescent="0.25">
      <c r="B43" s="57" t="s">
        <v>723</v>
      </c>
      <c r="C43" s="58"/>
      <c r="D43" s="58"/>
      <c r="E43" s="58">
        <v>-20</v>
      </c>
      <c r="G43" s="57" t="s">
        <v>891</v>
      </c>
      <c r="H43" s="58"/>
      <c r="I43" s="58">
        <v>-20.48</v>
      </c>
      <c r="J43" s="54">
        <f t="shared" si="0"/>
        <v>45583</v>
      </c>
      <c r="K43" s="42"/>
      <c r="L43" s="55">
        <f t="shared" si="1"/>
        <v>45553</v>
      </c>
      <c r="M43" s="42">
        <f>SUM($D$7:D43)</f>
        <v>400</v>
      </c>
      <c r="N43" s="42">
        <f t="shared" si="2"/>
        <v>345.65999999999997</v>
      </c>
      <c r="O43" s="42">
        <f t="shared" si="3"/>
        <v>8.68</v>
      </c>
      <c r="P43" s="52">
        <f t="shared" si="5"/>
        <v>2.511138112596193E-2</v>
      </c>
      <c r="Q43" s="52">
        <f>IFERROR((P43+1)^(12/((MAX($J$7:J43)-$J$7)/30.5))-1,0)</f>
        <v>6.8501725494135801E-2</v>
      </c>
      <c r="R43" s="52">
        <f t="shared" si="4"/>
        <v>0.86414999999999997</v>
      </c>
    </row>
    <row r="44" spans="2:18" x14ac:dyDescent="0.25">
      <c r="B44" s="57" t="s">
        <v>884</v>
      </c>
      <c r="C44" s="58">
        <v>-3.95</v>
      </c>
      <c r="D44" s="58">
        <v>50</v>
      </c>
      <c r="E44" s="58">
        <v>0.28999999999999915</v>
      </c>
      <c r="G44" s="57" t="s">
        <v>893</v>
      </c>
      <c r="H44" s="58"/>
      <c r="I44" s="58">
        <v>-14.98</v>
      </c>
      <c r="J44" s="54">
        <f t="shared" si="0"/>
        <v>45593</v>
      </c>
      <c r="K44" s="42"/>
      <c r="L44" s="55">
        <f t="shared" si="1"/>
        <v>45559</v>
      </c>
      <c r="M44" s="42">
        <f>SUM($D$7:D44)</f>
        <v>450</v>
      </c>
      <c r="N44" s="42">
        <f t="shared" si="2"/>
        <v>345.36999999999995</v>
      </c>
      <c r="O44" s="42">
        <f t="shared" si="3"/>
        <v>4.7299999999999995</v>
      </c>
      <c r="P44" s="52">
        <f t="shared" si="5"/>
        <v>1.3695457046066539E-2</v>
      </c>
      <c r="Q44" s="52">
        <f>IFERROR((P44+1)^(12/((MAX($J$7:J44)-$J$7)/30.5))-1,0)</f>
        <v>3.444753682028856E-2</v>
      </c>
      <c r="R44" s="52">
        <f t="shared" si="4"/>
        <v>0.76748888888888878</v>
      </c>
    </row>
    <row r="45" spans="2:18" x14ac:dyDescent="0.25">
      <c r="B45" s="57" t="s">
        <v>885</v>
      </c>
      <c r="C45" s="58">
        <v>-3.6399999999999997</v>
      </c>
      <c r="D45" s="58"/>
      <c r="E45" s="58">
        <v>5</v>
      </c>
      <c r="G45" s="57" t="s">
        <v>728</v>
      </c>
      <c r="H45" s="58"/>
      <c r="I45" s="58">
        <v>-41.89</v>
      </c>
      <c r="J45" s="54">
        <f t="shared" si="0"/>
        <v>45597</v>
      </c>
      <c r="K45" s="42"/>
      <c r="L45" s="55">
        <f t="shared" si="1"/>
        <v>45560</v>
      </c>
      <c r="M45" s="42">
        <f>SUM($D$7:D45)</f>
        <v>450</v>
      </c>
      <c r="N45" s="42">
        <f t="shared" si="2"/>
        <v>340.36999999999995</v>
      </c>
      <c r="O45" s="42">
        <f t="shared" si="3"/>
        <v>0.94999999999999973</v>
      </c>
      <c r="P45" s="52">
        <f t="shared" si="5"/>
        <v>2.7910802949731171E-3</v>
      </c>
      <c r="Q45" s="52">
        <f>IFERROR((P45+1)^(12/((MAX($J$7:J45)-$J$7)/30.5))-1,0)</f>
        <v>6.7785828265827242E-3</v>
      </c>
      <c r="R45" s="52">
        <f t="shared" si="4"/>
        <v>0.7563777777777777</v>
      </c>
    </row>
    <row r="46" spans="2:18" x14ac:dyDescent="0.25">
      <c r="B46" s="57" t="s">
        <v>886</v>
      </c>
      <c r="C46" s="58">
        <v>0.08</v>
      </c>
      <c r="D46" s="58"/>
      <c r="E46" s="58"/>
      <c r="G46" s="57" t="s">
        <v>896</v>
      </c>
      <c r="H46" s="58">
        <v>2.6</v>
      </c>
      <c r="I46" s="58">
        <v>19.98</v>
      </c>
      <c r="J46" s="54">
        <f t="shared" si="0"/>
        <v>45603</v>
      </c>
      <c r="K46" s="42"/>
      <c r="L46" s="55">
        <f t="shared" si="1"/>
        <v>45561</v>
      </c>
      <c r="M46" s="42">
        <f>SUM($D$7:D46)</f>
        <v>450</v>
      </c>
      <c r="N46" s="42">
        <f t="shared" si="2"/>
        <v>340.36999999999995</v>
      </c>
      <c r="O46" s="42">
        <f t="shared" si="3"/>
        <v>1.0299999999999998</v>
      </c>
      <c r="P46" s="52">
        <f t="shared" si="5"/>
        <v>3.0261186356024326E-3</v>
      </c>
      <c r="Q46" s="52">
        <f>IFERROR((P46+1)^(12/((MAX($J$7:J46)-$J$7)/30.5))-1,0)</f>
        <v>7.0687325588052463E-3</v>
      </c>
      <c r="R46" s="52">
        <f t="shared" si="4"/>
        <v>0.7563777777777777</v>
      </c>
    </row>
    <row r="47" spans="2:18" x14ac:dyDescent="0.25">
      <c r="B47" s="57" t="s">
        <v>887</v>
      </c>
      <c r="C47" s="58"/>
      <c r="D47" s="58"/>
      <c r="E47" s="58">
        <v>-14.97</v>
      </c>
      <c r="G47" s="57" t="s">
        <v>897</v>
      </c>
      <c r="H47" s="58">
        <v>0.01</v>
      </c>
      <c r="I47" s="58"/>
      <c r="J47" s="54">
        <f t="shared" si="0"/>
        <v>45604</v>
      </c>
      <c r="K47" s="42"/>
      <c r="L47" s="55">
        <f t="shared" si="1"/>
        <v>45562</v>
      </c>
      <c r="M47" s="42">
        <f>SUM($D$7:D47)</f>
        <v>450</v>
      </c>
      <c r="N47" s="42">
        <f t="shared" si="2"/>
        <v>340.36999999999995</v>
      </c>
      <c r="O47" s="42">
        <f t="shared" si="3"/>
        <v>1.0299999999999998</v>
      </c>
      <c r="P47" s="52">
        <f t="shared" si="5"/>
        <v>3.0261186356024326E-3</v>
      </c>
      <c r="Q47" s="52">
        <f>IFERROR((P47+1)^(12/((MAX($J$7:J47)-$J$7)/30.5))-1,0)</f>
        <v>7.0238369938151468E-3</v>
      </c>
      <c r="R47" s="52">
        <f t="shared" si="4"/>
        <v>0.7563777777777777</v>
      </c>
    </row>
    <row r="48" spans="2:18" x14ac:dyDescent="0.25">
      <c r="B48" s="57" t="s">
        <v>724</v>
      </c>
      <c r="C48" s="58">
        <v>0.11</v>
      </c>
      <c r="D48" s="58"/>
      <c r="E48" s="58"/>
      <c r="G48" s="57" t="s">
        <v>898</v>
      </c>
      <c r="H48" s="58"/>
      <c r="I48" s="58">
        <v>-12.98</v>
      </c>
      <c r="J48" s="54">
        <f t="shared" si="0"/>
        <v>45608</v>
      </c>
      <c r="K48" s="42"/>
      <c r="L48" s="55">
        <f t="shared" si="1"/>
        <v>45565</v>
      </c>
      <c r="M48" s="42">
        <f>SUM($D$7:D48)</f>
        <v>450</v>
      </c>
      <c r="N48" s="42">
        <f t="shared" si="2"/>
        <v>340.36999999999995</v>
      </c>
      <c r="O48" s="42">
        <f t="shared" si="3"/>
        <v>1.1399999999999999</v>
      </c>
      <c r="P48" s="52">
        <f t="shared" si="5"/>
        <v>3.3492963539677413E-3</v>
      </c>
      <c r="Q48" s="52">
        <f>IFERROR((P48+1)^(12/((MAX($J$7:J48)-$J$7)/30.5))-1,0)</f>
        <v>7.5828906778090399E-3</v>
      </c>
      <c r="R48" s="52">
        <f t="shared" si="4"/>
        <v>0.7563777777777777</v>
      </c>
    </row>
    <row r="49" spans="2:18" x14ac:dyDescent="0.25">
      <c r="B49" s="57" t="s">
        <v>725</v>
      </c>
      <c r="C49" s="58"/>
      <c r="D49" s="58"/>
      <c r="E49" s="58">
        <v>-29.97</v>
      </c>
      <c r="G49" s="57" t="s">
        <v>899</v>
      </c>
      <c r="H49" s="58"/>
      <c r="I49" s="58">
        <v>-10.95</v>
      </c>
      <c r="J49" s="54">
        <f t="shared" si="0"/>
        <v>45609</v>
      </c>
      <c r="K49" s="42"/>
      <c r="L49" s="55">
        <f t="shared" si="1"/>
        <v>45568</v>
      </c>
      <c r="M49" s="42">
        <f>SUM($D$7:D49)</f>
        <v>450</v>
      </c>
      <c r="N49" s="42">
        <f t="shared" si="2"/>
        <v>370.33999999999992</v>
      </c>
      <c r="O49" s="42">
        <f t="shared" si="3"/>
        <v>1.1399999999999999</v>
      </c>
      <c r="P49" s="52">
        <f t="shared" si="5"/>
        <v>3.0782524166981695E-3</v>
      </c>
      <c r="Q49" s="52">
        <f>IFERROR((P49+1)^(12/((MAX($J$7:J49)-$J$7)/30.5))-1,0)</f>
        <v>6.9251564505246055E-3</v>
      </c>
      <c r="R49" s="52">
        <f t="shared" si="4"/>
        <v>0.82297777777777759</v>
      </c>
    </row>
    <row r="50" spans="2:18" x14ac:dyDescent="0.25">
      <c r="B50" s="57" t="s">
        <v>888</v>
      </c>
      <c r="C50" s="58">
        <v>6.0000000000000005E-2</v>
      </c>
      <c r="D50" s="58">
        <v>50</v>
      </c>
      <c r="E50" s="58"/>
      <c r="G50" s="57" t="s">
        <v>900</v>
      </c>
      <c r="H50" s="58">
        <v>2.9999999999999992E-2</v>
      </c>
      <c r="I50" s="58"/>
      <c r="J50" s="54">
        <f t="shared" si="0"/>
        <v>45610</v>
      </c>
      <c r="K50" s="42"/>
      <c r="L50" s="55">
        <f t="shared" si="1"/>
        <v>45574</v>
      </c>
      <c r="M50" s="42">
        <f>SUM($D$7:D50)</f>
        <v>500</v>
      </c>
      <c r="N50" s="42">
        <f t="shared" si="2"/>
        <v>370.33999999999992</v>
      </c>
      <c r="O50" s="42">
        <f t="shared" si="3"/>
        <v>1.2</v>
      </c>
      <c r="P50" s="52">
        <f t="shared" si="5"/>
        <v>3.2402657017875473E-3</v>
      </c>
      <c r="Q50" s="52">
        <f>IFERROR((P50+1)^(12/((MAX($J$7:J50)-$J$7)/30.5))-1,0)</f>
        <v>7.2457586067131707E-3</v>
      </c>
      <c r="R50" s="52">
        <f t="shared" si="4"/>
        <v>0.74067999999999978</v>
      </c>
    </row>
    <row r="51" spans="2:18" x14ac:dyDescent="0.25">
      <c r="B51" s="57" t="s">
        <v>726</v>
      </c>
      <c r="C51" s="58">
        <v>0.49</v>
      </c>
      <c r="D51" s="58"/>
      <c r="E51" s="58"/>
      <c r="G51" s="57" t="s">
        <v>902</v>
      </c>
      <c r="H51" s="58"/>
      <c r="I51" s="58">
        <v>-19.989999999999998</v>
      </c>
      <c r="J51" s="54">
        <f t="shared" si="0"/>
        <v>45621</v>
      </c>
      <c r="K51" s="42"/>
      <c r="L51" s="55">
        <f t="shared" si="1"/>
        <v>45575</v>
      </c>
      <c r="M51" s="42">
        <f>SUM($D$7:D51)</f>
        <v>500</v>
      </c>
      <c r="N51" s="42">
        <f t="shared" si="2"/>
        <v>370.33999999999992</v>
      </c>
      <c r="O51" s="42">
        <f t="shared" si="3"/>
        <v>1.69</v>
      </c>
      <c r="P51" s="52">
        <f t="shared" si="5"/>
        <v>4.5633741966841293E-3</v>
      </c>
      <c r="Q51" s="52">
        <f>IFERROR((P51+1)^(12/((MAX($J$7:J51)-$J$7)/30.5))-1,0)</f>
        <v>9.5677418160824423E-3</v>
      </c>
      <c r="R51" s="52">
        <f t="shared" si="4"/>
        <v>0.74067999999999978</v>
      </c>
    </row>
    <row r="52" spans="2:18" x14ac:dyDescent="0.25">
      <c r="B52" s="57" t="s">
        <v>889</v>
      </c>
      <c r="C52" s="58"/>
      <c r="D52" s="58"/>
      <c r="E52" s="58">
        <v>-14.96</v>
      </c>
      <c r="G52" s="57" t="s">
        <v>903</v>
      </c>
      <c r="H52" s="58"/>
      <c r="I52" s="58">
        <v>-44.97</v>
      </c>
      <c r="J52" s="54">
        <f t="shared" si="0"/>
        <v>45623</v>
      </c>
      <c r="K52" s="42"/>
      <c r="L52" s="55">
        <f t="shared" si="1"/>
        <v>45579</v>
      </c>
      <c r="M52" s="42">
        <f>SUM($D$7:D52)</f>
        <v>500</v>
      </c>
      <c r="N52" s="42">
        <f t="shared" si="2"/>
        <v>370.33999999999992</v>
      </c>
      <c r="O52" s="42">
        <f t="shared" si="3"/>
        <v>1.69</v>
      </c>
      <c r="P52" s="52">
        <f t="shared" si="5"/>
        <v>4.5633741966841293E-3</v>
      </c>
      <c r="Q52" s="52">
        <f>IFERROR((P52+1)^(12/((MAX($J$7:J52)-$J$7)/30.5))-1,0)</f>
        <v>9.4591220396369469E-3</v>
      </c>
      <c r="R52" s="52">
        <f t="shared" si="4"/>
        <v>0.74067999999999978</v>
      </c>
    </row>
    <row r="53" spans="2:18" x14ac:dyDescent="0.25">
      <c r="B53" s="57" t="s">
        <v>727</v>
      </c>
      <c r="C53" s="58"/>
      <c r="D53" s="58"/>
      <c r="E53" s="58">
        <v>-39.99</v>
      </c>
      <c r="G53" s="57" t="s">
        <v>694</v>
      </c>
      <c r="H53" s="58">
        <v>6.0000000000000005E-2</v>
      </c>
      <c r="I53" s="58">
        <v>-49.97</v>
      </c>
      <c r="J53" s="54">
        <f t="shared" si="0"/>
        <v>45628</v>
      </c>
      <c r="K53" s="42"/>
      <c r="L53" s="55">
        <f t="shared" si="1"/>
        <v>45580</v>
      </c>
      <c r="M53" s="42">
        <f>SUM($D$7:D53)</f>
        <v>500</v>
      </c>
      <c r="N53" s="42">
        <f t="shared" si="2"/>
        <v>410.32999999999993</v>
      </c>
      <c r="O53" s="42">
        <f t="shared" si="3"/>
        <v>1.69</v>
      </c>
      <c r="P53" s="52">
        <f t="shared" si="5"/>
        <v>4.1186362196281049E-3</v>
      </c>
      <c r="Q53" s="52">
        <f>IFERROR((P53+1)^(12/((MAX($J$7:J53)-$J$7)/30.5))-1,0)</f>
        <v>8.2997762389491747E-3</v>
      </c>
      <c r="R53" s="52">
        <f t="shared" si="4"/>
        <v>0.82065999999999983</v>
      </c>
    </row>
    <row r="54" spans="2:18" x14ac:dyDescent="0.25">
      <c r="B54" s="57" t="s">
        <v>890</v>
      </c>
      <c r="C54" s="58"/>
      <c r="D54" s="58">
        <v>50</v>
      </c>
      <c r="E54" s="58">
        <v>-12.98</v>
      </c>
      <c r="G54" s="57" t="s">
        <v>906</v>
      </c>
      <c r="H54" s="58"/>
      <c r="I54" s="58">
        <v>-51.41</v>
      </c>
      <c r="J54" s="54">
        <f t="shared" si="0"/>
        <v>45629</v>
      </c>
      <c r="K54" s="42"/>
      <c r="L54" s="55">
        <f t="shared" si="1"/>
        <v>45582</v>
      </c>
      <c r="M54" s="42">
        <f>SUM($D$7:D54)</f>
        <v>550</v>
      </c>
      <c r="N54" s="42">
        <f t="shared" si="2"/>
        <v>423.30999999999995</v>
      </c>
      <c r="O54" s="42">
        <f t="shared" si="3"/>
        <v>1.69</v>
      </c>
      <c r="P54" s="52">
        <f t="shared" si="5"/>
        <v>3.9923460348208172E-3</v>
      </c>
      <c r="Q54" s="52">
        <f>IFERROR((P54+1)^(12/((MAX($J$7:J54)-$J$7)/30.5))-1,0)</f>
        <v>8.0006308965032691E-3</v>
      </c>
      <c r="R54" s="52">
        <f t="shared" si="4"/>
        <v>0.76965454545454537</v>
      </c>
    </row>
    <row r="55" spans="2:18" x14ac:dyDescent="0.25">
      <c r="B55" s="57" t="s">
        <v>891</v>
      </c>
      <c r="C55" s="58"/>
      <c r="D55" s="58"/>
      <c r="E55" s="58">
        <v>-20.48</v>
      </c>
      <c r="G55" s="57" t="s">
        <v>729</v>
      </c>
      <c r="H55" s="58"/>
      <c r="I55" s="58">
        <v>-10</v>
      </c>
      <c r="J55" s="54">
        <f t="shared" si="0"/>
        <v>45630</v>
      </c>
      <c r="K55" s="42"/>
      <c r="L55" s="55">
        <f t="shared" si="1"/>
        <v>45583</v>
      </c>
      <c r="M55" s="42">
        <f>SUM($D$7:D55)</f>
        <v>550</v>
      </c>
      <c r="N55" s="42">
        <f t="shared" si="2"/>
        <v>443.78999999999996</v>
      </c>
      <c r="O55" s="42">
        <f t="shared" si="3"/>
        <v>1.69</v>
      </c>
      <c r="P55" s="52">
        <f t="shared" si="5"/>
        <v>3.8081074382027538E-3</v>
      </c>
      <c r="Q55" s="52">
        <f>IFERROR((P55+1)^(12/((MAX($J$7:J55)-$J$7)/30.5))-1,0)</f>
        <v>7.5890883060616421E-3</v>
      </c>
      <c r="R55" s="52">
        <f t="shared" si="4"/>
        <v>0.80689090909090899</v>
      </c>
    </row>
    <row r="56" spans="2:18" x14ac:dyDescent="0.25">
      <c r="B56" s="57" t="s">
        <v>892</v>
      </c>
      <c r="C56" s="58">
        <v>2.8899999999999997</v>
      </c>
      <c r="D56" s="58"/>
      <c r="E56" s="58"/>
      <c r="G56" s="57" t="s">
        <v>908</v>
      </c>
      <c r="H56" s="58"/>
      <c r="I56" s="58">
        <v>-20</v>
      </c>
      <c r="J56" s="54">
        <f t="shared" si="0"/>
        <v>45632</v>
      </c>
      <c r="K56" s="42"/>
      <c r="L56" s="55">
        <f t="shared" si="1"/>
        <v>45590</v>
      </c>
      <c r="M56" s="42">
        <f>SUM($D$7:D56)</f>
        <v>550</v>
      </c>
      <c r="N56" s="42">
        <f t="shared" si="2"/>
        <v>443.78999999999996</v>
      </c>
      <c r="O56" s="42">
        <f t="shared" si="3"/>
        <v>1.69</v>
      </c>
      <c r="P56" s="52">
        <f t="shared" si="5"/>
        <v>3.8081074382027538E-3</v>
      </c>
      <c r="Q56" s="52">
        <f>IFERROR((P56+1)^(12/((MAX($J$7:J56)-$J$7)/30.5))-1,0)</f>
        <v>7.5071796692101067E-3</v>
      </c>
      <c r="R56" s="52">
        <f t="shared" si="4"/>
        <v>0.80689090909090899</v>
      </c>
    </row>
    <row r="57" spans="2:18" x14ac:dyDescent="0.25">
      <c r="B57" s="57" t="s">
        <v>893</v>
      </c>
      <c r="C57" s="58"/>
      <c r="D57" s="58"/>
      <c r="E57" s="58">
        <v>-14.98</v>
      </c>
      <c r="G57" s="57" t="s">
        <v>909</v>
      </c>
      <c r="H57" s="58">
        <v>7.0000000000000007E-2</v>
      </c>
      <c r="I57" s="58"/>
      <c r="J57" s="54">
        <f t="shared" si="0"/>
        <v>45638</v>
      </c>
      <c r="K57" s="42"/>
      <c r="L57" s="55">
        <f t="shared" si="1"/>
        <v>45593</v>
      </c>
      <c r="M57" s="42">
        <f>SUM($D$7:D57)</f>
        <v>550</v>
      </c>
      <c r="N57" s="42">
        <f t="shared" si="2"/>
        <v>458.77</v>
      </c>
      <c r="O57" s="42">
        <f t="shared" si="3"/>
        <v>1.69</v>
      </c>
      <c r="P57" s="52">
        <f t="shared" si="5"/>
        <v>3.6837631056956645E-3</v>
      </c>
      <c r="Q57" s="52">
        <f>IFERROR((P57+1)^(12/((MAX($J$7:J57)-$J$7)/30.5))-1,0)</f>
        <v>7.0338935203326791E-3</v>
      </c>
      <c r="R57" s="52">
        <f t="shared" si="4"/>
        <v>0.83412727272727272</v>
      </c>
    </row>
    <row r="58" spans="2:18" x14ac:dyDescent="0.25">
      <c r="B58" s="57" t="s">
        <v>894</v>
      </c>
      <c r="C58" s="58">
        <v>2.12</v>
      </c>
      <c r="D58" s="58"/>
      <c r="E58" s="58"/>
      <c r="G58" s="57" t="s">
        <v>730</v>
      </c>
      <c r="H58" s="58">
        <v>0.08</v>
      </c>
      <c r="I58" s="58"/>
      <c r="J58" s="54">
        <f t="shared" si="0"/>
        <v>45639</v>
      </c>
      <c r="K58" s="42"/>
      <c r="L58" s="55">
        <f t="shared" si="1"/>
        <v>45595</v>
      </c>
      <c r="M58" s="42">
        <f>SUM($D$7:D58)</f>
        <v>550</v>
      </c>
      <c r="N58" s="42">
        <f t="shared" si="2"/>
        <v>458.77</v>
      </c>
      <c r="O58" s="42">
        <f t="shared" si="3"/>
        <v>1.69</v>
      </c>
      <c r="P58" s="52">
        <f t="shared" si="5"/>
        <v>3.6837631056956645E-3</v>
      </c>
      <c r="Q58" s="52">
        <f>IFERROR((P58+1)^(12/((MAX($J$7:J58)-$J$7)/30.5))-1,0)</f>
        <v>6.9973212644871552E-3</v>
      </c>
      <c r="R58" s="52">
        <f t="shared" si="4"/>
        <v>0.83412727272727272</v>
      </c>
    </row>
    <row r="59" spans="2:18" x14ac:dyDescent="0.25">
      <c r="B59" s="57" t="s">
        <v>728</v>
      </c>
      <c r="C59" s="58">
        <v>5.4599999999999991</v>
      </c>
      <c r="D59" s="58">
        <v>50</v>
      </c>
      <c r="E59" s="58">
        <v>-41.89</v>
      </c>
      <c r="G59" s="57" t="s">
        <v>910</v>
      </c>
      <c r="H59" s="58">
        <v>8.0000000000000016E-2</v>
      </c>
      <c r="I59" s="58"/>
      <c r="J59" s="54">
        <f t="shared" si="0"/>
        <v>45642</v>
      </c>
      <c r="K59" s="42"/>
      <c r="L59" s="55">
        <f t="shared" si="1"/>
        <v>45597</v>
      </c>
      <c r="M59" s="42">
        <f>SUM($D$7:D59)</f>
        <v>600</v>
      </c>
      <c r="N59" s="42">
        <f t="shared" si="2"/>
        <v>500.65999999999997</v>
      </c>
      <c r="O59" s="42">
        <f t="shared" si="3"/>
        <v>1.69</v>
      </c>
      <c r="P59" s="52">
        <f t="shared" si="5"/>
        <v>3.3755442815483561E-3</v>
      </c>
      <c r="Q59" s="52">
        <f>IFERROR((P59+1)^(12/((MAX($J$7:J59)-$J$7)/30.5))-1,0)</f>
        <v>6.3125382228998994E-3</v>
      </c>
      <c r="R59" s="52">
        <f t="shared" si="4"/>
        <v>0.83443333333333325</v>
      </c>
    </row>
    <row r="60" spans="2:18" x14ac:dyDescent="0.25">
      <c r="B60" s="57" t="s">
        <v>895</v>
      </c>
      <c r="C60" s="58">
        <v>-18</v>
      </c>
      <c r="D60" s="58"/>
      <c r="E60" s="58"/>
      <c r="G60" s="57" t="s">
        <v>700</v>
      </c>
      <c r="H60" s="58">
        <v>0.12</v>
      </c>
      <c r="I60" s="58">
        <v>-74.97</v>
      </c>
      <c r="J60" s="54">
        <f t="shared" si="0"/>
        <v>45645</v>
      </c>
      <c r="K60" s="42"/>
      <c r="L60" s="55">
        <f t="shared" si="1"/>
        <v>45600</v>
      </c>
      <c r="M60" s="42">
        <f>SUM($D$7:D60)</f>
        <v>600</v>
      </c>
      <c r="N60" s="42">
        <f t="shared" si="2"/>
        <v>500.65999999999997</v>
      </c>
      <c r="O60" s="42">
        <f t="shared" si="3"/>
        <v>1.69</v>
      </c>
      <c r="P60" s="52">
        <f t="shared" si="5"/>
        <v>3.3755442815483561E-3</v>
      </c>
      <c r="Q60" s="52">
        <f>IFERROR((P60+1)^(12/((MAX($J$7:J60)-$J$7)/30.5))-1,0)</f>
        <v>6.2170791251920932E-3</v>
      </c>
      <c r="R60" s="52">
        <f t="shared" si="4"/>
        <v>0.83443333333333325</v>
      </c>
    </row>
    <row r="61" spans="2:18" x14ac:dyDescent="0.25">
      <c r="B61" s="57" t="s">
        <v>896</v>
      </c>
      <c r="C61" s="58">
        <v>2.6</v>
      </c>
      <c r="D61" s="58"/>
      <c r="E61" s="58">
        <v>19.98</v>
      </c>
      <c r="G61" s="57" t="s">
        <v>911</v>
      </c>
      <c r="H61" s="58"/>
      <c r="I61" s="58">
        <v>-10.32</v>
      </c>
      <c r="J61" s="54">
        <f t="shared" si="0"/>
        <v>45646</v>
      </c>
      <c r="K61" s="42"/>
      <c r="L61" s="55">
        <f t="shared" si="1"/>
        <v>45603</v>
      </c>
      <c r="M61" s="42">
        <f>SUM($D$7:D61)</f>
        <v>600</v>
      </c>
      <c r="N61" s="42">
        <f t="shared" si="2"/>
        <v>480.67999999999995</v>
      </c>
      <c r="O61" s="42">
        <f t="shared" si="3"/>
        <v>4.29</v>
      </c>
      <c r="P61" s="52">
        <f t="shared" si="5"/>
        <v>8.9248564533577438E-3</v>
      </c>
      <c r="Q61" s="52">
        <f>IFERROR((P61+1)^(12/((MAX($J$7:J61)-$J$7)/30.5))-1,0)</f>
        <v>1.6392949314080196E-2</v>
      </c>
      <c r="R61" s="52">
        <f t="shared" si="4"/>
        <v>0.80113333333333325</v>
      </c>
    </row>
    <row r="62" spans="2:18" x14ac:dyDescent="0.25">
      <c r="B62" s="57" t="s">
        <v>897</v>
      </c>
      <c r="C62" s="58">
        <v>7.3200000000000021</v>
      </c>
      <c r="D62" s="58"/>
      <c r="E62" s="58"/>
      <c r="G62" s="57" t="s">
        <v>915</v>
      </c>
      <c r="H62" s="58"/>
      <c r="I62" s="58">
        <v>-17.11</v>
      </c>
      <c r="J62" s="54">
        <f t="shared" si="0"/>
        <v>45659</v>
      </c>
      <c r="K62" s="42"/>
      <c r="L62" s="55">
        <f t="shared" si="1"/>
        <v>45604</v>
      </c>
      <c r="M62" s="42">
        <f>SUM($D$7:D62)</f>
        <v>600</v>
      </c>
      <c r="N62" s="42">
        <f t="shared" si="2"/>
        <v>480.67999999999995</v>
      </c>
      <c r="O62" s="42">
        <f t="shared" si="3"/>
        <v>4.3</v>
      </c>
      <c r="P62" s="52">
        <f t="shared" si="5"/>
        <v>8.9456603145543819E-3</v>
      </c>
      <c r="Q62" s="52">
        <f>IFERROR((P62+1)^(12/((MAX($J$7:J62)-$J$7)/30.5))-1,0)</f>
        <v>1.5420761435813279E-2</v>
      </c>
      <c r="R62" s="52">
        <f t="shared" si="4"/>
        <v>0.80113333333333325</v>
      </c>
    </row>
    <row r="63" spans="2:18" x14ac:dyDescent="0.25">
      <c r="B63" s="57" t="s">
        <v>898</v>
      </c>
      <c r="C63" s="58">
        <v>0.19999999999999996</v>
      </c>
      <c r="D63" s="58"/>
      <c r="E63" s="58">
        <v>-12.98</v>
      </c>
      <c r="G63" s="57" t="s">
        <v>731</v>
      </c>
      <c r="H63" s="58">
        <v>0.30000000000000004</v>
      </c>
      <c r="I63" s="58"/>
      <c r="J63" s="54">
        <f t="shared" si="0"/>
        <v>45660</v>
      </c>
      <c r="K63" s="42"/>
      <c r="L63" s="55">
        <f t="shared" si="1"/>
        <v>45608</v>
      </c>
      <c r="M63" s="42">
        <f>SUM($D$7:D63)</f>
        <v>600</v>
      </c>
      <c r="N63" s="42">
        <f t="shared" si="2"/>
        <v>493.65999999999997</v>
      </c>
      <c r="O63" s="42">
        <f t="shared" si="3"/>
        <v>4.3</v>
      </c>
      <c r="P63" s="52">
        <f t="shared" si="5"/>
        <v>8.7104484868127871E-3</v>
      </c>
      <c r="Q63" s="52">
        <f>IFERROR((P63+1)^(12/((MAX($J$7:J63)-$J$7)/30.5))-1,0)</f>
        <v>1.4943354224610017E-2</v>
      </c>
      <c r="R63" s="52">
        <f t="shared" si="4"/>
        <v>0.82276666666666665</v>
      </c>
    </row>
    <row r="64" spans="2:18" x14ac:dyDescent="0.25">
      <c r="B64" s="57" t="s">
        <v>899</v>
      </c>
      <c r="C64" s="58">
        <v>2.2400000000000002</v>
      </c>
      <c r="D64" s="58"/>
      <c r="E64" s="58">
        <v>-10.95</v>
      </c>
      <c r="G64" s="57" t="s">
        <v>702</v>
      </c>
      <c r="H64" s="58">
        <v>1.4300000000000002</v>
      </c>
      <c r="I64" s="58">
        <v>-74.429999999999978</v>
      </c>
      <c r="J64" s="54">
        <f t="shared" si="0"/>
        <v>45663</v>
      </c>
      <c r="K64" s="42"/>
      <c r="L64" s="55">
        <f t="shared" si="1"/>
        <v>45609</v>
      </c>
      <c r="M64" s="42">
        <f>SUM($D$7:D64)</f>
        <v>600</v>
      </c>
      <c r="N64" s="42">
        <f t="shared" si="2"/>
        <v>504.60999999999996</v>
      </c>
      <c r="O64" s="42">
        <f t="shared" si="3"/>
        <v>4.3</v>
      </c>
      <c r="P64" s="52">
        <f t="shared" si="5"/>
        <v>8.5214323933334654E-3</v>
      </c>
      <c r="Q64" s="52">
        <f>IFERROR((P64+1)^(12/((MAX($J$7:J64)-$J$7)/30.5))-1,0)</f>
        <v>1.4414564634753324E-2</v>
      </c>
      <c r="R64" s="52">
        <f t="shared" si="4"/>
        <v>0.84101666666666663</v>
      </c>
    </row>
    <row r="65" spans="2:18" x14ac:dyDescent="0.25">
      <c r="B65" s="57" t="s">
        <v>900</v>
      </c>
      <c r="C65" s="58">
        <v>6</v>
      </c>
      <c r="D65" s="58"/>
      <c r="E65" s="58"/>
      <c r="G65" s="57" t="s">
        <v>916</v>
      </c>
      <c r="H65" s="58">
        <v>0</v>
      </c>
      <c r="I65" s="58"/>
      <c r="J65" s="54">
        <f t="shared" si="0"/>
        <v>45664</v>
      </c>
      <c r="K65" s="42"/>
      <c r="L65" s="55">
        <f t="shared" si="1"/>
        <v>45610</v>
      </c>
      <c r="M65" s="42">
        <f>SUM($D$7:D65)</f>
        <v>600</v>
      </c>
      <c r="N65" s="42">
        <f t="shared" si="2"/>
        <v>504.60999999999996</v>
      </c>
      <c r="O65" s="42">
        <f t="shared" si="3"/>
        <v>4.33</v>
      </c>
      <c r="P65" s="52">
        <f t="shared" si="5"/>
        <v>8.5808842472404438E-3</v>
      </c>
      <c r="Q65" s="52">
        <f>IFERROR((P65+1)^(12/((MAX($J$7:J65)-$J$7)/30.5))-1,0)</f>
        <v>1.444836300517216E-2</v>
      </c>
      <c r="R65" s="52">
        <f t="shared" si="4"/>
        <v>0.84101666666666663</v>
      </c>
    </row>
    <row r="66" spans="2:18" x14ac:dyDescent="0.25">
      <c r="B66" s="57" t="s">
        <v>901</v>
      </c>
      <c r="C66" s="58">
        <v>10.51</v>
      </c>
      <c r="D66" s="58"/>
      <c r="E66" s="58"/>
      <c r="G66" s="57" t="s">
        <v>917</v>
      </c>
      <c r="H66" s="58">
        <v>0.17</v>
      </c>
      <c r="I66" s="58"/>
      <c r="J66" s="54">
        <f t="shared" si="0"/>
        <v>45666</v>
      </c>
      <c r="K66" s="42"/>
      <c r="L66" s="55">
        <f t="shared" si="1"/>
        <v>45615</v>
      </c>
      <c r="M66" s="42">
        <f>SUM($D$7:D66)</f>
        <v>600</v>
      </c>
      <c r="N66" s="42">
        <f t="shared" si="2"/>
        <v>504.60999999999996</v>
      </c>
      <c r="O66" s="42">
        <f t="shared" si="3"/>
        <v>4.33</v>
      </c>
      <c r="P66" s="52">
        <f t="shared" si="5"/>
        <v>8.5808842472404438E-3</v>
      </c>
      <c r="Q66" s="52">
        <f>IFERROR((P66+1)^(12/((MAX($J$7:J66)-$J$7)/30.5))-1,0)</f>
        <v>1.4316078526286136E-2</v>
      </c>
      <c r="R66" s="52">
        <f t="shared" si="4"/>
        <v>0.84101666666666663</v>
      </c>
    </row>
    <row r="67" spans="2:18" x14ac:dyDescent="0.25">
      <c r="B67" s="57" t="s">
        <v>902</v>
      </c>
      <c r="C67" s="58"/>
      <c r="D67" s="58"/>
      <c r="E67" s="58">
        <v>-19.989999999999998</v>
      </c>
      <c r="G67" s="57" t="s">
        <v>732</v>
      </c>
      <c r="H67" s="58">
        <v>-3.3600000000000003</v>
      </c>
      <c r="I67" s="58">
        <v>-4.0600000000000005</v>
      </c>
      <c r="J67" s="54">
        <f t="shared" si="0"/>
        <v>45667</v>
      </c>
      <c r="K67" s="42"/>
      <c r="L67" s="55">
        <f t="shared" si="1"/>
        <v>45621</v>
      </c>
      <c r="M67" s="42">
        <f>SUM($D$7:D67)</f>
        <v>600</v>
      </c>
      <c r="N67" s="42">
        <f t="shared" si="2"/>
        <v>524.59999999999991</v>
      </c>
      <c r="O67" s="42">
        <f t="shared" si="3"/>
        <v>4.33</v>
      </c>
      <c r="P67" s="52">
        <f t="shared" si="5"/>
        <v>8.2539077392298904E-3</v>
      </c>
      <c r="Q67" s="52">
        <f>IFERROR((P67+1)^(12/((MAX($J$7:J67)-$J$7)/30.5))-1,0)</f>
        <v>1.3706345600569048E-2</v>
      </c>
      <c r="R67" s="52">
        <f t="shared" si="4"/>
        <v>0.87433333333333318</v>
      </c>
    </row>
    <row r="68" spans="2:18" x14ac:dyDescent="0.25">
      <c r="B68" s="57" t="s">
        <v>903</v>
      </c>
      <c r="C68" s="58">
        <v>-4.96</v>
      </c>
      <c r="D68" s="58">
        <v>85</v>
      </c>
      <c r="E68" s="58">
        <v>-44.97</v>
      </c>
      <c r="G68" s="57" t="s">
        <v>918</v>
      </c>
      <c r="H68" s="58">
        <v>-0.01</v>
      </c>
      <c r="I68" s="58"/>
      <c r="J68" s="54">
        <f t="shared" si="0"/>
        <v>45670</v>
      </c>
      <c r="K68" s="42"/>
      <c r="L68" s="55">
        <f t="shared" si="1"/>
        <v>45623</v>
      </c>
      <c r="M68" s="42">
        <f>SUM($D$7:D68)</f>
        <v>685</v>
      </c>
      <c r="N68" s="42">
        <f t="shared" si="2"/>
        <v>569.56999999999994</v>
      </c>
      <c r="O68" s="42">
        <f t="shared" si="3"/>
        <v>4.33</v>
      </c>
      <c r="P68" s="52">
        <f t="shared" si="5"/>
        <v>7.6022262408483605E-3</v>
      </c>
      <c r="Q68" s="52">
        <f>IFERROR((P68+1)^(12/((MAX($J$7:J68)-$J$7)/30.5))-1,0)</f>
        <v>1.2451398225884924E-2</v>
      </c>
      <c r="R68" s="52">
        <f t="shared" si="4"/>
        <v>0.83148905109489046</v>
      </c>
    </row>
    <row r="69" spans="2:18" x14ac:dyDescent="0.25">
      <c r="B69" s="57" t="s">
        <v>904</v>
      </c>
      <c r="C69" s="58">
        <v>10.17</v>
      </c>
      <c r="D69" s="58"/>
      <c r="E69" s="58"/>
      <c r="G69" s="57" t="s">
        <v>704</v>
      </c>
      <c r="H69" s="58">
        <v>3.87</v>
      </c>
      <c r="I69" s="58">
        <v>-5.0199999999999996</v>
      </c>
      <c r="J69" s="54">
        <f t="shared" si="0"/>
        <v>45678</v>
      </c>
      <c r="K69" s="42"/>
      <c r="L69" s="55">
        <f t="shared" si="1"/>
        <v>45624</v>
      </c>
      <c r="M69" s="42">
        <f>SUM($D$7:D69)</f>
        <v>685</v>
      </c>
      <c r="N69" s="42">
        <f t="shared" si="2"/>
        <v>569.56999999999994</v>
      </c>
      <c r="O69" s="42">
        <f t="shared" si="3"/>
        <v>4.33</v>
      </c>
      <c r="P69" s="52">
        <f t="shared" si="5"/>
        <v>7.6022262408483605E-3</v>
      </c>
      <c r="Q69" s="52">
        <f>IFERROR((P69+1)^(12/((MAX($J$7:J69)-$J$7)/30.5))-1,0)</f>
        <v>1.2019469795144344E-2</v>
      </c>
      <c r="R69" s="52">
        <f t="shared" si="4"/>
        <v>0.83148905109489046</v>
      </c>
    </row>
    <row r="70" spans="2:18" x14ac:dyDescent="0.25">
      <c r="B70" s="57" t="s">
        <v>905</v>
      </c>
      <c r="C70" s="58"/>
      <c r="D70" s="58">
        <v>85</v>
      </c>
      <c r="E70" s="58"/>
      <c r="G70" s="57" t="s">
        <v>919</v>
      </c>
      <c r="H70" s="58">
        <v>0</v>
      </c>
      <c r="I70" s="58"/>
      <c r="J70" s="54">
        <f t="shared" si="0"/>
        <v>45679</v>
      </c>
      <c r="K70" s="42"/>
      <c r="L70" s="55">
        <f t="shared" si="1"/>
        <v>45626</v>
      </c>
      <c r="M70" s="42">
        <f>SUM($D$7:D70)</f>
        <v>770</v>
      </c>
      <c r="N70" s="42">
        <f t="shared" si="2"/>
        <v>569.56999999999994</v>
      </c>
      <c r="O70" s="42">
        <f t="shared" si="3"/>
        <v>4.33</v>
      </c>
      <c r="P70" s="52">
        <f t="shared" si="5"/>
        <v>7.6022262408483605E-3</v>
      </c>
      <c r="Q70" s="52">
        <f>IFERROR((P70+1)^(12/((MAX($J$7:J70)-$J$7)/30.5))-1,0)</f>
        <v>1.1967576636614297E-2</v>
      </c>
      <c r="R70" s="52">
        <f t="shared" si="4"/>
        <v>0.73970129870129864</v>
      </c>
    </row>
    <row r="71" spans="2:18" x14ac:dyDescent="0.25">
      <c r="B71" s="57" t="s">
        <v>694</v>
      </c>
      <c r="C71" s="58">
        <v>6.0000000000000005E-2</v>
      </c>
      <c r="D71" s="58"/>
      <c r="E71" s="58">
        <v>-49.97</v>
      </c>
      <c r="G71" s="57" t="s">
        <v>920</v>
      </c>
      <c r="H71" s="58">
        <v>-3.09</v>
      </c>
      <c r="I71" s="58">
        <v>36.270000000000003</v>
      </c>
      <c r="J71" s="54">
        <f t="shared" ref="J71:J134" si="6">VALUE(G71)</f>
        <v>45680</v>
      </c>
      <c r="K71" s="42"/>
      <c r="L71" s="55">
        <f t="shared" ref="L71:L134" si="7">VALUE(B71)</f>
        <v>45628</v>
      </c>
      <c r="M71" s="42">
        <f>SUM($D$7:D71)</f>
        <v>770</v>
      </c>
      <c r="N71" s="42">
        <f t="shared" ref="N71:N134" si="8">-SUMIFS(I:I,J:J,"&lt;="&amp;L71)</f>
        <v>619.54</v>
      </c>
      <c r="O71" s="42">
        <f t="shared" ref="O71:O134" si="9">SUMIFS(H:H,J:J,"&lt;="&amp;L71)</f>
        <v>4.3899999999999997</v>
      </c>
      <c r="P71" s="52">
        <f t="shared" si="5"/>
        <v>7.0859024437485872E-3</v>
      </c>
      <c r="Q71" s="52">
        <f>IFERROR((P71+1)^(12/((MAX($J$7:J71)-$J$7)/30.5))-1,0)</f>
        <v>1.1105205939040186E-2</v>
      </c>
      <c r="R71" s="52">
        <f t="shared" ref="R71:R134" si="10">N71/M71</f>
        <v>0.80459740259740253</v>
      </c>
    </row>
    <row r="72" spans="2:18" x14ac:dyDescent="0.25">
      <c r="B72" s="57" t="s">
        <v>906</v>
      </c>
      <c r="C72" s="58"/>
      <c r="D72" s="58"/>
      <c r="E72" s="58">
        <v>-51.41</v>
      </c>
      <c r="G72" s="57" t="s">
        <v>921</v>
      </c>
      <c r="H72" s="58">
        <v>0.28000000000000003</v>
      </c>
      <c r="I72" s="58"/>
      <c r="J72" s="54">
        <f t="shared" si="6"/>
        <v>45681</v>
      </c>
      <c r="K72" s="42"/>
      <c r="L72" s="55">
        <f t="shared" si="7"/>
        <v>45629</v>
      </c>
      <c r="M72" s="42">
        <f>SUM($D$7:D72)</f>
        <v>770</v>
      </c>
      <c r="N72" s="42">
        <f t="shared" si="8"/>
        <v>670.94999999999993</v>
      </c>
      <c r="O72" s="42">
        <f t="shared" si="9"/>
        <v>4.3899999999999997</v>
      </c>
      <c r="P72" s="52">
        <f t="shared" ref="P72:P135" si="11">IFERROR(O72/N72,0)</f>
        <v>6.5429614725389376E-3</v>
      </c>
      <c r="Q72" s="52">
        <f>IFERROR((P72+1)^(12/((MAX($J$7:J72)-$J$7)/30.5))-1,0)</f>
        <v>1.020888040560175E-2</v>
      </c>
      <c r="R72" s="52">
        <f t="shared" si="10"/>
        <v>0.87136363636363623</v>
      </c>
    </row>
    <row r="73" spans="2:18" x14ac:dyDescent="0.25">
      <c r="B73" s="57" t="s">
        <v>729</v>
      </c>
      <c r="C73" s="58">
        <v>0.17</v>
      </c>
      <c r="D73" s="58"/>
      <c r="E73" s="58">
        <v>-10</v>
      </c>
      <c r="G73" s="57" t="s">
        <v>922</v>
      </c>
      <c r="H73" s="58">
        <v>10.31</v>
      </c>
      <c r="I73" s="58">
        <v>18.979999999999997</v>
      </c>
      <c r="J73" s="54">
        <f t="shared" si="6"/>
        <v>45685</v>
      </c>
      <c r="K73" s="42"/>
      <c r="L73" s="55">
        <f t="shared" si="7"/>
        <v>45630</v>
      </c>
      <c r="M73" s="42">
        <f>SUM($D$7:D73)</f>
        <v>770</v>
      </c>
      <c r="N73" s="42">
        <f t="shared" si="8"/>
        <v>680.94999999999993</v>
      </c>
      <c r="O73" s="42">
        <f t="shared" si="9"/>
        <v>4.3899999999999997</v>
      </c>
      <c r="P73" s="52">
        <f t="shared" si="11"/>
        <v>6.4468756883765332E-3</v>
      </c>
      <c r="Q73" s="52">
        <f>IFERROR((P73+1)^(12/((MAX($J$7:J73)-$J$7)/30.5))-1,0)</f>
        <v>9.8895149024429418E-3</v>
      </c>
      <c r="R73" s="52">
        <f t="shared" si="10"/>
        <v>0.88435064935064922</v>
      </c>
    </row>
    <row r="74" spans="2:18" x14ac:dyDescent="0.25">
      <c r="B74" s="57" t="s">
        <v>907</v>
      </c>
      <c r="C74" s="58">
        <v>-6.99</v>
      </c>
      <c r="D74" s="58"/>
      <c r="E74" s="58"/>
      <c r="G74" s="57" t="s">
        <v>923</v>
      </c>
      <c r="H74" s="58">
        <v>0</v>
      </c>
      <c r="I74" s="58">
        <v>-44.24</v>
      </c>
      <c r="J74" s="54">
        <f t="shared" si="6"/>
        <v>45686</v>
      </c>
      <c r="K74" s="42"/>
      <c r="L74" s="55">
        <f t="shared" si="7"/>
        <v>45631</v>
      </c>
      <c r="M74" s="42">
        <f>SUM($D$7:D74)</f>
        <v>770</v>
      </c>
      <c r="N74" s="42">
        <f t="shared" si="8"/>
        <v>680.94999999999993</v>
      </c>
      <c r="O74" s="42">
        <f t="shared" si="9"/>
        <v>4.3899999999999997</v>
      </c>
      <c r="P74" s="52">
        <f t="shared" si="11"/>
        <v>6.4468756883765332E-3</v>
      </c>
      <c r="Q74" s="52">
        <f>IFERROR((P74+1)^(12/((MAX($J$7:J74)-$J$7)/30.5))-1,0)</f>
        <v>9.8481063524706869E-3</v>
      </c>
      <c r="R74" s="52">
        <f t="shared" si="10"/>
        <v>0.88435064935064922</v>
      </c>
    </row>
    <row r="75" spans="2:18" x14ac:dyDescent="0.25">
      <c r="B75" s="57" t="s">
        <v>908</v>
      </c>
      <c r="C75" s="58"/>
      <c r="D75" s="58"/>
      <c r="E75" s="58">
        <v>-20</v>
      </c>
      <c r="G75" s="57" t="s">
        <v>924</v>
      </c>
      <c r="H75" s="58"/>
      <c r="I75" s="58">
        <v>-10</v>
      </c>
      <c r="J75" s="54">
        <f t="shared" si="6"/>
        <v>45687</v>
      </c>
      <c r="K75" s="42"/>
      <c r="L75" s="55">
        <f t="shared" si="7"/>
        <v>45632</v>
      </c>
      <c r="M75" s="42">
        <f>SUM($D$7:D75)</f>
        <v>770</v>
      </c>
      <c r="N75" s="42">
        <f t="shared" si="8"/>
        <v>700.94999999999993</v>
      </c>
      <c r="O75" s="42">
        <f t="shared" si="9"/>
        <v>4.3899999999999997</v>
      </c>
      <c r="P75" s="52">
        <f t="shared" si="11"/>
        <v>6.2629288822312577E-3</v>
      </c>
      <c r="Q75" s="52">
        <f>IFERROR((P75+1)^(12/((MAX($J$7:J75)-$J$7)/30.5))-1,0)</f>
        <v>9.5267688372375758E-3</v>
      </c>
      <c r="R75" s="52">
        <f t="shared" si="10"/>
        <v>0.9103246753246752</v>
      </c>
    </row>
    <row r="76" spans="2:18" x14ac:dyDescent="0.25">
      <c r="B76" s="57" t="s">
        <v>909</v>
      </c>
      <c r="C76" s="58">
        <v>7.0000000000000007E-2</v>
      </c>
      <c r="D76" s="58"/>
      <c r="E76" s="58"/>
      <c r="G76" s="57" t="s">
        <v>708</v>
      </c>
      <c r="H76" s="58"/>
      <c r="I76" s="58">
        <v>-29.99</v>
      </c>
      <c r="J76" s="54">
        <f t="shared" si="6"/>
        <v>45692</v>
      </c>
      <c r="K76" s="42"/>
      <c r="L76" s="55">
        <f t="shared" si="7"/>
        <v>45638</v>
      </c>
      <c r="M76" s="42">
        <f>SUM($D$7:D76)</f>
        <v>770</v>
      </c>
      <c r="N76" s="42">
        <f t="shared" si="8"/>
        <v>700.94999999999993</v>
      </c>
      <c r="O76" s="42">
        <f t="shared" si="9"/>
        <v>4.46</v>
      </c>
      <c r="P76" s="52">
        <f t="shared" si="11"/>
        <v>6.3627933518795926E-3</v>
      </c>
      <c r="Q76" s="52">
        <f>IFERROR((P76+1)^(12/((MAX($J$7:J76)-$J$7)/30.5))-1,0)</f>
        <v>9.4812702821920336E-3</v>
      </c>
      <c r="R76" s="52">
        <f t="shared" si="10"/>
        <v>0.9103246753246752</v>
      </c>
    </row>
    <row r="77" spans="2:18" x14ac:dyDescent="0.25">
      <c r="B77" s="57" t="s">
        <v>730</v>
      </c>
      <c r="C77" s="58">
        <v>0.08</v>
      </c>
      <c r="D77" s="58"/>
      <c r="E77" s="58"/>
      <c r="G77" s="57" t="s">
        <v>733</v>
      </c>
      <c r="H77" s="58"/>
      <c r="I77" s="58">
        <v>-41.84</v>
      </c>
      <c r="J77" s="54">
        <f t="shared" si="6"/>
        <v>45693</v>
      </c>
      <c r="K77" s="42"/>
      <c r="L77" s="55">
        <f t="shared" si="7"/>
        <v>45639</v>
      </c>
      <c r="M77" s="42">
        <f>SUM($D$7:D77)</f>
        <v>770</v>
      </c>
      <c r="N77" s="42">
        <f t="shared" si="8"/>
        <v>700.94999999999993</v>
      </c>
      <c r="O77" s="42">
        <f t="shared" si="9"/>
        <v>4.54</v>
      </c>
      <c r="P77" s="52">
        <f t="shared" si="11"/>
        <v>6.4769241743348324E-3</v>
      </c>
      <c r="Q77" s="52">
        <f>IFERROR((P77+1)^(12/((MAX($J$7:J77)-$J$7)/30.5))-1,0)</f>
        <v>9.6123430422199174E-3</v>
      </c>
      <c r="R77" s="52">
        <f t="shared" si="10"/>
        <v>0.9103246753246752</v>
      </c>
    </row>
    <row r="78" spans="2:18" x14ac:dyDescent="0.25">
      <c r="B78" s="57" t="s">
        <v>910</v>
      </c>
      <c r="C78" s="58">
        <v>8.0000000000000016E-2</v>
      </c>
      <c r="D78" s="58"/>
      <c r="E78" s="58"/>
      <c r="G78" s="57" t="s">
        <v>709</v>
      </c>
      <c r="H78" s="58">
        <v>2.81</v>
      </c>
      <c r="I78" s="58">
        <v>-7.5199999999999978</v>
      </c>
      <c r="J78" s="54">
        <f t="shared" si="6"/>
        <v>45695</v>
      </c>
      <c r="K78" s="42"/>
      <c r="L78" s="55">
        <f t="shared" si="7"/>
        <v>45642</v>
      </c>
      <c r="M78" s="42">
        <f>SUM($D$7:D78)</f>
        <v>770</v>
      </c>
      <c r="N78" s="42">
        <f t="shared" si="8"/>
        <v>700.94999999999993</v>
      </c>
      <c r="O78" s="42">
        <f t="shared" si="9"/>
        <v>4.62</v>
      </c>
      <c r="P78" s="52">
        <f t="shared" si="11"/>
        <v>6.5910549967900713E-3</v>
      </c>
      <c r="Q78" s="52">
        <f>IFERROR((P78+1)^(12/((MAX($J$7:J78)-$J$7)/30.5))-1,0)</f>
        <v>9.7030412779428588E-3</v>
      </c>
      <c r="R78" s="52">
        <f t="shared" si="10"/>
        <v>0.9103246753246752</v>
      </c>
    </row>
    <row r="79" spans="2:18" x14ac:dyDescent="0.25">
      <c r="B79" s="57" t="s">
        <v>700</v>
      </c>
      <c r="C79" s="58">
        <v>0.12</v>
      </c>
      <c r="D79" s="58">
        <v>85</v>
      </c>
      <c r="E79" s="58">
        <v>-74.97</v>
      </c>
      <c r="G79" s="57" t="s">
        <v>734</v>
      </c>
      <c r="H79" s="58">
        <v>0</v>
      </c>
      <c r="I79" s="58"/>
      <c r="J79" s="54">
        <f t="shared" si="6"/>
        <v>45698</v>
      </c>
      <c r="K79" s="42"/>
      <c r="L79" s="55">
        <f t="shared" si="7"/>
        <v>45645</v>
      </c>
      <c r="M79" s="42">
        <f>SUM($D$7:D79)</f>
        <v>855</v>
      </c>
      <c r="N79" s="42">
        <f t="shared" si="8"/>
        <v>775.92</v>
      </c>
      <c r="O79" s="42">
        <f t="shared" si="9"/>
        <v>4.74</v>
      </c>
      <c r="P79" s="52">
        <f t="shared" si="11"/>
        <v>6.1088772038354472E-3</v>
      </c>
      <c r="Q79" s="52">
        <f>IFERROR((P79+1)^(12/((MAX($J$7:J79)-$J$7)/30.5))-1,0)</f>
        <v>8.8846628907219838E-3</v>
      </c>
      <c r="R79" s="52">
        <f t="shared" si="10"/>
        <v>0.90750877192982449</v>
      </c>
    </row>
    <row r="80" spans="2:18" x14ac:dyDescent="0.25">
      <c r="B80" s="57" t="s">
        <v>911</v>
      </c>
      <c r="C80" s="58">
        <v>-17.89</v>
      </c>
      <c r="D80" s="58"/>
      <c r="E80" s="58">
        <v>19.61</v>
      </c>
      <c r="G80" s="57" t="s">
        <v>925</v>
      </c>
      <c r="H80" s="58"/>
      <c r="I80" s="58">
        <v>-10</v>
      </c>
      <c r="J80" s="54">
        <f t="shared" si="6"/>
        <v>45699</v>
      </c>
      <c r="K80" s="42"/>
      <c r="L80" s="55">
        <f t="shared" si="7"/>
        <v>45646</v>
      </c>
      <c r="M80" s="42">
        <f>SUM($D$7:D80)</f>
        <v>855</v>
      </c>
      <c r="N80" s="42">
        <f t="shared" si="8"/>
        <v>786.24</v>
      </c>
      <c r="O80" s="42">
        <f t="shared" si="9"/>
        <v>4.74</v>
      </c>
      <c r="P80" s="52">
        <f t="shared" si="11"/>
        <v>6.028693528693529E-3</v>
      </c>
      <c r="Q80" s="52">
        <f>IFERROR((P80+1)^(12/((MAX($J$7:J80)-$J$7)/30.5))-1,0)</f>
        <v>8.7330798922093944E-3</v>
      </c>
      <c r="R80" s="52">
        <f t="shared" si="10"/>
        <v>0.91957894736842105</v>
      </c>
    </row>
    <row r="81" spans="2:18" x14ac:dyDescent="0.25">
      <c r="B81" s="57" t="s">
        <v>912</v>
      </c>
      <c r="C81" s="58">
        <v>7.15</v>
      </c>
      <c r="D81" s="58"/>
      <c r="E81" s="58"/>
      <c r="G81" s="57" t="s">
        <v>926</v>
      </c>
      <c r="H81" s="58">
        <v>0.03</v>
      </c>
      <c r="I81" s="58"/>
      <c r="J81" s="54">
        <f t="shared" si="6"/>
        <v>45701</v>
      </c>
      <c r="K81" s="42"/>
      <c r="L81" s="55">
        <f t="shared" si="7"/>
        <v>45649</v>
      </c>
      <c r="M81" s="42">
        <f>SUM($D$7:D81)</f>
        <v>855</v>
      </c>
      <c r="N81" s="42">
        <f t="shared" si="8"/>
        <v>786.24</v>
      </c>
      <c r="O81" s="42">
        <f t="shared" si="9"/>
        <v>4.74</v>
      </c>
      <c r="P81" s="52">
        <f t="shared" si="11"/>
        <v>6.028693528693529E-3</v>
      </c>
      <c r="Q81" s="52">
        <f>IFERROR((P81+1)^(12/((MAX($J$7:J81)-$J$7)/30.5))-1,0)</f>
        <v>8.6642892754793532E-3</v>
      </c>
      <c r="R81" s="52">
        <f t="shared" si="10"/>
        <v>0.91957894736842105</v>
      </c>
    </row>
    <row r="82" spans="2:18" x14ac:dyDescent="0.25">
      <c r="B82" s="57" t="s">
        <v>913</v>
      </c>
      <c r="C82" s="58">
        <v>1.64</v>
      </c>
      <c r="D82" s="58"/>
      <c r="E82" s="58"/>
      <c r="G82" s="57" t="s">
        <v>711</v>
      </c>
      <c r="H82" s="58">
        <v>3.0100000000000002</v>
      </c>
      <c r="I82" s="58">
        <v>2.1300000000000034</v>
      </c>
      <c r="J82" s="54">
        <f t="shared" si="6"/>
        <v>45706</v>
      </c>
      <c r="K82" s="42"/>
      <c r="L82" s="55">
        <f t="shared" si="7"/>
        <v>45650</v>
      </c>
      <c r="M82" s="42">
        <f>SUM($D$7:D82)</f>
        <v>855</v>
      </c>
      <c r="N82" s="42">
        <f t="shared" si="8"/>
        <v>786.24</v>
      </c>
      <c r="O82" s="42">
        <f t="shared" si="9"/>
        <v>4.74</v>
      </c>
      <c r="P82" s="52">
        <f t="shared" si="11"/>
        <v>6.028693528693529E-3</v>
      </c>
      <c r="Q82" s="52">
        <f>IFERROR((P82+1)^(12/((MAX($J$7:J82)-$J$7)/30.5))-1,0)</f>
        <v>8.4969624579642744E-3</v>
      </c>
      <c r="R82" s="52">
        <f t="shared" si="10"/>
        <v>0.91957894736842105</v>
      </c>
    </row>
    <row r="83" spans="2:18" x14ac:dyDescent="0.25">
      <c r="B83" s="57" t="s">
        <v>914</v>
      </c>
      <c r="C83" s="58">
        <v>0.12000000000000001</v>
      </c>
      <c r="D83" s="58"/>
      <c r="E83" s="58"/>
      <c r="G83" s="57" t="s">
        <v>929</v>
      </c>
      <c r="H83" s="58">
        <v>0</v>
      </c>
      <c r="I83" s="58"/>
      <c r="J83" s="54">
        <f t="shared" si="6"/>
        <v>45707</v>
      </c>
      <c r="K83" s="42"/>
      <c r="L83" s="55">
        <f t="shared" si="7"/>
        <v>45653</v>
      </c>
      <c r="M83" s="42">
        <f>SUM($D$7:D83)</f>
        <v>855</v>
      </c>
      <c r="N83" s="42">
        <f t="shared" si="8"/>
        <v>786.24</v>
      </c>
      <c r="O83" s="42">
        <f t="shared" si="9"/>
        <v>4.74</v>
      </c>
      <c r="P83" s="52">
        <f t="shared" si="11"/>
        <v>6.028693528693529E-3</v>
      </c>
      <c r="Q83" s="52">
        <f>IFERROR((P83+1)^(12/((MAX($J$7:J83)-$J$7)/30.5))-1,0)</f>
        <v>8.4642696551964214E-3</v>
      </c>
      <c r="R83" s="52">
        <f t="shared" si="10"/>
        <v>0.91957894736842105</v>
      </c>
    </row>
    <row r="84" spans="2:18" x14ac:dyDescent="0.25">
      <c r="B84" s="57" t="s">
        <v>915</v>
      </c>
      <c r="C84" s="58"/>
      <c r="D84" s="58"/>
      <c r="E84" s="58">
        <v>-17.11</v>
      </c>
      <c r="G84" s="57" t="s">
        <v>713</v>
      </c>
      <c r="H84" s="58"/>
      <c r="I84" s="58">
        <v>-74.95</v>
      </c>
      <c r="J84" s="54">
        <f t="shared" si="6"/>
        <v>45708</v>
      </c>
      <c r="K84" s="42"/>
      <c r="L84" s="55">
        <f t="shared" si="7"/>
        <v>45659</v>
      </c>
      <c r="M84" s="42">
        <f>SUM($D$7:D84)</f>
        <v>855</v>
      </c>
      <c r="N84" s="42">
        <f t="shared" si="8"/>
        <v>803.35</v>
      </c>
      <c r="O84" s="42">
        <f t="shared" si="9"/>
        <v>4.74</v>
      </c>
      <c r="P84" s="52">
        <f t="shared" si="11"/>
        <v>5.9002925250513476E-3</v>
      </c>
      <c r="Q84" s="52">
        <f>IFERROR((P84+1)^(12/((MAX($J$7:J84)-$J$7)/30.5))-1,0)</f>
        <v>8.2520342117458068E-3</v>
      </c>
      <c r="R84" s="52">
        <f t="shared" si="10"/>
        <v>0.93959064327485387</v>
      </c>
    </row>
    <row r="85" spans="2:18" x14ac:dyDescent="0.25">
      <c r="B85" s="57" t="s">
        <v>731</v>
      </c>
      <c r="C85" s="58">
        <v>0.3</v>
      </c>
      <c r="D85" s="58"/>
      <c r="E85" s="58"/>
      <c r="G85" s="57" t="s">
        <v>930</v>
      </c>
      <c r="H85" s="58">
        <v>0.31</v>
      </c>
      <c r="I85" s="58"/>
      <c r="J85" s="54">
        <f t="shared" si="6"/>
        <v>45709</v>
      </c>
      <c r="K85" s="42"/>
      <c r="L85" s="55">
        <f t="shared" si="7"/>
        <v>45660</v>
      </c>
      <c r="M85" s="42">
        <f>SUM($D$7:D85)</f>
        <v>855</v>
      </c>
      <c r="N85" s="42">
        <f t="shared" si="8"/>
        <v>803.35</v>
      </c>
      <c r="O85" s="42">
        <f t="shared" si="9"/>
        <v>5.04</v>
      </c>
      <c r="P85" s="52">
        <f t="shared" si="11"/>
        <v>6.2737287608140907E-3</v>
      </c>
      <c r="Q85" s="52">
        <f>IFERROR((P85+1)^(12/((MAX($J$7:J85)-$J$7)/30.5))-1,0)</f>
        <v>8.7414525587738989E-3</v>
      </c>
      <c r="R85" s="52">
        <f t="shared" si="10"/>
        <v>0.93959064327485387</v>
      </c>
    </row>
    <row r="86" spans="2:18" x14ac:dyDescent="0.25">
      <c r="B86" s="57" t="s">
        <v>702</v>
      </c>
      <c r="C86" s="58">
        <v>1.4300000000000002</v>
      </c>
      <c r="D86" s="58">
        <v>85</v>
      </c>
      <c r="E86" s="58">
        <v>-74.429999999999993</v>
      </c>
      <c r="G86" s="57" t="s">
        <v>931</v>
      </c>
      <c r="H86" s="58"/>
      <c r="I86" s="58">
        <v>-94.460000000000008</v>
      </c>
      <c r="J86" s="54">
        <f t="shared" si="6"/>
        <v>45716</v>
      </c>
      <c r="K86" s="42"/>
      <c r="L86" s="55">
        <f t="shared" si="7"/>
        <v>45663</v>
      </c>
      <c r="M86" s="42">
        <f>SUM($D$7:D86)</f>
        <v>940</v>
      </c>
      <c r="N86" s="42">
        <f t="shared" si="8"/>
        <v>877.78</v>
      </c>
      <c r="O86" s="42">
        <f t="shared" si="9"/>
        <v>6.4700000000000006</v>
      </c>
      <c r="P86" s="52">
        <f t="shared" si="11"/>
        <v>7.3708674155255312E-3</v>
      </c>
      <c r="Q86" s="52">
        <f>IFERROR((P86+1)^(12/((MAX($J$7:J86)-$J$7)/30.5))-1,0)</f>
        <v>1.0004692389912861E-2</v>
      </c>
      <c r="R86" s="52">
        <f t="shared" si="10"/>
        <v>0.93380851063829784</v>
      </c>
    </row>
    <row r="87" spans="2:18" x14ac:dyDescent="0.25">
      <c r="B87" s="57" t="s">
        <v>916</v>
      </c>
      <c r="C87" s="58">
        <v>0</v>
      </c>
      <c r="D87" s="58"/>
      <c r="E87" s="58"/>
      <c r="G87" s="57" t="s">
        <v>735</v>
      </c>
      <c r="H87" s="58">
        <v>0</v>
      </c>
      <c r="I87" s="58"/>
      <c r="J87" s="54">
        <f t="shared" si="6"/>
        <v>45723</v>
      </c>
      <c r="K87" s="42"/>
      <c r="L87" s="55">
        <f t="shared" si="7"/>
        <v>45664</v>
      </c>
      <c r="M87" s="42">
        <f>SUM($D$7:D87)</f>
        <v>940</v>
      </c>
      <c r="N87" s="42">
        <f t="shared" si="8"/>
        <v>877.78</v>
      </c>
      <c r="O87" s="42">
        <f t="shared" si="9"/>
        <v>6.4700000000000006</v>
      </c>
      <c r="P87" s="52">
        <f t="shared" si="11"/>
        <v>7.3708674155255312E-3</v>
      </c>
      <c r="Q87" s="52">
        <f>IFERROR((P87+1)^(12/((MAX($J$7:J87)-$J$7)/30.5))-1,0)</f>
        <v>9.750637658790362E-3</v>
      </c>
      <c r="R87" s="52">
        <f t="shared" si="10"/>
        <v>0.93380851063829784</v>
      </c>
    </row>
    <row r="88" spans="2:18" x14ac:dyDescent="0.25">
      <c r="B88" s="57" t="s">
        <v>917</v>
      </c>
      <c r="C88" s="58">
        <v>0.16999999999999998</v>
      </c>
      <c r="D88" s="58"/>
      <c r="E88" s="58"/>
      <c r="G88" s="57" t="s">
        <v>933</v>
      </c>
      <c r="H88" s="58"/>
      <c r="I88" s="58">
        <v>-49.98</v>
      </c>
      <c r="J88" s="54">
        <f t="shared" si="6"/>
        <v>45727</v>
      </c>
      <c r="K88" s="42"/>
      <c r="L88" s="55">
        <f t="shared" si="7"/>
        <v>45666</v>
      </c>
      <c r="M88" s="42">
        <f>SUM($D$7:D88)</f>
        <v>940</v>
      </c>
      <c r="N88" s="42">
        <f t="shared" si="8"/>
        <v>877.78</v>
      </c>
      <c r="O88" s="42">
        <f t="shared" si="9"/>
        <v>6.6400000000000006</v>
      </c>
      <c r="P88" s="52">
        <f t="shared" si="11"/>
        <v>7.5645378112966814E-3</v>
      </c>
      <c r="Q88" s="52">
        <f>IFERROR((P88+1)^(12/((MAX($J$7:J88)-$J$7)/30.5))-1,0)</f>
        <v>9.8639959865716165E-3</v>
      </c>
      <c r="R88" s="52">
        <f t="shared" si="10"/>
        <v>0.93380851063829784</v>
      </c>
    </row>
    <row r="89" spans="2:18" x14ac:dyDescent="0.25">
      <c r="B89" s="57" t="s">
        <v>732</v>
      </c>
      <c r="C89" s="58">
        <v>-3.3600000000000003</v>
      </c>
      <c r="D89" s="58"/>
      <c r="E89" s="58">
        <v>-4.0600000000000005</v>
      </c>
      <c r="G89" s="57" t="s">
        <v>934</v>
      </c>
      <c r="H89" s="58">
        <v>0.08</v>
      </c>
      <c r="I89" s="58"/>
      <c r="J89" s="54">
        <f t="shared" si="6"/>
        <v>45729</v>
      </c>
      <c r="L89" s="55">
        <f t="shared" si="7"/>
        <v>45667</v>
      </c>
      <c r="M89" s="42">
        <f>SUM($D$7:D89)</f>
        <v>940</v>
      </c>
      <c r="N89" s="42">
        <f t="shared" si="8"/>
        <v>881.83999999999992</v>
      </c>
      <c r="O89" s="42">
        <f t="shared" si="9"/>
        <v>3.2800000000000002</v>
      </c>
      <c r="P89" s="52">
        <f t="shared" si="11"/>
        <v>3.7194956001088638E-3</v>
      </c>
      <c r="Q89" s="52">
        <f>IFERROR((P89+1)^(12/((MAX($J$7:J89)-$J$7)/30.5))-1,0)</f>
        <v>4.8129938680683271E-3</v>
      </c>
      <c r="R89" s="52">
        <f t="shared" si="10"/>
        <v>0.93812765957446798</v>
      </c>
    </row>
    <row r="90" spans="2:18" x14ac:dyDescent="0.25">
      <c r="B90" s="57" t="s">
        <v>918</v>
      </c>
      <c r="C90" s="58">
        <v>-0.01</v>
      </c>
      <c r="D90" s="58"/>
      <c r="E90" s="58"/>
      <c r="G90" s="57" t="s">
        <v>935</v>
      </c>
      <c r="H90" s="58">
        <v>0.21</v>
      </c>
      <c r="I90" s="58"/>
      <c r="J90" s="54">
        <f t="shared" si="6"/>
        <v>45730</v>
      </c>
      <c r="L90" s="55">
        <f t="shared" si="7"/>
        <v>45670</v>
      </c>
      <c r="M90" s="42">
        <f>SUM($D$7:D90)</f>
        <v>940</v>
      </c>
      <c r="N90" s="42">
        <f t="shared" si="8"/>
        <v>881.83999999999992</v>
      </c>
      <c r="O90" s="42">
        <f t="shared" si="9"/>
        <v>3.2700000000000005</v>
      </c>
      <c r="P90" s="52">
        <f t="shared" si="11"/>
        <v>3.7081556744987761E-3</v>
      </c>
      <c r="Q90" s="52">
        <f>IFERROR((P90+1)^(12/((MAX($J$7:J90)-$J$7)/30.5))-1,0)</f>
        <v>4.781376352557043E-3</v>
      </c>
      <c r="R90" s="52">
        <f t="shared" si="10"/>
        <v>0.93812765957446798</v>
      </c>
    </row>
    <row r="91" spans="2:18" x14ac:dyDescent="0.25">
      <c r="B91" s="57" t="s">
        <v>704</v>
      </c>
      <c r="C91" s="58">
        <v>3.87</v>
      </c>
      <c r="D91" s="58"/>
      <c r="E91" s="58">
        <v>-5.0200000000000014</v>
      </c>
      <c r="G91" s="57" t="s">
        <v>936</v>
      </c>
      <c r="H91" s="58">
        <v>0.31</v>
      </c>
      <c r="I91" s="58"/>
      <c r="J91" s="54">
        <f t="shared" si="6"/>
        <v>45733</v>
      </c>
      <c r="L91" s="55">
        <f t="shared" si="7"/>
        <v>45678</v>
      </c>
      <c r="M91" s="42">
        <f>SUM($D$7:D91)</f>
        <v>940</v>
      </c>
      <c r="N91" s="42">
        <f t="shared" si="8"/>
        <v>886.8599999999999</v>
      </c>
      <c r="O91" s="42">
        <f t="shared" si="9"/>
        <v>7.1400000000000006</v>
      </c>
      <c r="P91" s="52">
        <f t="shared" si="11"/>
        <v>8.0508761247547536E-3</v>
      </c>
      <c r="Q91" s="52">
        <f>IFERROR((P91+1)^(12/((MAX($J$7:J91)-$J$7)/30.5))-1,0)</f>
        <v>1.0278325187544235E-2</v>
      </c>
      <c r="R91" s="52">
        <f t="shared" si="10"/>
        <v>0.94346808510638291</v>
      </c>
    </row>
    <row r="92" spans="2:18" x14ac:dyDescent="0.25">
      <c r="B92" s="57" t="s">
        <v>919</v>
      </c>
      <c r="C92" s="58">
        <v>0</v>
      </c>
      <c r="D92" s="58"/>
      <c r="E92" s="58"/>
      <c r="G92" s="57" t="s">
        <v>937</v>
      </c>
      <c r="H92" s="58"/>
      <c r="I92" s="58">
        <v>-30.98</v>
      </c>
      <c r="J92" s="54">
        <f t="shared" si="6"/>
        <v>45734</v>
      </c>
      <c r="L92" s="55">
        <f t="shared" si="7"/>
        <v>45679</v>
      </c>
      <c r="M92" s="42">
        <f>SUM($D$7:D92)</f>
        <v>940</v>
      </c>
      <c r="N92" s="42">
        <f t="shared" si="8"/>
        <v>886.8599999999999</v>
      </c>
      <c r="O92" s="42">
        <f t="shared" si="9"/>
        <v>7.1400000000000006</v>
      </c>
      <c r="P92" s="52">
        <f t="shared" si="11"/>
        <v>8.0508761247547536E-3</v>
      </c>
      <c r="Q92" s="52">
        <f>IFERROR((P92+1)^(12/((MAX($J$7:J92)-$J$7)/30.5))-1,0)</f>
        <v>1.0242454410750668E-2</v>
      </c>
      <c r="R92" s="52">
        <f t="shared" si="10"/>
        <v>0.94346808510638291</v>
      </c>
    </row>
    <row r="93" spans="2:18" x14ac:dyDescent="0.25">
      <c r="B93" s="57" t="s">
        <v>920</v>
      </c>
      <c r="C93" s="58">
        <v>-3.09</v>
      </c>
      <c r="D93" s="58"/>
      <c r="E93" s="58">
        <v>36.270000000000003</v>
      </c>
      <c r="G93" s="57" t="s">
        <v>939</v>
      </c>
      <c r="H93" s="58">
        <v>3.11</v>
      </c>
      <c r="I93" s="58">
        <v>9.33</v>
      </c>
      <c r="J93" s="54">
        <f t="shared" si="6"/>
        <v>45741</v>
      </c>
      <c r="L93" s="55">
        <f t="shared" si="7"/>
        <v>45680</v>
      </c>
      <c r="M93" s="42">
        <f>SUM($D$7:D93)</f>
        <v>940</v>
      </c>
      <c r="N93" s="42">
        <f t="shared" si="8"/>
        <v>850.58999999999992</v>
      </c>
      <c r="O93" s="42">
        <f t="shared" si="9"/>
        <v>4.0500000000000007</v>
      </c>
      <c r="P93" s="52">
        <f t="shared" si="11"/>
        <v>4.7614009099566194E-3</v>
      </c>
      <c r="Q93" s="52">
        <f>IFERROR((P93+1)^(12/((MAX($J$7:J93)-$J$7)/30.5))-1,0)</f>
        <v>5.9107459408578311E-3</v>
      </c>
      <c r="R93" s="52">
        <f t="shared" si="10"/>
        <v>0.90488297872340417</v>
      </c>
    </row>
    <row r="94" spans="2:18" x14ac:dyDescent="0.25">
      <c r="B94" s="57" t="s">
        <v>921</v>
      </c>
      <c r="C94" s="58">
        <v>0.28000000000000003</v>
      </c>
      <c r="D94" s="58"/>
      <c r="E94" s="58"/>
      <c r="G94" s="57" t="s">
        <v>940</v>
      </c>
      <c r="H94" s="58">
        <v>0.92</v>
      </c>
      <c r="I94" s="58">
        <v>4.55</v>
      </c>
      <c r="J94" s="54">
        <f t="shared" si="6"/>
        <v>45742</v>
      </c>
      <c r="L94" s="55">
        <f t="shared" si="7"/>
        <v>45681</v>
      </c>
      <c r="M94" s="42">
        <f>SUM($D$7:D94)</f>
        <v>940</v>
      </c>
      <c r="N94" s="42">
        <f t="shared" si="8"/>
        <v>850.58999999999992</v>
      </c>
      <c r="O94" s="42">
        <f t="shared" si="9"/>
        <v>4.330000000000001</v>
      </c>
      <c r="P94" s="52">
        <f t="shared" si="11"/>
        <v>5.0905841827437442E-3</v>
      </c>
      <c r="Q94" s="52">
        <f>IFERROR((P94+1)^(12/((MAX($J$7:J94)-$J$7)/30.5))-1,0)</f>
        <v>6.298222446267765E-3</v>
      </c>
      <c r="R94" s="52">
        <f t="shared" si="10"/>
        <v>0.90488297872340417</v>
      </c>
    </row>
    <row r="95" spans="2:18" x14ac:dyDescent="0.25">
      <c r="B95" s="57" t="s">
        <v>922</v>
      </c>
      <c r="C95" s="58">
        <v>10.31</v>
      </c>
      <c r="D95" s="58"/>
      <c r="E95" s="58">
        <v>18.98</v>
      </c>
      <c r="G95" s="57" t="s">
        <v>636</v>
      </c>
      <c r="H95" s="58">
        <v>1.05</v>
      </c>
      <c r="I95" s="58">
        <v>-125.76</v>
      </c>
      <c r="J95" s="54">
        <f t="shared" si="6"/>
        <v>45743</v>
      </c>
      <c r="L95" s="55">
        <f t="shared" si="7"/>
        <v>45685</v>
      </c>
      <c r="M95" s="42">
        <f>SUM($D$7:D95)</f>
        <v>940</v>
      </c>
      <c r="N95" s="42">
        <f t="shared" si="8"/>
        <v>831.6099999999999</v>
      </c>
      <c r="O95" s="42">
        <f t="shared" si="9"/>
        <v>14.64</v>
      </c>
      <c r="P95" s="52">
        <f t="shared" si="11"/>
        <v>1.7604405911424828E-2</v>
      </c>
      <c r="Q95" s="52">
        <f>IFERROR((P95+1)^(12/((MAX($J$7:J95)-$J$7)/30.5))-1,0)</f>
        <v>2.1738484015508597E-2</v>
      </c>
      <c r="R95" s="52">
        <f t="shared" si="10"/>
        <v>0.88469148936170205</v>
      </c>
    </row>
    <row r="96" spans="2:18" x14ac:dyDescent="0.25">
      <c r="B96" s="57" t="s">
        <v>923</v>
      </c>
      <c r="C96" s="58">
        <v>0</v>
      </c>
      <c r="D96" s="58"/>
      <c r="E96" s="58">
        <v>-44.24</v>
      </c>
      <c r="G96" s="57" t="s">
        <v>637</v>
      </c>
      <c r="H96" s="58">
        <v>0</v>
      </c>
      <c r="I96" s="58">
        <v>-15</v>
      </c>
      <c r="J96" s="54">
        <f t="shared" si="6"/>
        <v>45744</v>
      </c>
      <c r="L96" s="55">
        <f t="shared" si="7"/>
        <v>45686</v>
      </c>
      <c r="M96" s="42">
        <f>SUM($D$7:D96)</f>
        <v>940</v>
      </c>
      <c r="N96" s="42">
        <f t="shared" si="8"/>
        <v>875.84999999999991</v>
      </c>
      <c r="O96" s="42">
        <f t="shared" si="9"/>
        <v>14.64</v>
      </c>
      <c r="P96" s="52">
        <f t="shared" si="11"/>
        <v>1.6715190957355713E-2</v>
      </c>
      <c r="Q96" s="52">
        <f>IFERROR((P96+1)^(12/((MAX($J$7:J96)-$J$7)/30.5))-1,0)</f>
        <v>2.0568380133561215E-2</v>
      </c>
      <c r="R96" s="52">
        <f t="shared" si="10"/>
        <v>0.93175531914893606</v>
      </c>
    </row>
    <row r="97" spans="2:18" x14ac:dyDescent="0.25">
      <c r="B97" s="57" t="s">
        <v>924</v>
      </c>
      <c r="C97" s="58"/>
      <c r="D97" s="58"/>
      <c r="E97" s="58">
        <v>-20</v>
      </c>
      <c r="G97" s="57" t="s">
        <v>638</v>
      </c>
      <c r="H97" s="58">
        <v>0.48</v>
      </c>
      <c r="I97" s="58"/>
      <c r="J97" s="54">
        <f t="shared" si="6"/>
        <v>45747</v>
      </c>
      <c r="L97" s="55">
        <f t="shared" si="7"/>
        <v>45687</v>
      </c>
      <c r="M97" s="42">
        <f>SUM($D$7:D97)</f>
        <v>940</v>
      </c>
      <c r="N97" s="42">
        <f t="shared" si="8"/>
        <v>885.84999999999991</v>
      </c>
      <c r="O97" s="42">
        <f t="shared" si="9"/>
        <v>14.64</v>
      </c>
      <c r="P97" s="52">
        <f t="shared" si="11"/>
        <v>1.6526499971778519E-2</v>
      </c>
      <c r="Q97" s="52">
        <f>IFERROR((P97+1)^(12/((MAX($J$7:J97)-$J$7)/30.5))-1,0)</f>
        <v>2.0131050322524935E-2</v>
      </c>
      <c r="R97" s="52">
        <f t="shared" si="10"/>
        <v>0.94239361702127655</v>
      </c>
    </row>
    <row r="98" spans="2:18" x14ac:dyDescent="0.25">
      <c r="B98" s="57" t="s">
        <v>708</v>
      </c>
      <c r="C98" s="58"/>
      <c r="D98" s="58">
        <v>85</v>
      </c>
      <c r="E98" s="58">
        <v>-29.99</v>
      </c>
      <c r="G98" s="57" t="s">
        <v>736</v>
      </c>
      <c r="H98" s="58">
        <v>0.45</v>
      </c>
      <c r="I98" s="58"/>
      <c r="J98" s="54">
        <f t="shared" si="6"/>
        <v>45749</v>
      </c>
      <c r="L98" s="55">
        <f t="shared" si="7"/>
        <v>45692</v>
      </c>
      <c r="M98" s="42">
        <f>SUM($D$7:D98)</f>
        <v>1025</v>
      </c>
      <c r="N98" s="42">
        <f t="shared" si="8"/>
        <v>915.83999999999992</v>
      </c>
      <c r="O98" s="42">
        <f t="shared" si="9"/>
        <v>14.64</v>
      </c>
      <c r="P98" s="52">
        <f t="shared" si="11"/>
        <v>1.59853249475891E-2</v>
      </c>
      <c r="Q98" s="52">
        <f>IFERROR((P98+1)^(12/((MAX($J$7:J98)-$J$7)/30.5))-1,0)</f>
        <v>1.9340960395571649E-2</v>
      </c>
      <c r="R98" s="52">
        <f t="shared" si="10"/>
        <v>0.89350243902439019</v>
      </c>
    </row>
    <row r="99" spans="2:18" x14ac:dyDescent="0.25">
      <c r="B99" s="57" t="s">
        <v>733</v>
      </c>
      <c r="C99" s="58"/>
      <c r="D99" s="58"/>
      <c r="E99" s="58">
        <v>-41.84</v>
      </c>
      <c r="G99" s="57" t="s">
        <v>941</v>
      </c>
      <c r="H99" s="58">
        <v>0.16999999999999998</v>
      </c>
      <c r="I99" s="58"/>
      <c r="J99" s="54">
        <f t="shared" si="6"/>
        <v>45750</v>
      </c>
      <c r="L99" s="55">
        <f t="shared" si="7"/>
        <v>45693</v>
      </c>
      <c r="M99" s="42">
        <f>SUM($D$7:D99)</f>
        <v>1025</v>
      </c>
      <c r="N99" s="42">
        <f t="shared" si="8"/>
        <v>957.68</v>
      </c>
      <c r="O99" s="42">
        <f t="shared" si="9"/>
        <v>14.64</v>
      </c>
      <c r="P99" s="52">
        <f t="shared" si="11"/>
        <v>1.528694344666277E-2</v>
      </c>
      <c r="Q99" s="52">
        <f>IFERROR((P99+1)^(12/((MAX($J$7:J99)-$J$7)/30.5))-1,0)</f>
        <v>1.8433250167527504E-2</v>
      </c>
      <c r="R99" s="52">
        <f t="shared" si="10"/>
        <v>0.93432195121951211</v>
      </c>
    </row>
    <row r="100" spans="2:18" x14ac:dyDescent="0.25">
      <c r="B100" s="57" t="s">
        <v>709</v>
      </c>
      <c r="C100" s="58">
        <v>2.81</v>
      </c>
      <c r="D100" s="58"/>
      <c r="E100" s="58">
        <v>-7.52</v>
      </c>
      <c r="G100" s="57" t="s">
        <v>942</v>
      </c>
      <c r="H100" s="58"/>
      <c r="I100" s="58">
        <v>-169.10999999999999</v>
      </c>
      <c r="J100" s="54">
        <f t="shared" si="6"/>
        <v>45751</v>
      </c>
      <c r="L100" s="55">
        <f t="shared" si="7"/>
        <v>45695</v>
      </c>
      <c r="M100" s="42">
        <f>SUM($D$7:D100)</f>
        <v>1025</v>
      </c>
      <c r="N100" s="42">
        <f t="shared" si="8"/>
        <v>965.19999999999993</v>
      </c>
      <c r="O100" s="42">
        <f t="shared" si="9"/>
        <v>17.45</v>
      </c>
      <c r="P100" s="52">
        <f t="shared" si="11"/>
        <v>1.8079154579361791E-2</v>
      </c>
      <c r="Q100" s="52">
        <f>IFERROR((P100+1)^(12/((MAX($J$7:J100)-$J$7)/30.5))-1,0)</f>
        <v>2.1734020621024808E-2</v>
      </c>
      <c r="R100" s="52">
        <f t="shared" si="10"/>
        <v>0.9416585365853658</v>
      </c>
    </row>
    <row r="101" spans="2:18" x14ac:dyDescent="0.25">
      <c r="B101" s="57" t="s">
        <v>734</v>
      </c>
      <c r="C101" s="58">
        <v>0</v>
      </c>
      <c r="D101" s="58"/>
      <c r="E101" s="58"/>
      <c r="G101" s="57" t="s">
        <v>943</v>
      </c>
      <c r="H101" s="58">
        <v>2.66</v>
      </c>
      <c r="I101" s="58">
        <v>-12.350000000000001</v>
      </c>
      <c r="J101" s="54">
        <f t="shared" si="6"/>
        <v>45754</v>
      </c>
      <c r="L101" s="55">
        <f t="shared" si="7"/>
        <v>45698</v>
      </c>
      <c r="M101" s="42">
        <f>SUM($D$7:D101)</f>
        <v>1025</v>
      </c>
      <c r="N101" s="42">
        <f t="shared" si="8"/>
        <v>965.19999999999993</v>
      </c>
      <c r="O101" s="42">
        <f t="shared" si="9"/>
        <v>17.45</v>
      </c>
      <c r="P101" s="52">
        <f t="shared" si="11"/>
        <v>1.8079154579361791E-2</v>
      </c>
      <c r="Q101" s="52">
        <f>IFERROR((P101+1)^(12/((MAX($J$7:J101)-$J$7)/30.5))-1,0)</f>
        <v>2.152006401565032E-2</v>
      </c>
      <c r="R101" s="52">
        <f t="shared" si="10"/>
        <v>0.9416585365853658</v>
      </c>
    </row>
    <row r="102" spans="2:18" x14ac:dyDescent="0.25">
      <c r="B102" s="57" t="s">
        <v>925</v>
      </c>
      <c r="C102" s="58"/>
      <c r="D102" s="58"/>
      <c r="E102" s="58">
        <v>-10</v>
      </c>
      <c r="G102" s="57" t="s">
        <v>944</v>
      </c>
      <c r="H102" s="58">
        <v>0</v>
      </c>
      <c r="I102" s="58">
        <v>-19.97</v>
      </c>
      <c r="J102" s="54">
        <f t="shared" si="6"/>
        <v>45755</v>
      </c>
      <c r="L102" s="55">
        <f t="shared" si="7"/>
        <v>45699</v>
      </c>
      <c r="M102" s="42">
        <f>SUM($D$7:D102)</f>
        <v>1025</v>
      </c>
      <c r="N102" s="42">
        <f t="shared" si="8"/>
        <v>975.19999999999993</v>
      </c>
      <c r="O102" s="42">
        <f t="shared" si="9"/>
        <v>17.45</v>
      </c>
      <c r="P102" s="52">
        <f t="shared" si="11"/>
        <v>1.7893765381460213E-2</v>
      </c>
      <c r="Q102" s="52">
        <f>IFERROR((P102+1)^(12/((MAX($J$7:J102)-$J$7)/30.5))-1,0)</f>
        <v>2.1229367679428401E-2</v>
      </c>
      <c r="R102" s="52">
        <f t="shared" si="10"/>
        <v>0.95141463414634142</v>
      </c>
    </row>
    <row r="103" spans="2:18" x14ac:dyDescent="0.25">
      <c r="B103" s="57" t="s">
        <v>926</v>
      </c>
      <c r="C103" s="58">
        <v>2.9999999999999992E-2</v>
      </c>
      <c r="D103" s="58"/>
      <c r="E103" s="58"/>
      <c r="G103" s="57" t="s">
        <v>946</v>
      </c>
      <c r="H103" s="58">
        <v>0.38</v>
      </c>
      <c r="I103" s="58"/>
      <c r="J103" s="54">
        <f t="shared" si="6"/>
        <v>45757</v>
      </c>
      <c r="L103" s="55">
        <f t="shared" si="7"/>
        <v>45701</v>
      </c>
      <c r="M103" s="42">
        <f>SUM($D$7:D103)</f>
        <v>1025</v>
      </c>
      <c r="N103" s="42">
        <f t="shared" si="8"/>
        <v>975.19999999999993</v>
      </c>
      <c r="O103" s="42">
        <f t="shared" si="9"/>
        <v>17.48</v>
      </c>
      <c r="P103" s="52">
        <f t="shared" si="11"/>
        <v>1.7924528301886795E-2</v>
      </c>
      <c r="Q103" s="52">
        <f>IFERROR((P103+1)^(12/((MAX($J$7:J103)-$J$7)/30.5))-1,0)</f>
        <v>2.112773186498007E-2</v>
      </c>
      <c r="R103" s="52">
        <f t="shared" si="10"/>
        <v>0.95141463414634142</v>
      </c>
    </row>
    <row r="104" spans="2:18" x14ac:dyDescent="0.25">
      <c r="B104" s="57" t="s">
        <v>927</v>
      </c>
      <c r="C104" s="58">
        <v>-5.9</v>
      </c>
      <c r="D104" s="58">
        <v>85</v>
      </c>
      <c r="E104" s="58"/>
      <c r="G104" s="57" t="s">
        <v>720</v>
      </c>
      <c r="H104" s="58">
        <v>-0.16999999999999998</v>
      </c>
      <c r="I104" s="58">
        <v>7.02</v>
      </c>
      <c r="J104" s="54">
        <f t="shared" si="6"/>
        <v>45764</v>
      </c>
      <c r="L104" s="55">
        <f t="shared" si="7"/>
        <v>45702</v>
      </c>
      <c r="M104" s="42">
        <f>SUM($D$7:D104)</f>
        <v>1110</v>
      </c>
      <c r="N104" s="42">
        <f t="shared" si="8"/>
        <v>975.19999999999993</v>
      </c>
      <c r="O104" s="42">
        <f t="shared" si="9"/>
        <v>17.48</v>
      </c>
      <c r="P104" s="52">
        <f t="shared" si="11"/>
        <v>1.7924528301886795E-2</v>
      </c>
      <c r="Q104" s="52">
        <f>IFERROR((P104+1)^(12/((MAX($J$7:J104)-$J$7)/30.5))-1,0)</f>
        <v>2.065788537377955E-2</v>
      </c>
      <c r="R104" s="52">
        <f t="shared" si="10"/>
        <v>0.87855855855855847</v>
      </c>
    </row>
    <row r="105" spans="2:18" x14ac:dyDescent="0.25">
      <c r="B105" s="57" t="s">
        <v>928</v>
      </c>
      <c r="C105" s="58">
        <v>-4.92</v>
      </c>
      <c r="D105" s="58"/>
      <c r="E105" s="58"/>
      <c r="G105" s="57" t="s">
        <v>721</v>
      </c>
      <c r="H105" s="58">
        <v>0</v>
      </c>
      <c r="I105" s="58"/>
      <c r="J105" s="54">
        <f t="shared" si="6"/>
        <v>45765</v>
      </c>
      <c r="L105" s="55">
        <f t="shared" si="7"/>
        <v>45705</v>
      </c>
      <c r="M105" s="42">
        <f>SUM($D$7:D105)</f>
        <v>1110</v>
      </c>
      <c r="N105" s="42">
        <f t="shared" si="8"/>
        <v>975.19999999999993</v>
      </c>
      <c r="O105" s="42">
        <f t="shared" si="9"/>
        <v>17.48</v>
      </c>
      <c r="P105" s="52">
        <f t="shared" si="11"/>
        <v>1.7924528301886795E-2</v>
      </c>
      <c r="Q105" s="52">
        <f>IFERROR((P105+1)^(12/((MAX($J$7:J105)-$J$7)/30.5))-1,0)</f>
        <v>2.0592464883667727E-2</v>
      </c>
      <c r="R105" s="52">
        <f t="shared" si="10"/>
        <v>0.87855855855855847</v>
      </c>
    </row>
    <row r="106" spans="2:18" x14ac:dyDescent="0.25">
      <c r="B106" s="57" t="s">
        <v>711</v>
      </c>
      <c r="C106" s="58">
        <v>3.01</v>
      </c>
      <c r="D106" s="58"/>
      <c r="E106" s="58">
        <v>2.1300000000000026</v>
      </c>
      <c r="G106" s="57" t="s">
        <v>737</v>
      </c>
      <c r="H106" s="58">
        <v>0.18999999999999997</v>
      </c>
      <c r="I106" s="58"/>
      <c r="J106" s="54">
        <f t="shared" si="6"/>
        <v>45769</v>
      </c>
      <c r="L106" s="55">
        <f t="shared" si="7"/>
        <v>45706</v>
      </c>
      <c r="M106" s="42">
        <f>SUM($D$7:D106)</f>
        <v>1110</v>
      </c>
      <c r="N106" s="42">
        <f t="shared" si="8"/>
        <v>973.06999999999994</v>
      </c>
      <c r="O106" s="42">
        <f t="shared" si="9"/>
        <v>20.490000000000002</v>
      </c>
      <c r="P106" s="52">
        <f t="shared" si="11"/>
        <v>2.1057066809170976E-2</v>
      </c>
      <c r="Q106" s="52">
        <f>IFERROR((P106+1)^(12/((MAX($J$7:J106)-$J$7)/30.5))-1,0)</f>
        <v>2.3893571446296669E-2</v>
      </c>
      <c r="R106" s="52">
        <f t="shared" si="10"/>
        <v>0.87663963963963953</v>
      </c>
    </row>
    <row r="107" spans="2:18" x14ac:dyDescent="0.25">
      <c r="B107" s="57" t="s">
        <v>929</v>
      </c>
      <c r="C107" s="58">
        <v>0</v>
      </c>
      <c r="D107" s="58"/>
      <c r="E107" s="58"/>
      <c r="G107" s="57" t="s">
        <v>738</v>
      </c>
      <c r="H107" s="58">
        <v>1.24</v>
      </c>
      <c r="I107" s="58">
        <v>-10</v>
      </c>
      <c r="J107" s="54">
        <f t="shared" si="6"/>
        <v>45777</v>
      </c>
      <c r="L107" s="55">
        <f t="shared" si="7"/>
        <v>45707</v>
      </c>
      <c r="M107" s="42">
        <f>SUM($D$7:D107)</f>
        <v>1110</v>
      </c>
      <c r="N107" s="42">
        <f t="shared" si="8"/>
        <v>973.06999999999994</v>
      </c>
      <c r="O107" s="42">
        <f t="shared" si="9"/>
        <v>20.490000000000002</v>
      </c>
      <c r="P107" s="52">
        <f t="shared" si="11"/>
        <v>2.1057066809170976E-2</v>
      </c>
      <c r="Q107" s="52">
        <f>IFERROR((P107+1)^(12/((MAX($J$7:J107)-$J$7)/30.5))-1,0)</f>
        <v>2.3309405195576671E-2</v>
      </c>
      <c r="R107" s="52">
        <f t="shared" si="10"/>
        <v>0.87663963963963953</v>
      </c>
    </row>
    <row r="108" spans="2:18" x14ac:dyDescent="0.25">
      <c r="B108" s="57" t="s">
        <v>713</v>
      </c>
      <c r="C108" s="58"/>
      <c r="D108" s="58"/>
      <c r="E108" s="58">
        <v>-74.949999999999989</v>
      </c>
      <c r="G108" s="57" t="s">
        <v>950</v>
      </c>
      <c r="H108" s="58">
        <v>7.5499999999999989</v>
      </c>
      <c r="I108" s="58">
        <v>92.47</v>
      </c>
      <c r="J108" s="54">
        <f t="shared" si="6"/>
        <v>45782</v>
      </c>
      <c r="L108" s="55">
        <f t="shared" si="7"/>
        <v>45708</v>
      </c>
      <c r="M108" s="42">
        <f>SUM($D$7:D108)</f>
        <v>1110</v>
      </c>
      <c r="N108" s="42">
        <f t="shared" si="8"/>
        <v>1048.02</v>
      </c>
      <c r="O108" s="42">
        <f t="shared" si="9"/>
        <v>20.490000000000002</v>
      </c>
      <c r="P108" s="52">
        <f t="shared" si="11"/>
        <v>1.9551153603938859E-2</v>
      </c>
      <c r="Q108" s="52">
        <f>IFERROR((P108+1)^(12/((MAX($J$7:J108)-$J$7)/30.5))-1,0)</f>
        <v>2.1315271265450519E-2</v>
      </c>
      <c r="R108" s="52">
        <f t="shared" si="10"/>
        <v>0.9441621621621622</v>
      </c>
    </row>
    <row r="109" spans="2:18" x14ac:dyDescent="0.25">
      <c r="B109" s="57" t="s">
        <v>930</v>
      </c>
      <c r="C109" s="58">
        <v>0.31</v>
      </c>
      <c r="D109" s="58"/>
      <c r="E109" s="58"/>
      <c r="G109" s="57" t="s">
        <v>951</v>
      </c>
      <c r="H109" s="58"/>
      <c r="I109" s="58">
        <v>-50.99</v>
      </c>
      <c r="J109" s="54">
        <f t="shared" si="6"/>
        <v>45783</v>
      </c>
      <c r="L109" s="55">
        <f t="shared" si="7"/>
        <v>45709</v>
      </c>
      <c r="M109" s="42">
        <f>SUM($D$7:D109)</f>
        <v>1110</v>
      </c>
      <c r="N109" s="42">
        <f t="shared" si="8"/>
        <v>1048.02</v>
      </c>
      <c r="O109" s="42">
        <f t="shared" si="9"/>
        <v>20.8</v>
      </c>
      <c r="P109" s="52">
        <f t="shared" si="11"/>
        <v>1.984694948569684E-2</v>
      </c>
      <c r="Q109" s="52">
        <f>IFERROR((P109+1)^(12/((MAX($J$7:J109)-$J$7)/30.5))-1,0)</f>
        <v>2.1573143704481712E-2</v>
      </c>
      <c r="R109" s="52">
        <f t="shared" si="10"/>
        <v>0.9441621621621622</v>
      </c>
    </row>
    <row r="110" spans="2:18" x14ac:dyDescent="0.25">
      <c r="B110" s="57" t="s">
        <v>931</v>
      </c>
      <c r="C110" s="58"/>
      <c r="D110" s="58">
        <v>85</v>
      </c>
      <c r="E110" s="58">
        <v>-94.460000000000008</v>
      </c>
      <c r="G110" s="57" t="s">
        <v>952</v>
      </c>
      <c r="H110" s="58">
        <v>-1.9999999999999907E-2</v>
      </c>
      <c r="I110" s="58">
        <v>26.36</v>
      </c>
      <c r="J110" s="54">
        <f t="shared" si="6"/>
        <v>45784</v>
      </c>
      <c r="L110" s="55">
        <f t="shared" si="7"/>
        <v>45716</v>
      </c>
      <c r="M110" s="42">
        <f>SUM($D$7:D110)</f>
        <v>1195</v>
      </c>
      <c r="N110" s="42">
        <f t="shared" si="8"/>
        <v>1142.48</v>
      </c>
      <c r="O110" s="42">
        <f t="shared" si="9"/>
        <v>20.8</v>
      </c>
      <c r="P110" s="52">
        <f t="shared" si="11"/>
        <v>1.8206007982634269E-2</v>
      </c>
      <c r="Q110" s="52">
        <f>IFERROR((P110+1)^(12/((MAX($J$7:J110)-$J$7)/30.5))-1,0)</f>
        <v>1.9728982340361911E-2</v>
      </c>
      <c r="R110" s="52">
        <f t="shared" si="10"/>
        <v>0.95605020920502093</v>
      </c>
    </row>
    <row r="111" spans="2:18" x14ac:dyDescent="0.25">
      <c r="B111" s="57" t="s">
        <v>735</v>
      </c>
      <c r="C111" s="58">
        <v>0</v>
      </c>
      <c r="D111" s="58"/>
      <c r="E111" s="58"/>
      <c r="G111" s="57" t="s">
        <v>953</v>
      </c>
      <c r="H111" s="58">
        <v>5.6400000000000006</v>
      </c>
      <c r="I111" s="58">
        <v>11.84</v>
      </c>
      <c r="J111" s="54">
        <f t="shared" si="6"/>
        <v>45785</v>
      </c>
      <c r="L111" s="55">
        <f t="shared" si="7"/>
        <v>45723</v>
      </c>
      <c r="M111" s="42">
        <f>SUM($D$7:D111)</f>
        <v>1195</v>
      </c>
      <c r="N111" s="42">
        <f t="shared" si="8"/>
        <v>1142.48</v>
      </c>
      <c r="O111" s="42">
        <f t="shared" si="9"/>
        <v>20.8</v>
      </c>
      <c r="P111" s="52">
        <f t="shared" si="11"/>
        <v>1.8206007982634269E-2</v>
      </c>
      <c r="Q111" s="52">
        <f>IFERROR((P111+1)^(12/((MAX($J$7:J111)-$J$7)/30.5))-1,0)</f>
        <v>1.9670216094731074E-2</v>
      </c>
      <c r="R111" s="52">
        <f t="shared" si="10"/>
        <v>0.95605020920502093</v>
      </c>
    </row>
    <row r="112" spans="2:18" x14ac:dyDescent="0.25">
      <c r="B112" s="57" t="s">
        <v>932</v>
      </c>
      <c r="C112" s="58">
        <v>1.7100000000000002</v>
      </c>
      <c r="D112" s="58"/>
      <c r="E112" s="58">
        <v>40.79</v>
      </c>
      <c r="G112" s="57" t="s">
        <v>954</v>
      </c>
      <c r="H112" s="58">
        <v>2.92</v>
      </c>
      <c r="I112" s="58"/>
      <c r="J112" s="54">
        <f t="shared" si="6"/>
        <v>45786</v>
      </c>
      <c r="L112" s="55">
        <f t="shared" si="7"/>
        <v>45726</v>
      </c>
      <c r="M112" s="42">
        <f>SUM($D$7:D112)</f>
        <v>1195</v>
      </c>
      <c r="N112" s="42">
        <f t="shared" si="8"/>
        <v>1142.48</v>
      </c>
      <c r="O112" s="42">
        <f t="shared" si="9"/>
        <v>20.8</v>
      </c>
      <c r="P112" s="52">
        <f t="shared" si="11"/>
        <v>1.8206007982634269E-2</v>
      </c>
      <c r="Q112" s="52">
        <f>IFERROR((P112+1)^(12/((MAX($J$7:J112)-$J$7)/30.5))-1,0)</f>
        <v>1.961179888973108E-2</v>
      </c>
      <c r="R112" s="52">
        <f t="shared" si="10"/>
        <v>0.95605020920502093</v>
      </c>
    </row>
    <row r="113" spans="2:18" x14ac:dyDescent="0.25">
      <c r="B113" s="57" t="s">
        <v>933</v>
      </c>
      <c r="C113" s="58">
        <v>0.13</v>
      </c>
      <c r="D113" s="58"/>
      <c r="E113" s="58">
        <v>-45.96</v>
      </c>
      <c r="G113" s="57" t="s">
        <v>955</v>
      </c>
      <c r="H113" s="58"/>
      <c r="I113" s="58">
        <v>-29.99</v>
      </c>
      <c r="J113" s="54">
        <f t="shared" si="6"/>
        <v>45789</v>
      </c>
      <c r="L113" s="55">
        <f t="shared" si="7"/>
        <v>45727</v>
      </c>
      <c r="M113" s="42">
        <f>SUM($D$7:D113)</f>
        <v>1195</v>
      </c>
      <c r="N113" s="42">
        <f t="shared" si="8"/>
        <v>1192.46</v>
      </c>
      <c r="O113" s="42">
        <f t="shared" si="9"/>
        <v>20.8</v>
      </c>
      <c r="P113" s="52">
        <f t="shared" si="11"/>
        <v>1.7442933096288346E-2</v>
      </c>
      <c r="Q113" s="52">
        <f>IFERROR((P113+1)^(12/((MAX($J$7:J113)-$J$7)/30.5))-1,0)</f>
        <v>1.8623402320057769E-2</v>
      </c>
      <c r="R113" s="52">
        <f t="shared" si="10"/>
        <v>0.99787447698744769</v>
      </c>
    </row>
    <row r="114" spans="2:18" x14ac:dyDescent="0.25">
      <c r="B114" s="57" t="s">
        <v>934</v>
      </c>
      <c r="C114" s="58">
        <v>0.08</v>
      </c>
      <c r="D114" s="58"/>
      <c r="E114" s="58"/>
      <c r="G114" s="57" t="s">
        <v>956</v>
      </c>
      <c r="H114" s="58">
        <v>8.2799999999999994</v>
      </c>
      <c r="I114" s="58">
        <v>60.63</v>
      </c>
      <c r="J114" s="54">
        <f t="shared" si="6"/>
        <v>45791</v>
      </c>
      <c r="L114" s="55">
        <f t="shared" si="7"/>
        <v>45729</v>
      </c>
      <c r="M114" s="42">
        <f>SUM($D$7:D114)</f>
        <v>1195</v>
      </c>
      <c r="N114" s="42">
        <f t="shared" si="8"/>
        <v>1192.46</v>
      </c>
      <c r="O114" s="42">
        <f t="shared" si="9"/>
        <v>20.88</v>
      </c>
      <c r="P114" s="52">
        <f t="shared" si="11"/>
        <v>1.7510021300504837E-2</v>
      </c>
      <c r="Q114" s="52">
        <f>IFERROR((P114+1)^(12/((MAX($J$7:J114)-$J$7)/30.5))-1,0)</f>
        <v>1.8585694201898484E-2</v>
      </c>
      <c r="R114" s="52">
        <f t="shared" si="10"/>
        <v>0.99787447698744769</v>
      </c>
    </row>
    <row r="115" spans="2:18" x14ac:dyDescent="0.25">
      <c r="B115" s="57" t="s">
        <v>935</v>
      </c>
      <c r="C115" s="58">
        <v>0.21</v>
      </c>
      <c r="D115" s="58">
        <v>85</v>
      </c>
      <c r="E115" s="58"/>
      <c r="G115" s="57" t="s">
        <v>957</v>
      </c>
      <c r="H115" s="58">
        <v>6.3000000000000007</v>
      </c>
      <c r="I115" s="58">
        <v>-46.069999999999993</v>
      </c>
      <c r="J115" s="54">
        <f t="shared" si="6"/>
        <v>45792</v>
      </c>
      <c r="L115" s="55">
        <f t="shared" si="7"/>
        <v>45730</v>
      </c>
      <c r="M115" s="42">
        <f>SUM($D$7:D115)</f>
        <v>1280</v>
      </c>
      <c r="N115" s="42">
        <f t="shared" si="8"/>
        <v>1192.46</v>
      </c>
      <c r="O115" s="42">
        <f t="shared" si="9"/>
        <v>21.09</v>
      </c>
      <c r="P115" s="52">
        <f t="shared" si="11"/>
        <v>1.7686127836573133E-2</v>
      </c>
      <c r="Q115" s="52">
        <f>IFERROR((P115+1)^(12/((MAX($J$7:J115)-$J$7)/30.5))-1,0)</f>
        <v>1.8717957703005883E-2</v>
      </c>
      <c r="R115" s="52">
        <f t="shared" si="10"/>
        <v>0.93160937500000007</v>
      </c>
    </row>
    <row r="116" spans="2:18" x14ac:dyDescent="0.25">
      <c r="B116" s="57" t="s">
        <v>936</v>
      </c>
      <c r="C116" s="58">
        <v>0.31</v>
      </c>
      <c r="D116" s="58"/>
      <c r="E116" s="58"/>
      <c r="G116"/>
      <c r="H116"/>
      <c r="I116"/>
      <c r="J116" s="54">
        <f t="shared" si="6"/>
        <v>0</v>
      </c>
      <c r="L116" s="55">
        <f t="shared" si="7"/>
        <v>45733</v>
      </c>
      <c r="M116" s="42">
        <f>SUM($D$7:D116)</f>
        <v>1280</v>
      </c>
      <c r="N116" s="42">
        <f t="shared" si="8"/>
        <v>1192.46</v>
      </c>
      <c r="O116" s="42">
        <f t="shared" si="9"/>
        <v>21.4</v>
      </c>
      <c r="P116" s="52">
        <f t="shared" si="11"/>
        <v>1.7946094627912045E-2</v>
      </c>
      <c r="Q116" s="52">
        <f>IFERROR((P116+1)^(12/((MAX($J$7:J116)-$J$7)/30.5))-1,0)</f>
        <v>1.8993232324274079E-2</v>
      </c>
      <c r="R116" s="52">
        <f t="shared" si="10"/>
        <v>0.93160937500000007</v>
      </c>
    </row>
    <row r="117" spans="2:18" x14ac:dyDescent="0.25">
      <c r="B117" s="57" t="s">
        <v>937</v>
      </c>
      <c r="C117" s="58"/>
      <c r="D117" s="58"/>
      <c r="E117" s="58">
        <v>-30.98</v>
      </c>
      <c r="G117"/>
      <c r="H117"/>
      <c r="I117"/>
      <c r="J117" s="54">
        <f t="shared" si="6"/>
        <v>0</v>
      </c>
      <c r="L117" s="55">
        <f t="shared" si="7"/>
        <v>45734</v>
      </c>
      <c r="M117" s="42">
        <f>SUM($D$7:D117)</f>
        <v>1280</v>
      </c>
      <c r="N117" s="42">
        <f t="shared" si="8"/>
        <v>1223.44</v>
      </c>
      <c r="O117" s="42">
        <f t="shared" si="9"/>
        <v>21.4</v>
      </c>
      <c r="P117" s="52">
        <f t="shared" si="11"/>
        <v>1.7491662852285358E-2</v>
      </c>
      <c r="Q117" s="52">
        <f>IFERROR((P117+1)^(12/((MAX($J$7:J117)-$J$7)/30.5))-1,0)</f>
        <v>1.8512044540831996E-2</v>
      </c>
      <c r="R117" s="52">
        <f t="shared" si="10"/>
        <v>0.95581250000000006</v>
      </c>
    </row>
    <row r="118" spans="2:18" x14ac:dyDescent="0.25">
      <c r="B118" s="57" t="s">
        <v>938</v>
      </c>
      <c r="C118" s="58">
        <v>2.98</v>
      </c>
      <c r="D118" s="58"/>
      <c r="E118" s="58"/>
      <c r="G118"/>
      <c r="H118"/>
      <c r="I118"/>
      <c r="J118" s="54">
        <f t="shared" si="6"/>
        <v>0</v>
      </c>
      <c r="L118" s="55">
        <f t="shared" si="7"/>
        <v>45737</v>
      </c>
      <c r="M118" s="42">
        <f>SUM($D$7:D118)</f>
        <v>1280</v>
      </c>
      <c r="N118" s="42">
        <f t="shared" si="8"/>
        <v>1223.44</v>
      </c>
      <c r="O118" s="42">
        <f t="shared" si="9"/>
        <v>21.4</v>
      </c>
      <c r="P118" s="52">
        <f t="shared" si="11"/>
        <v>1.7491662852285358E-2</v>
      </c>
      <c r="Q118" s="52">
        <f>IFERROR((P118+1)^(12/((MAX($J$7:J118)-$J$7)/30.5))-1,0)</f>
        <v>1.8512044540831996E-2</v>
      </c>
      <c r="R118" s="52">
        <f t="shared" si="10"/>
        <v>0.95581250000000006</v>
      </c>
    </row>
    <row r="119" spans="2:18" x14ac:dyDescent="0.25">
      <c r="B119" s="57" t="s">
        <v>939</v>
      </c>
      <c r="C119" s="58">
        <v>3.11</v>
      </c>
      <c r="D119" s="58"/>
      <c r="E119" s="58">
        <v>9.33</v>
      </c>
      <c r="G119"/>
      <c r="H119"/>
      <c r="I119"/>
      <c r="J119" s="54">
        <f t="shared" si="6"/>
        <v>0</v>
      </c>
      <c r="L119" s="55">
        <f t="shared" si="7"/>
        <v>45741</v>
      </c>
      <c r="M119" s="42">
        <f>SUM($D$7:D119)</f>
        <v>1280</v>
      </c>
      <c r="N119" s="42">
        <f t="shared" si="8"/>
        <v>1214.1100000000001</v>
      </c>
      <c r="O119" s="42">
        <f t="shared" si="9"/>
        <v>24.509999999999998</v>
      </c>
      <c r="P119" s="52">
        <f t="shared" si="11"/>
        <v>2.01876271507524E-2</v>
      </c>
      <c r="Q119" s="52">
        <f>IFERROR((P119+1)^(12/((MAX($J$7:J119)-$J$7)/30.5))-1,0)</f>
        <v>2.1366923250478509E-2</v>
      </c>
      <c r="R119" s="52">
        <f t="shared" si="10"/>
        <v>0.94852343750000012</v>
      </c>
    </row>
    <row r="120" spans="2:18" x14ac:dyDescent="0.25">
      <c r="B120" s="57" t="s">
        <v>940</v>
      </c>
      <c r="C120" s="58">
        <v>0.92</v>
      </c>
      <c r="D120" s="58"/>
      <c r="E120" s="58">
        <v>4.55</v>
      </c>
      <c r="G120"/>
      <c r="H120"/>
      <c r="I120"/>
      <c r="J120" s="54">
        <f t="shared" si="6"/>
        <v>0</v>
      </c>
      <c r="L120" s="55">
        <f t="shared" si="7"/>
        <v>45742</v>
      </c>
      <c r="M120" s="42">
        <f>SUM($D$7:D120)</f>
        <v>1280</v>
      </c>
      <c r="N120" s="42">
        <f t="shared" si="8"/>
        <v>1209.5600000000002</v>
      </c>
      <c r="O120" s="42">
        <f t="shared" si="9"/>
        <v>25.43</v>
      </c>
      <c r="P120" s="52">
        <f t="shared" si="11"/>
        <v>2.102417407983068E-2</v>
      </c>
      <c r="Q120" s="52">
        <f>IFERROR((P120+1)^(12/((MAX($J$7:J120)-$J$7)/30.5))-1,0)</f>
        <v>2.2252869395317232E-2</v>
      </c>
      <c r="R120" s="52">
        <f t="shared" si="10"/>
        <v>0.94496875000000014</v>
      </c>
    </row>
    <row r="121" spans="2:18" x14ac:dyDescent="0.25">
      <c r="B121" s="57" t="s">
        <v>636</v>
      </c>
      <c r="C121" s="58">
        <v>1.05</v>
      </c>
      <c r="D121" s="58">
        <v>85</v>
      </c>
      <c r="E121" s="58">
        <v>-135.76000000000002</v>
      </c>
      <c r="G121"/>
      <c r="H121"/>
      <c r="I121"/>
      <c r="J121" s="54">
        <f t="shared" si="6"/>
        <v>0</v>
      </c>
      <c r="L121" s="55">
        <f t="shared" si="7"/>
        <v>45743</v>
      </c>
      <c r="M121" s="42">
        <f>SUM($D$7:D121)</f>
        <v>1365</v>
      </c>
      <c r="N121" s="42">
        <f t="shared" si="8"/>
        <v>1335.3200000000002</v>
      </c>
      <c r="O121" s="42">
        <f t="shared" si="9"/>
        <v>26.48</v>
      </c>
      <c r="P121" s="52">
        <f t="shared" si="11"/>
        <v>1.9830452625587872E-2</v>
      </c>
      <c r="Q121" s="52">
        <f>IFERROR((P121+1)^(12/((MAX($J$7:J121)-$J$7)/30.5))-1,0)</f>
        <v>2.0988669881559563E-2</v>
      </c>
      <c r="R121" s="52">
        <f t="shared" si="10"/>
        <v>0.97825641025641041</v>
      </c>
    </row>
    <row r="122" spans="2:18" x14ac:dyDescent="0.25">
      <c r="B122" s="57" t="s">
        <v>637</v>
      </c>
      <c r="C122" s="58">
        <v>0</v>
      </c>
      <c r="D122" s="58"/>
      <c r="E122" s="58">
        <v>-15</v>
      </c>
      <c r="G122"/>
      <c r="H122"/>
      <c r="I122"/>
      <c r="J122" s="54">
        <f t="shared" si="6"/>
        <v>0</v>
      </c>
      <c r="L122" s="55">
        <f t="shared" si="7"/>
        <v>45744</v>
      </c>
      <c r="M122" s="42">
        <f>SUM($D$7:D122)</f>
        <v>1365</v>
      </c>
      <c r="N122" s="42">
        <f t="shared" si="8"/>
        <v>1350.3200000000002</v>
      </c>
      <c r="O122" s="42">
        <f t="shared" si="9"/>
        <v>26.48</v>
      </c>
      <c r="P122" s="52">
        <f t="shared" si="11"/>
        <v>1.9610166479056813E-2</v>
      </c>
      <c r="Q122" s="52">
        <f>IFERROR((P122+1)^(12/((MAX($J$7:J122)-$J$7)/30.5))-1,0)</f>
        <v>2.0755387248985846E-2</v>
      </c>
      <c r="R122" s="52">
        <f t="shared" si="10"/>
        <v>0.98924542124542136</v>
      </c>
    </row>
    <row r="123" spans="2:18" x14ac:dyDescent="0.25">
      <c r="B123" s="57" t="s">
        <v>638</v>
      </c>
      <c r="C123" s="58">
        <v>0.48</v>
      </c>
      <c r="D123" s="58"/>
      <c r="E123" s="58"/>
      <c r="G123"/>
      <c r="H123"/>
      <c r="I123"/>
      <c r="J123" s="54">
        <f t="shared" si="6"/>
        <v>0</v>
      </c>
      <c r="L123" s="55">
        <f t="shared" si="7"/>
        <v>45747</v>
      </c>
      <c r="M123" s="42">
        <f>SUM($D$7:D123)</f>
        <v>1365</v>
      </c>
      <c r="N123" s="42">
        <f t="shared" si="8"/>
        <v>1350.3200000000002</v>
      </c>
      <c r="O123" s="42">
        <f t="shared" si="9"/>
        <v>26.96</v>
      </c>
      <c r="P123" s="52">
        <f t="shared" si="11"/>
        <v>1.9965637774749686E-2</v>
      </c>
      <c r="Q123" s="52">
        <f>IFERROR((P123+1)^(12/((MAX($J$7:J123)-$J$7)/30.5))-1,0)</f>
        <v>2.1131832153378882E-2</v>
      </c>
      <c r="R123" s="52">
        <f t="shared" si="10"/>
        <v>0.98924542124542136</v>
      </c>
    </row>
    <row r="124" spans="2:18" x14ac:dyDescent="0.25">
      <c r="B124" s="57" t="s">
        <v>736</v>
      </c>
      <c r="C124" s="58">
        <v>0.45</v>
      </c>
      <c r="D124" s="58"/>
      <c r="E124" s="58"/>
      <c r="G124"/>
      <c r="H124"/>
      <c r="I124"/>
      <c r="J124" s="54">
        <f t="shared" si="6"/>
        <v>0</v>
      </c>
      <c r="L124" s="55">
        <f t="shared" si="7"/>
        <v>45749</v>
      </c>
      <c r="M124" s="42">
        <f>SUM($D$7:D124)</f>
        <v>1365</v>
      </c>
      <c r="N124" s="42">
        <f t="shared" si="8"/>
        <v>1350.3200000000002</v>
      </c>
      <c r="O124" s="42">
        <f t="shared" si="9"/>
        <v>27.41</v>
      </c>
      <c r="P124" s="52">
        <f t="shared" si="11"/>
        <v>2.0298892114461755E-2</v>
      </c>
      <c r="Q124" s="52">
        <f>IFERROR((P124+1)^(12/((MAX($J$7:J124)-$J$7)/30.5))-1,0)</f>
        <v>2.1484756138795635E-2</v>
      </c>
      <c r="R124" s="52">
        <f t="shared" si="10"/>
        <v>0.98924542124542136</v>
      </c>
    </row>
    <row r="125" spans="2:18" x14ac:dyDescent="0.25">
      <c r="B125" s="57" t="s">
        <v>941</v>
      </c>
      <c r="C125" s="58">
        <v>0.16999999999999998</v>
      </c>
      <c r="D125" s="58"/>
      <c r="E125" s="58"/>
      <c r="G125"/>
      <c r="H125"/>
      <c r="I125"/>
      <c r="J125" s="54">
        <f t="shared" si="6"/>
        <v>0</v>
      </c>
      <c r="L125" s="55">
        <f t="shared" si="7"/>
        <v>45750</v>
      </c>
      <c r="M125" s="42">
        <f>SUM($D$7:D125)</f>
        <v>1365</v>
      </c>
      <c r="N125" s="42">
        <f t="shared" si="8"/>
        <v>1350.3200000000002</v>
      </c>
      <c r="O125" s="42">
        <f t="shared" si="9"/>
        <v>27.580000000000002</v>
      </c>
      <c r="P125" s="52">
        <f t="shared" si="11"/>
        <v>2.0424788198352983E-2</v>
      </c>
      <c r="Q125" s="52">
        <f>IFERROR((P125+1)^(12/((MAX($J$7:J125)-$J$7)/30.5))-1,0)</f>
        <v>2.1618084711937824E-2</v>
      </c>
      <c r="R125" s="52">
        <f t="shared" si="10"/>
        <v>0.98924542124542136</v>
      </c>
    </row>
    <row r="126" spans="2:18" x14ac:dyDescent="0.25">
      <c r="B126" s="57" t="s">
        <v>942</v>
      </c>
      <c r="C126" s="58"/>
      <c r="D126" s="58">
        <v>200</v>
      </c>
      <c r="E126" s="58">
        <v>-169.10999999999999</v>
      </c>
      <c r="G126"/>
      <c r="H126"/>
      <c r="I126"/>
      <c r="J126" s="54">
        <f t="shared" si="6"/>
        <v>0</v>
      </c>
      <c r="L126" s="55">
        <f t="shared" si="7"/>
        <v>45751</v>
      </c>
      <c r="M126" s="42">
        <f>SUM($D$7:D126)</f>
        <v>1565</v>
      </c>
      <c r="N126" s="42">
        <f t="shared" si="8"/>
        <v>1519.43</v>
      </c>
      <c r="O126" s="42">
        <f t="shared" si="9"/>
        <v>27.580000000000002</v>
      </c>
      <c r="P126" s="52">
        <f t="shared" si="11"/>
        <v>1.815154367098188E-2</v>
      </c>
      <c r="Q126" s="52">
        <f>IFERROR((P126+1)^(12/((MAX($J$7:J126)-$J$7)/30.5))-1,0)</f>
        <v>1.92107818604077E-2</v>
      </c>
      <c r="R126" s="52">
        <f t="shared" si="10"/>
        <v>0.97088178913738021</v>
      </c>
    </row>
    <row r="127" spans="2:18" x14ac:dyDescent="0.25">
      <c r="B127" s="57" t="s">
        <v>943</v>
      </c>
      <c r="C127" s="58">
        <v>8.9600000000000009</v>
      </c>
      <c r="D127" s="58"/>
      <c r="E127" s="58">
        <v>-12.350000000000001</v>
      </c>
      <c r="G127"/>
      <c r="H127"/>
      <c r="I127"/>
      <c r="J127" s="54">
        <f t="shared" si="6"/>
        <v>0</v>
      </c>
      <c r="L127" s="55">
        <f t="shared" si="7"/>
        <v>45754</v>
      </c>
      <c r="M127" s="42">
        <f>SUM($D$7:D127)</f>
        <v>1565</v>
      </c>
      <c r="N127" s="42">
        <f t="shared" si="8"/>
        <v>1531.78</v>
      </c>
      <c r="O127" s="42">
        <f t="shared" si="9"/>
        <v>30.240000000000002</v>
      </c>
      <c r="P127" s="52">
        <f t="shared" si="11"/>
        <v>1.9741738369739782E-2</v>
      </c>
      <c r="Q127" s="52">
        <f>IFERROR((P127+1)^(12/((MAX($J$7:J127)-$J$7)/30.5))-1,0)</f>
        <v>2.0894721293995833E-2</v>
      </c>
      <c r="R127" s="52">
        <f t="shared" si="10"/>
        <v>0.97877316293929706</v>
      </c>
    </row>
    <row r="128" spans="2:18" x14ac:dyDescent="0.25">
      <c r="B128" s="57" t="s">
        <v>944</v>
      </c>
      <c r="C128" s="58">
        <v>0</v>
      </c>
      <c r="D128" s="58"/>
      <c r="E128" s="58">
        <v>-19.97</v>
      </c>
      <c r="G128"/>
      <c r="H128"/>
      <c r="I128"/>
      <c r="J128" s="54">
        <f t="shared" si="6"/>
        <v>0</v>
      </c>
      <c r="L128" s="55">
        <f t="shared" si="7"/>
        <v>45755</v>
      </c>
      <c r="M128" s="42">
        <f>SUM($D$7:D128)</f>
        <v>1565</v>
      </c>
      <c r="N128" s="42">
        <f t="shared" si="8"/>
        <v>1551.75</v>
      </c>
      <c r="O128" s="42">
        <f t="shared" si="9"/>
        <v>30.240000000000002</v>
      </c>
      <c r="P128" s="52">
        <f t="shared" si="11"/>
        <v>1.9487675205413245E-2</v>
      </c>
      <c r="Q128" s="52">
        <f>IFERROR((P128+1)^(12/((MAX($J$7:J128)-$J$7)/30.5))-1,0)</f>
        <v>2.0625670471066782E-2</v>
      </c>
      <c r="R128" s="52">
        <f t="shared" si="10"/>
        <v>0.99153354632587865</v>
      </c>
    </row>
    <row r="129" spans="2:18" x14ac:dyDescent="0.25">
      <c r="B129" s="57" t="s">
        <v>945</v>
      </c>
      <c r="C129" s="58">
        <v>-10.85</v>
      </c>
      <c r="D129" s="58"/>
      <c r="E129" s="58"/>
      <c r="G129"/>
      <c r="H129"/>
      <c r="I129"/>
      <c r="J129" s="54">
        <f t="shared" si="6"/>
        <v>0</v>
      </c>
      <c r="L129" s="55">
        <f t="shared" si="7"/>
        <v>45756</v>
      </c>
      <c r="M129" s="42">
        <f>SUM($D$7:D129)</f>
        <v>1565</v>
      </c>
      <c r="N129" s="42">
        <f t="shared" si="8"/>
        <v>1551.75</v>
      </c>
      <c r="O129" s="42">
        <f t="shared" si="9"/>
        <v>30.240000000000002</v>
      </c>
      <c r="P129" s="52">
        <f t="shared" si="11"/>
        <v>1.9487675205413245E-2</v>
      </c>
      <c r="Q129" s="52">
        <f>IFERROR((P129+1)^(12/((MAX($J$7:J129)-$J$7)/30.5))-1,0)</f>
        <v>2.0625670471066782E-2</v>
      </c>
      <c r="R129" s="52">
        <f t="shared" si="10"/>
        <v>0.99153354632587865</v>
      </c>
    </row>
    <row r="130" spans="2:18" x14ac:dyDescent="0.25">
      <c r="B130" s="57" t="s">
        <v>946</v>
      </c>
      <c r="C130" s="58">
        <v>0.38</v>
      </c>
      <c r="D130" s="58"/>
      <c r="E130" s="58"/>
      <c r="G130"/>
      <c r="H130"/>
      <c r="I130"/>
      <c r="J130" s="54">
        <f t="shared" si="6"/>
        <v>0</v>
      </c>
      <c r="L130" s="55">
        <f t="shared" si="7"/>
        <v>45757</v>
      </c>
      <c r="M130" s="42">
        <f>SUM($D$7:D130)</f>
        <v>1565</v>
      </c>
      <c r="N130" s="42">
        <f t="shared" si="8"/>
        <v>1551.75</v>
      </c>
      <c r="O130" s="42">
        <f t="shared" si="9"/>
        <v>30.62</v>
      </c>
      <c r="P130" s="52">
        <f t="shared" si="11"/>
        <v>1.9732560012888676E-2</v>
      </c>
      <c r="Q130" s="52">
        <f>IFERROR((P130+1)^(12/((MAX($J$7:J130)-$J$7)/30.5))-1,0)</f>
        <v>2.0885001421335758E-2</v>
      </c>
      <c r="R130" s="52">
        <f t="shared" si="10"/>
        <v>0.99153354632587865</v>
      </c>
    </row>
    <row r="131" spans="2:18" x14ac:dyDescent="0.25">
      <c r="B131" s="57" t="s">
        <v>947</v>
      </c>
      <c r="C131" s="58">
        <v>-2.08</v>
      </c>
      <c r="D131" s="58"/>
      <c r="E131" s="58"/>
      <c r="G131"/>
      <c r="H131"/>
      <c r="I131"/>
      <c r="J131" s="54">
        <f t="shared" si="6"/>
        <v>0</v>
      </c>
      <c r="L131" s="55">
        <f t="shared" si="7"/>
        <v>45761</v>
      </c>
      <c r="M131" s="42">
        <f>SUM($D$7:D131)</f>
        <v>1565</v>
      </c>
      <c r="N131" s="42">
        <f t="shared" si="8"/>
        <v>1551.75</v>
      </c>
      <c r="O131" s="42">
        <f t="shared" si="9"/>
        <v>30.62</v>
      </c>
      <c r="P131" s="52">
        <f t="shared" si="11"/>
        <v>1.9732560012888676E-2</v>
      </c>
      <c r="Q131" s="52">
        <f>IFERROR((P131+1)^(12/((MAX($J$7:J131)-$J$7)/30.5))-1,0)</f>
        <v>2.0885001421335758E-2</v>
      </c>
      <c r="R131" s="52">
        <f t="shared" si="10"/>
        <v>0.99153354632587865</v>
      </c>
    </row>
    <row r="132" spans="2:18" x14ac:dyDescent="0.25">
      <c r="B132" s="57" t="s">
        <v>948</v>
      </c>
      <c r="C132" s="58">
        <v>-4.0599999999999996</v>
      </c>
      <c r="D132" s="58"/>
      <c r="E132" s="58"/>
      <c r="G132"/>
      <c r="H132"/>
      <c r="I132"/>
      <c r="J132" s="54">
        <f t="shared" si="6"/>
        <v>0</v>
      </c>
      <c r="L132" s="55">
        <f t="shared" si="7"/>
        <v>45762</v>
      </c>
      <c r="M132" s="42">
        <f>SUM($D$7:D132)</f>
        <v>1565</v>
      </c>
      <c r="N132" s="42">
        <f t="shared" si="8"/>
        <v>1551.75</v>
      </c>
      <c r="O132" s="42">
        <f t="shared" si="9"/>
        <v>30.62</v>
      </c>
      <c r="P132" s="52">
        <f t="shared" si="11"/>
        <v>1.9732560012888676E-2</v>
      </c>
      <c r="Q132" s="52">
        <f>IFERROR((P132+1)^(12/((MAX($J$7:J132)-$J$7)/30.5))-1,0)</f>
        <v>2.0885001421335758E-2</v>
      </c>
      <c r="R132" s="52">
        <f t="shared" si="10"/>
        <v>0.99153354632587865</v>
      </c>
    </row>
    <row r="133" spans="2:18" x14ac:dyDescent="0.25">
      <c r="B133" s="57" t="s">
        <v>720</v>
      </c>
      <c r="C133" s="58">
        <v>-0.16999999999999998</v>
      </c>
      <c r="D133" s="58"/>
      <c r="E133" s="58">
        <v>7.02</v>
      </c>
      <c r="G133"/>
      <c r="H133"/>
      <c r="I133"/>
      <c r="J133" s="54">
        <f t="shared" si="6"/>
        <v>0</v>
      </c>
      <c r="L133" s="55">
        <f t="shared" si="7"/>
        <v>45764</v>
      </c>
      <c r="M133" s="42">
        <f>SUM($D$7:D133)</f>
        <v>1565</v>
      </c>
      <c r="N133" s="42">
        <f t="shared" si="8"/>
        <v>1544.73</v>
      </c>
      <c r="O133" s="42">
        <f t="shared" si="9"/>
        <v>30.45</v>
      </c>
      <c r="P133" s="52">
        <f t="shared" si="11"/>
        <v>1.9712182711541824E-2</v>
      </c>
      <c r="Q133" s="52">
        <f>IFERROR((P133+1)^(12/((MAX($J$7:J133)-$J$7)/30.5))-1,0)</f>
        <v>2.0863421893372536E-2</v>
      </c>
      <c r="R133" s="52">
        <f t="shared" si="10"/>
        <v>0.98704792332268376</v>
      </c>
    </row>
    <row r="134" spans="2:18" x14ac:dyDescent="0.25">
      <c r="B134" s="57" t="s">
        <v>721</v>
      </c>
      <c r="C134" s="58">
        <v>0</v>
      </c>
      <c r="D134" s="58"/>
      <c r="E134" s="58"/>
      <c r="G134"/>
      <c r="H134"/>
      <c r="I134"/>
      <c r="J134" s="54">
        <f t="shared" si="6"/>
        <v>0</v>
      </c>
      <c r="L134" s="55">
        <f t="shared" si="7"/>
        <v>45765</v>
      </c>
      <c r="M134" s="42">
        <f>SUM($D$7:D134)</f>
        <v>1565</v>
      </c>
      <c r="N134" s="42">
        <f t="shared" si="8"/>
        <v>1544.73</v>
      </c>
      <c r="O134" s="42">
        <f t="shared" si="9"/>
        <v>30.45</v>
      </c>
      <c r="P134" s="52">
        <f t="shared" si="11"/>
        <v>1.9712182711541824E-2</v>
      </c>
      <c r="Q134" s="52">
        <f>IFERROR((P134+1)^(12/((MAX($J$7:J134)-$J$7)/30.5))-1,0)</f>
        <v>2.0863421893372536E-2</v>
      </c>
      <c r="R134" s="52">
        <f t="shared" si="10"/>
        <v>0.98704792332268376</v>
      </c>
    </row>
    <row r="135" spans="2:18" x14ac:dyDescent="0.25">
      <c r="B135" s="57" t="s">
        <v>949</v>
      </c>
      <c r="C135" s="58">
        <v>0.51</v>
      </c>
      <c r="D135" s="58"/>
      <c r="E135" s="58"/>
      <c r="G135"/>
      <c r="H135"/>
      <c r="I135"/>
      <c r="J135" s="54">
        <f t="shared" ref="J135:J138" si="12">VALUE(G135)</f>
        <v>0</v>
      </c>
      <c r="L135" s="55">
        <f t="shared" ref="L135:L138" si="13">VALUE(B135)</f>
        <v>45768</v>
      </c>
      <c r="M135" s="42">
        <f>SUM($D$7:D135)</f>
        <v>1565</v>
      </c>
      <c r="N135" s="42">
        <f t="shared" ref="N135:N138" si="14">-SUMIFS(I:I,J:J,"&lt;="&amp;L135)</f>
        <v>1544.73</v>
      </c>
      <c r="O135" s="42">
        <f t="shared" ref="O135:O138" si="15">SUMIFS(H:H,J:J,"&lt;="&amp;L135)</f>
        <v>30.45</v>
      </c>
      <c r="P135" s="52">
        <f t="shared" si="11"/>
        <v>1.9712182711541824E-2</v>
      </c>
      <c r="Q135" s="52">
        <f>IFERROR((P135+1)^(12/((MAX($J$7:J135)-$J$7)/30.5))-1,0)</f>
        <v>2.0863421893372536E-2</v>
      </c>
      <c r="R135" s="52">
        <f t="shared" ref="R135:R138" si="16">N135/M135</f>
        <v>0.98704792332268376</v>
      </c>
    </row>
    <row r="136" spans="2:18" x14ac:dyDescent="0.25">
      <c r="B136" s="57" t="s">
        <v>737</v>
      </c>
      <c r="C136" s="58">
        <v>-2.6</v>
      </c>
      <c r="D136" s="58"/>
      <c r="E136" s="58"/>
      <c r="G136"/>
      <c r="H136"/>
      <c r="I136"/>
      <c r="J136" s="54">
        <f t="shared" si="12"/>
        <v>0</v>
      </c>
      <c r="L136" s="55">
        <f t="shared" si="13"/>
        <v>45769</v>
      </c>
      <c r="M136" s="42">
        <f>SUM($D$7:D136)</f>
        <v>1565</v>
      </c>
      <c r="N136" s="42">
        <f t="shared" si="14"/>
        <v>1544.73</v>
      </c>
      <c r="O136" s="42">
        <f t="shared" si="15"/>
        <v>30.64</v>
      </c>
      <c r="P136" s="52">
        <f t="shared" ref="P136:P138" si="17">IFERROR(O136/N136,0)</f>
        <v>1.9835181552763266E-2</v>
      </c>
      <c r="Q136" s="52">
        <f>IFERROR((P136+1)^(12/((MAX($J$7:J136)-$J$7)/30.5))-1,0)</f>
        <v>2.0993677838861524E-2</v>
      </c>
      <c r="R136" s="52">
        <f t="shared" si="16"/>
        <v>0.98704792332268376</v>
      </c>
    </row>
    <row r="137" spans="2:18" x14ac:dyDescent="0.25">
      <c r="B137" s="57" t="s">
        <v>738</v>
      </c>
      <c r="C137" s="58">
        <v>1.24</v>
      </c>
      <c r="D137" s="58"/>
      <c r="E137" s="58">
        <v>-10</v>
      </c>
      <c r="G137"/>
      <c r="H137"/>
      <c r="I137"/>
      <c r="J137" s="54">
        <f t="shared" si="12"/>
        <v>0</v>
      </c>
      <c r="L137" s="55">
        <f t="shared" si="13"/>
        <v>45777</v>
      </c>
      <c r="M137" s="42">
        <f>SUM($D$7:D137)</f>
        <v>1565</v>
      </c>
      <c r="N137" s="42">
        <f t="shared" si="14"/>
        <v>1554.73</v>
      </c>
      <c r="O137" s="42">
        <f t="shared" si="15"/>
        <v>31.88</v>
      </c>
      <c r="P137" s="52">
        <f t="shared" si="17"/>
        <v>2.0505168099927317E-2</v>
      </c>
      <c r="Q137" s="52">
        <f>IFERROR((P137+1)^(12/((MAX($J$7:J137)-$J$7)/30.5))-1,0)</f>
        <v>2.1703210474937951E-2</v>
      </c>
      <c r="R137" s="52">
        <f t="shared" si="16"/>
        <v>0.99343769968051121</v>
      </c>
    </row>
    <row r="138" spans="2:18" x14ac:dyDescent="0.25">
      <c r="B138" s="57" t="s">
        <v>950</v>
      </c>
      <c r="C138" s="58">
        <v>7.5499999999999989</v>
      </c>
      <c r="D138" s="58"/>
      <c r="E138" s="58">
        <v>92.47</v>
      </c>
      <c r="G138"/>
      <c r="H138"/>
      <c r="I138"/>
      <c r="J138" s="54">
        <f t="shared" si="12"/>
        <v>0</v>
      </c>
      <c r="L138" s="55">
        <f t="shared" si="13"/>
        <v>45782</v>
      </c>
      <c r="M138" s="42">
        <f>SUM($D$7:D138)</f>
        <v>1565</v>
      </c>
      <c r="N138" s="42">
        <f t="shared" si="14"/>
        <v>1462.26</v>
      </c>
      <c r="O138" s="42">
        <f t="shared" si="15"/>
        <v>39.43</v>
      </c>
      <c r="P138" s="52">
        <f t="shared" si="17"/>
        <v>2.6965108804179832E-2</v>
      </c>
      <c r="Q138" s="52">
        <f>IFERROR((P138+1)^(12/((MAX($J$7:J138)-$J$7)/30.5))-1,0)</f>
        <v>2.8545829462705452E-2</v>
      </c>
      <c r="R138" s="52">
        <f t="shared" si="16"/>
        <v>0.93435143769968054</v>
      </c>
    </row>
    <row r="139" spans="2:18" x14ac:dyDescent="0.25">
      <c r="B139" s="57" t="s">
        <v>951</v>
      </c>
      <c r="C139" s="58"/>
      <c r="D139" s="58"/>
      <c r="E139" s="58">
        <v>-50.990000000000009</v>
      </c>
      <c r="G139"/>
      <c r="H139"/>
      <c r="I139"/>
      <c r="L139" s="55">
        <f t="shared" ref="L139:L145" si="18">VALUE(B139)</f>
        <v>45783</v>
      </c>
      <c r="M139" s="42">
        <f>SUM($D$7:D139)</f>
        <v>1565</v>
      </c>
      <c r="N139" s="42">
        <f t="shared" ref="N139:N145" si="19">-SUMIFS(I:I,J:J,"&lt;="&amp;L139)</f>
        <v>1513.25</v>
      </c>
      <c r="O139" s="42">
        <f t="shared" ref="O139:O145" si="20">SUMIFS(H:H,J:J,"&lt;="&amp;L139)</f>
        <v>39.43</v>
      </c>
      <c r="P139" s="52">
        <f t="shared" ref="P139:P145" si="21">IFERROR(O139/N139,0)</f>
        <v>2.6056500908640343E-2</v>
      </c>
      <c r="Q139" s="52">
        <f>IFERROR((P139+1)^(12/((MAX($J$7:J139)-$J$7)/30.5))-1,0)</f>
        <v>2.7583246117028892E-2</v>
      </c>
      <c r="R139" s="52">
        <f t="shared" ref="R139:R145" si="22">N139/M139</f>
        <v>0.96693290734824278</v>
      </c>
    </row>
    <row r="140" spans="2:18" x14ac:dyDescent="0.25">
      <c r="B140" s="57" t="s">
        <v>952</v>
      </c>
      <c r="C140" s="58">
        <v>-1.9999999999999907E-2</v>
      </c>
      <c r="D140" s="58"/>
      <c r="E140" s="58">
        <v>26.36</v>
      </c>
      <c r="G140"/>
      <c r="H140"/>
      <c r="I140"/>
      <c r="L140" s="55">
        <f t="shared" si="18"/>
        <v>45784</v>
      </c>
      <c r="M140" s="42">
        <f>SUM($D$7:D140)</f>
        <v>1565</v>
      </c>
      <c r="N140" s="42">
        <f t="shared" si="19"/>
        <v>1486.89</v>
      </c>
      <c r="O140" s="42">
        <f t="shared" si="20"/>
        <v>39.409999999999997</v>
      </c>
      <c r="P140" s="52">
        <f t="shared" si="21"/>
        <v>2.6504986919005435E-2</v>
      </c>
      <c r="Q140" s="52">
        <f>IFERROR((P140+1)^(12/((MAX($J$7:J140)-$J$7)/30.5))-1,0)</f>
        <v>2.8058368085227325E-2</v>
      </c>
      <c r="R140" s="52">
        <f t="shared" si="22"/>
        <v>0.9500894568690097</v>
      </c>
    </row>
    <row r="141" spans="2:18" x14ac:dyDescent="0.25">
      <c r="B141" s="57" t="s">
        <v>953</v>
      </c>
      <c r="C141" s="58">
        <v>5.64</v>
      </c>
      <c r="D141" s="58"/>
      <c r="E141" s="58">
        <v>11.839999999999998</v>
      </c>
      <c r="G141"/>
      <c r="H141"/>
      <c r="I141"/>
      <c r="L141" s="55">
        <f t="shared" si="18"/>
        <v>45785</v>
      </c>
      <c r="M141" s="42">
        <f>SUM($D$7:D141)</f>
        <v>1565</v>
      </c>
      <c r="N141" s="42">
        <f t="shared" si="19"/>
        <v>1475.0500000000002</v>
      </c>
      <c r="O141" s="42">
        <f t="shared" si="20"/>
        <v>45.05</v>
      </c>
      <c r="P141" s="52">
        <f t="shared" si="21"/>
        <v>3.0541337581776882E-2</v>
      </c>
      <c r="Q141" s="52">
        <f>IFERROR((P141+1)^(12/((MAX($J$7:J141)-$J$7)/30.5))-1,0)</f>
        <v>3.2334980343448727E-2</v>
      </c>
      <c r="R141" s="52">
        <f t="shared" si="22"/>
        <v>0.942523961661342</v>
      </c>
    </row>
    <row r="142" spans="2:18" x14ac:dyDescent="0.25">
      <c r="B142" s="57" t="s">
        <v>954</v>
      </c>
      <c r="C142" s="58">
        <v>2.92</v>
      </c>
      <c r="D142" s="58"/>
      <c r="E142" s="58"/>
      <c r="G142"/>
      <c r="H142"/>
      <c r="I142"/>
      <c r="L142" s="55">
        <f t="shared" si="18"/>
        <v>45786</v>
      </c>
      <c r="M142" s="42">
        <f>SUM($D$7:D142)</f>
        <v>1565</v>
      </c>
      <c r="N142" s="42">
        <f t="shared" si="19"/>
        <v>1475.0500000000002</v>
      </c>
      <c r="O142" s="42">
        <f t="shared" si="20"/>
        <v>47.97</v>
      </c>
      <c r="P142" s="52">
        <f t="shared" si="21"/>
        <v>3.252093149384766E-2</v>
      </c>
      <c r="Q142" s="52">
        <f>IFERROR((P142+1)^(12/((MAX($J$7:J142)-$J$7)/30.5))-1,0)</f>
        <v>3.4432762652262028E-2</v>
      </c>
      <c r="R142" s="52">
        <f t="shared" si="22"/>
        <v>0.942523961661342</v>
      </c>
    </row>
    <row r="143" spans="2:18" x14ac:dyDescent="0.25">
      <c r="B143" s="57" t="s">
        <v>955</v>
      </c>
      <c r="C143" s="58"/>
      <c r="D143" s="58"/>
      <c r="E143" s="58">
        <v>-29.99</v>
      </c>
      <c r="G143"/>
      <c r="H143"/>
      <c r="I143"/>
      <c r="L143" s="55">
        <f t="shared" si="18"/>
        <v>45789</v>
      </c>
      <c r="M143" s="42">
        <f>SUM($D$7:D143)</f>
        <v>1565</v>
      </c>
      <c r="N143" s="42">
        <f t="shared" si="19"/>
        <v>1505.0400000000002</v>
      </c>
      <c r="O143" s="42">
        <f t="shared" si="20"/>
        <v>47.97</v>
      </c>
      <c r="P143" s="52">
        <f t="shared" si="21"/>
        <v>3.187290703237123E-2</v>
      </c>
      <c r="Q143" s="52">
        <f>IFERROR((P143+1)^(12/((MAX($J$7:J143)-$J$7)/30.5))-1,0)</f>
        <v>3.3746023339299658E-2</v>
      </c>
      <c r="R143" s="52">
        <f t="shared" si="22"/>
        <v>0.96168690095846654</v>
      </c>
    </row>
    <row r="144" spans="2:18" x14ac:dyDescent="0.25">
      <c r="B144" s="57" t="s">
        <v>956</v>
      </c>
      <c r="C144" s="58">
        <v>8.2799999999999994</v>
      </c>
      <c r="D144" s="58"/>
      <c r="E144" s="58">
        <v>60.63</v>
      </c>
      <c r="G144"/>
      <c r="H144"/>
      <c r="I144"/>
      <c r="L144" s="55">
        <f t="shared" si="18"/>
        <v>45791</v>
      </c>
      <c r="M144" s="42">
        <f>SUM($D$7:D144)</f>
        <v>1565</v>
      </c>
      <c r="N144" s="42">
        <f t="shared" si="19"/>
        <v>1444.41</v>
      </c>
      <c r="O144" s="42">
        <f t="shared" si="20"/>
        <v>56.25</v>
      </c>
      <c r="P144" s="52">
        <f t="shared" si="21"/>
        <v>3.8943236338712689E-2</v>
      </c>
      <c r="Q144" s="52">
        <f>IFERROR((P144+1)^(12/((MAX($J$7:J144)-$J$7)/30.5))-1,0)</f>
        <v>4.1240099153091458E-2</v>
      </c>
      <c r="R144" s="52">
        <f t="shared" si="22"/>
        <v>0.92294568690095857</v>
      </c>
    </row>
    <row r="145" spans="2:18" x14ac:dyDescent="0.25">
      <c r="B145" s="57" t="s">
        <v>957</v>
      </c>
      <c r="C145" s="58">
        <v>6.3000000000000007</v>
      </c>
      <c r="D145" s="58"/>
      <c r="E145" s="58">
        <v>-56.069999999999993</v>
      </c>
      <c r="G145"/>
      <c r="H145"/>
      <c r="I145"/>
      <c r="L145" s="55">
        <f t="shared" si="18"/>
        <v>45792</v>
      </c>
      <c r="M145" s="42">
        <f>SUM($D$7:D145)</f>
        <v>1565</v>
      </c>
      <c r="N145" s="42">
        <f t="shared" si="19"/>
        <v>1490.48</v>
      </c>
      <c r="O145" s="42">
        <f t="shared" si="20"/>
        <v>62.55</v>
      </c>
      <c r="P145" s="52">
        <f t="shared" si="21"/>
        <v>4.1966346411894152E-2</v>
      </c>
      <c r="Q145" s="52">
        <f>IFERROR((P145+1)^(12/((MAX($J$7:J145)-$J$7)/30.5))-1,0)</f>
        <v>4.4445294474924513E-2</v>
      </c>
      <c r="R145" s="52">
        <f t="shared" si="22"/>
        <v>0.9523833865814697</v>
      </c>
    </row>
    <row r="146" spans="2:18" x14ac:dyDescent="0.25">
      <c r="B146"/>
      <c r="C146"/>
      <c r="D146"/>
      <c r="E146"/>
      <c r="G146"/>
      <c r="H146"/>
      <c r="I146"/>
      <c r="L146" s="55"/>
      <c r="M146" s="42"/>
      <c r="N146" s="42"/>
      <c r="O146" s="42"/>
      <c r="R146" s="52"/>
    </row>
    <row r="147" spans="2:18" x14ac:dyDescent="0.25">
      <c r="B147"/>
      <c r="C147"/>
      <c r="D147"/>
      <c r="E147"/>
      <c r="G147"/>
      <c r="H147"/>
      <c r="I147"/>
    </row>
    <row r="148" spans="2:18" x14ac:dyDescent="0.25">
      <c r="B148"/>
      <c r="C148"/>
      <c r="D148"/>
      <c r="E148"/>
      <c r="G148"/>
      <c r="H148"/>
      <c r="I148"/>
    </row>
    <row r="149" spans="2:18" x14ac:dyDescent="0.25">
      <c r="B149"/>
      <c r="C149"/>
      <c r="D149"/>
      <c r="E149"/>
      <c r="G149"/>
      <c r="H149"/>
      <c r="I149"/>
    </row>
    <row r="150" spans="2:18" x14ac:dyDescent="0.25">
      <c r="B150"/>
      <c r="C150"/>
      <c r="D150"/>
      <c r="E150"/>
      <c r="G150"/>
      <c r="H150"/>
      <c r="I150"/>
    </row>
    <row r="151" spans="2:18" x14ac:dyDescent="0.25">
      <c r="B151"/>
      <c r="C151"/>
      <c r="D151"/>
      <c r="E151"/>
      <c r="G151"/>
      <c r="H151"/>
      <c r="I151"/>
    </row>
    <row r="152" spans="2:18" x14ac:dyDescent="0.25">
      <c r="B152"/>
      <c r="C152"/>
      <c r="D152"/>
      <c r="E152"/>
      <c r="G152"/>
      <c r="H152"/>
      <c r="I152"/>
    </row>
    <row r="153" spans="2:18" x14ac:dyDescent="0.25">
      <c r="B153"/>
      <c r="C153"/>
      <c r="D153"/>
      <c r="E153"/>
      <c r="G153"/>
      <c r="H153"/>
      <c r="I153"/>
    </row>
    <row r="154" spans="2:18" x14ac:dyDescent="0.25">
      <c r="B154"/>
      <c r="C154"/>
      <c r="D154"/>
      <c r="E154"/>
      <c r="G154"/>
      <c r="H154"/>
      <c r="I154"/>
    </row>
    <row r="155" spans="2:18" x14ac:dyDescent="0.25">
      <c r="B155"/>
      <c r="C155"/>
      <c r="D155"/>
      <c r="E155"/>
      <c r="G155"/>
      <c r="H155"/>
      <c r="I155"/>
    </row>
    <row r="156" spans="2:18" x14ac:dyDescent="0.25">
      <c r="B156"/>
      <c r="C156"/>
      <c r="D156"/>
      <c r="E156"/>
      <c r="G156"/>
      <c r="H156"/>
      <c r="I156"/>
    </row>
    <row r="157" spans="2:18" x14ac:dyDescent="0.25">
      <c r="B157"/>
      <c r="C157"/>
      <c r="D157"/>
      <c r="E157"/>
      <c r="G157"/>
      <c r="H157"/>
      <c r="I157"/>
    </row>
    <row r="158" spans="2:18" x14ac:dyDescent="0.25">
      <c r="B158"/>
      <c r="C158"/>
      <c r="D158"/>
      <c r="E158"/>
      <c r="G158"/>
      <c r="H158"/>
      <c r="I158"/>
    </row>
    <row r="159" spans="2:18" x14ac:dyDescent="0.25">
      <c r="B159"/>
      <c r="C159"/>
      <c r="D159"/>
      <c r="E159"/>
      <c r="G159"/>
      <c r="H159"/>
      <c r="I159"/>
    </row>
    <row r="160" spans="2:18" x14ac:dyDescent="0.25">
      <c r="B160"/>
      <c r="C160"/>
      <c r="D160"/>
      <c r="E160"/>
      <c r="G160"/>
      <c r="H160"/>
      <c r="I160"/>
    </row>
    <row r="161" spans="2:9" x14ac:dyDescent="0.25">
      <c r="B161"/>
      <c r="C161"/>
      <c r="D161"/>
      <c r="E161"/>
      <c r="G161"/>
      <c r="H161"/>
      <c r="I161"/>
    </row>
    <row r="162" spans="2:9" x14ac:dyDescent="0.25">
      <c r="B162"/>
      <c r="C162"/>
      <c r="D162"/>
      <c r="E162"/>
      <c r="G162"/>
      <c r="H162"/>
      <c r="I162"/>
    </row>
    <row r="163" spans="2:9" x14ac:dyDescent="0.25">
      <c r="B163"/>
      <c r="C163"/>
      <c r="D163"/>
      <c r="E163"/>
      <c r="G163"/>
      <c r="H163"/>
      <c r="I163"/>
    </row>
    <row r="164" spans="2:9" x14ac:dyDescent="0.25">
      <c r="B164"/>
      <c r="C164"/>
      <c r="D164"/>
      <c r="E164"/>
      <c r="G164"/>
      <c r="H164"/>
      <c r="I164"/>
    </row>
    <row r="165" spans="2:9" x14ac:dyDescent="0.25">
      <c r="B165"/>
      <c r="C165"/>
      <c r="D165"/>
      <c r="E165"/>
      <c r="G165"/>
      <c r="H165"/>
      <c r="I165"/>
    </row>
    <row r="166" spans="2:9" x14ac:dyDescent="0.25">
      <c r="B166"/>
      <c r="C166"/>
      <c r="D166"/>
      <c r="E166"/>
      <c r="G166"/>
      <c r="H166"/>
      <c r="I166"/>
    </row>
    <row r="167" spans="2:9" x14ac:dyDescent="0.25">
      <c r="B167"/>
      <c r="C167"/>
      <c r="D167"/>
      <c r="E167"/>
      <c r="G167"/>
      <c r="H167"/>
      <c r="I167"/>
    </row>
    <row r="168" spans="2:9" x14ac:dyDescent="0.25">
      <c r="B168"/>
      <c r="C168"/>
      <c r="D168"/>
      <c r="E168"/>
      <c r="G168"/>
      <c r="H168"/>
      <c r="I168"/>
    </row>
    <row r="169" spans="2:9" x14ac:dyDescent="0.25">
      <c r="B169"/>
      <c r="C169"/>
      <c r="D169"/>
      <c r="E169"/>
      <c r="G169"/>
      <c r="H169"/>
      <c r="I169"/>
    </row>
    <row r="170" spans="2:9" x14ac:dyDescent="0.25">
      <c r="B170"/>
      <c r="C170"/>
      <c r="D170"/>
      <c r="E170"/>
      <c r="G170"/>
      <c r="H170"/>
      <c r="I170"/>
    </row>
    <row r="171" spans="2:9" x14ac:dyDescent="0.25">
      <c r="B171"/>
      <c r="C171"/>
      <c r="D171"/>
      <c r="E171"/>
      <c r="G171"/>
      <c r="H171"/>
      <c r="I171"/>
    </row>
    <row r="172" spans="2:9" x14ac:dyDescent="0.25">
      <c r="B172"/>
      <c r="C172"/>
      <c r="D172"/>
      <c r="E172"/>
      <c r="G172"/>
      <c r="H172"/>
      <c r="I172"/>
    </row>
    <row r="173" spans="2:9" x14ac:dyDescent="0.25">
      <c r="B173"/>
      <c r="C173"/>
      <c r="D173"/>
      <c r="E173"/>
      <c r="G173"/>
      <c r="H173"/>
      <c r="I173"/>
    </row>
    <row r="174" spans="2:9" x14ac:dyDescent="0.25">
      <c r="B174"/>
      <c r="C174"/>
      <c r="D174"/>
      <c r="E174"/>
      <c r="G174"/>
      <c r="H174"/>
      <c r="I174"/>
    </row>
    <row r="175" spans="2:9" x14ac:dyDescent="0.25">
      <c r="B175"/>
      <c r="C175"/>
      <c r="D175"/>
      <c r="E175"/>
      <c r="G175"/>
      <c r="H175"/>
      <c r="I175"/>
    </row>
    <row r="176" spans="2:9" x14ac:dyDescent="0.25">
      <c r="B176"/>
      <c r="C176"/>
      <c r="D176"/>
      <c r="E176"/>
      <c r="G176"/>
      <c r="H176"/>
      <c r="I176"/>
    </row>
    <row r="177" spans="2:9" x14ac:dyDescent="0.25">
      <c r="B177"/>
      <c r="C177"/>
      <c r="D177"/>
      <c r="E177"/>
      <c r="G177"/>
      <c r="H177"/>
      <c r="I177"/>
    </row>
    <row r="178" spans="2:9" x14ac:dyDescent="0.25">
      <c r="B178"/>
      <c r="C178"/>
      <c r="D178"/>
      <c r="E178"/>
      <c r="G178"/>
      <c r="H178"/>
      <c r="I178"/>
    </row>
    <row r="179" spans="2:9" x14ac:dyDescent="0.25">
      <c r="B179"/>
      <c r="C179"/>
      <c r="D179"/>
      <c r="E179"/>
      <c r="G179"/>
      <c r="H179"/>
      <c r="I179"/>
    </row>
    <row r="180" spans="2:9" x14ac:dyDescent="0.25">
      <c r="B180"/>
      <c r="C180"/>
      <c r="D180"/>
      <c r="E180"/>
      <c r="G180"/>
      <c r="H180"/>
      <c r="I180"/>
    </row>
    <row r="181" spans="2:9" x14ac:dyDescent="0.25">
      <c r="B181"/>
      <c r="C181"/>
      <c r="D181"/>
      <c r="E181"/>
      <c r="G181"/>
      <c r="H181"/>
      <c r="I181"/>
    </row>
    <row r="182" spans="2:9" x14ac:dyDescent="0.25">
      <c r="B182"/>
      <c r="C182"/>
      <c r="D182"/>
      <c r="E182"/>
      <c r="G182"/>
      <c r="H182"/>
      <c r="I182"/>
    </row>
    <row r="183" spans="2:9" x14ac:dyDescent="0.25">
      <c r="B183"/>
      <c r="C183"/>
      <c r="D183"/>
      <c r="E183"/>
      <c r="G183"/>
      <c r="H183"/>
      <c r="I183"/>
    </row>
    <row r="184" spans="2:9" x14ac:dyDescent="0.25">
      <c r="B184"/>
      <c r="C184"/>
      <c r="D184"/>
      <c r="E184"/>
      <c r="G184"/>
      <c r="H184"/>
      <c r="I184"/>
    </row>
    <row r="185" spans="2:9" x14ac:dyDescent="0.25">
      <c r="B185"/>
      <c r="C185"/>
      <c r="D185"/>
      <c r="E185"/>
      <c r="G185"/>
      <c r="H185"/>
      <c r="I185"/>
    </row>
    <row r="186" spans="2:9" x14ac:dyDescent="0.25">
      <c r="B186"/>
      <c r="C186"/>
      <c r="D186"/>
      <c r="E186"/>
      <c r="G186"/>
      <c r="H186"/>
      <c r="I186"/>
    </row>
    <row r="187" spans="2:9" x14ac:dyDescent="0.25">
      <c r="B187"/>
      <c r="C187"/>
      <c r="D187"/>
      <c r="E187"/>
      <c r="G187"/>
      <c r="H187"/>
      <c r="I187"/>
    </row>
    <row r="188" spans="2:9" x14ac:dyDescent="0.25">
      <c r="B188"/>
      <c r="C188"/>
      <c r="D188"/>
      <c r="E188"/>
      <c r="G188"/>
      <c r="H188"/>
      <c r="I188"/>
    </row>
    <row r="189" spans="2:9" x14ac:dyDescent="0.25">
      <c r="B189"/>
      <c r="C189"/>
      <c r="D189"/>
      <c r="E189"/>
      <c r="G189"/>
      <c r="H189"/>
      <c r="I189"/>
    </row>
    <row r="190" spans="2:9" x14ac:dyDescent="0.25">
      <c r="B190"/>
      <c r="C190"/>
      <c r="D190"/>
      <c r="E190"/>
      <c r="G190"/>
      <c r="H190"/>
      <c r="I190"/>
    </row>
    <row r="191" spans="2:9" x14ac:dyDescent="0.25">
      <c r="B191"/>
      <c r="C191"/>
      <c r="D191"/>
      <c r="E191"/>
      <c r="G191"/>
      <c r="H191"/>
      <c r="I191"/>
    </row>
    <row r="192" spans="2:9" x14ac:dyDescent="0.25">
      <c r="B192"/>
      <c r="C192"/>
      <c r="D192"/>
      <c r="E192"/>
      <c r="G192"/>
      <c r="H192"/>
      <c r="I192"/>
    </row>
    <row r="193" spans="2:9" x14ac:dyDescent="0.25">
      <c r="B193"/>
      <c r="C193"/>
      <c r="D193"/>
      <c r="E193"/>
      <c r="G193"/>
      <c r="H193"/>
      <c r="I193"/>
    </row>
    <row r="194" spans="2:9" x14ac:dyDescent="0.25">
      <c r="B194"/>
      <c r="C194"/>
      <c r="D194"/>
      <c r="E194"/>
      <c r="G194"/>
      <c r="H194"/>
      <c r="I194"/>
    </row>
    <row r="195" spans="2:9" x14ac:dyDescent="0.25">
      <c r="B195"/>
      <c r="C195"/>
      <c r="D195"/>
      <c r="E195"/>
      <c r="G195"/>
      <c r="H195"/>
      <c r="I195"/>
    </row>
    <row r="196" spans="2:9" x14ac:dyDescent="0.25">
      <c r="B196"/>
      <c r="C196"/>
      <c r="D196"/>
      <c r="E196"/>
      <c r="G196"/>
      <c r="H196"/>
      <c r="I196"/>
    </row>
    <row r="197" spans="2:9" x14ac:dyDescent="0.25">
      <c r="B197"/>
      <c r="C197"/>
      <c r="D197"/>
      <c r="E197"/>
      <c r="G197"/>
      <c r="H197"/>
      <c r="I197"/>
    </row>
    <row r="198" spans="2:9" x14ac:dyDescent="0.25">
      <c r="B198"/>
      <c r="C198"/>
      <c r="D198"/>
      <c r="E198"/>
      <c r="G198"/>
      <c r="H198"/>
      <c r="I198"/>
    </row>
    <row r="199" spans="2:9" x14ac:dyDescent="0.25">
      <c r="B199"/>
      <c r="C199"/>
      <c r="D199"/>
      <c r="E199"/>
      <c r="G199"/>
      <c r="H199"/>
      <c r="I199"/>
    </row>
    <row r="200" spans="2:9" x14ac:dyDescent="0.25">
      <c r="B200"/>
      <c r="C200"/>
      <c r="D200"/>
      <c r="E200"/>
      <c r="G200"/>
      <c r="H200"/>
      <c r="I200"/>
    </row>
    <row r="201" spans="2:9" x14ac:dyDescent="0.25">
      <c r="B201"/>
      <c r="C201"/>
      <c r="D201"/>
      <c r="E201"/>
      <c r="G201"/>
      <c r="H201"/>
      <c r="I201"/>
    </row>
    <row r="202" spans="2:9" x14ac:dyDescent="0.25">
      <c r="B202"/>
      <c r="C202"/>
      <c r="D202"/>
      <c r="E202"/>
      <c r="G202"/>
      <c r="H202"/>
      <c r="I202"/>
    </row>
    <row r="203" spans="2:9" x14ac:dyDescent="0.25">
      <c r="B203"/>
      <c r="C203"/>
      <c r="D203"/>
      <c r="E203"/>
      <c r="G203"/>
      <c r="H203"/>
      <c r="I203"/>
    </row>
    <row r="204" spans="2:9" x14ac:dyDescent="0.25">
      <c r="B204"/>
      <c r="C204"/>
      <c r="D204"/>
      <c r="E204"/>
      <c r="G204"/>
      <c r="H204"/>
      <c r="I204"/>
    </row>
    <row r="205" spans="2:9" x14ac:dyDescent="0.25">
      <c r="B205"/>
      <c r="C205"/>
      <c r="D205"/>
      <c r="E205"/>
      <c r="G205"/>
      <c r="H205"/>
      <c r="I205"/>
    </row>
    <row r="206" spans="2:9" x14ac:dyDescent="0.25">
      <c r="B206"/>
      <c r="C206"/>
      <c r="D206"/>
      <c r="E206"/>
      <c r="G206"/>
      <c r="H206"/>
      <c r="I206"/>
    </row>
    <row r="207" spans="2:9" x14ac:dyDescent="0.25">
      <c r="B207"/>
      <c r="C207"/>
      <c r="D207"/>
      <c r="E207"/>
      <c r="G207"/>
      <c r="H207"/>
      <c r="I207"/>
    </row>
    <row r="208" spans="2:9" x14ac:dyDescent="0.25">
      <c r="B208"/>
      <c r="C208"/>
      <c r="D208"/>
      <c r="E208"/>
      <c r="G208"/>
      <c r="H208"/>
      <c r="I208"/>
    </row>
    <row r="209" spans="2:9" x14ac:dyDescent="0.25">
      <c r="B209"/>
      <c r="C209"/>
      <c r="D209"/>
      <c r="E209"/>
      <c r="G209"/>
      <c r="H209"/>
      <c r="I209"/>
    </row>
    <row r="210" spans="2:9" x14ac:dyDescent="0.25">
      <c r="B210"/>
      <c r="C210"/>
      <c r="D210"/>
      <c r="E210"/>
      <c r="G210"/>
      <c r="H210"/>
      <c r="I210"/>
    </row>
    <row r="211" spans="2:9" x14ac:dyDescent="0.25">
      <c r="B211"/>
      <c r="C211"/>
      <c r="D211"/>
      <c r="E211"/>
      <c r="G211"/>
      <c r="H211"/>
      <c r="I211"/>
    </row>
    <row r="212" spans="2:9" x14ac:dyDescent="0.25">
      <c r="B212"/>
      <c r="C212"/>
      <c r="D212"/>
      <c r="E212"/>
      <c r="G212"/>
      <c r="H212"/>
      <c r="I212"/>
    </row>
    <row r="213" spans="2:9" x14ac:dyDescent="0.25">
      <c r="B213"/>
      <c r="C213"/>
      <c r="D213"/>
      <c r="E213"/>
      <c r="G213"/>
      <c r="H213"/>
      <c r="I213"/>
    </row>
    <row r="214" spans="2:9" x14ac:dyDescent="0.25">
      <c r="B214"/>
      <c r="C214"/>
      <c r="D214"/>
      <c r="E214"/>
      <c r="G214"/>
      <c r="H214"/>
      <c r="I214"/>
    </row>
    <row r="215" spans="2:9" x14ac:dyDescent="0.25">
      <c r="B215"/>
      <c r="C215"/>
      <c r="D215"/>
      <c r="E215"/>
      <c r="G215"/>
      <c r="H215"/>
      <c r="I215"/>
    </row>
    <row r="216" spans="2:9" x14ac:dyDescent="0.25">
      <c r="B216"/>
      <c r="C216"/>
      <c r="D216"/>
      <c r="E216"/>
      <c r="G216"/>
      <c r="H216"/>
      <c r="I216"/>
    </row>
    <row r="217" spans="2:9" x14ac:dyDescent="0.25">
      <c r="B217"/>
      <c r="C217"/>
      <c r="D217"/>
      <c r="E217"/>
      <c r="G217"/>
      <c r="H217"/>
      <c r="I217"/>
    </row>
    <row r="218" spans="2:9" x14ac:dyDescent="0.25">
      <c r="B218"/>
      <c r="C218"/>
      <c r="D218"/>
      <c r="E218"/>
      <c r="G218"/>
      <c r="H218"/>
      <c r="I218"/>
    </row>
    <row r="219" spans="2:9" x14ac:dyDescent="0.25">
      <c r="B219"/>
      <c r="C219"/>
      <c r="D219"/>
      <c r="E219"/>
      <c r="G219"/>
      <c r="H219"/>
      <c r="I219"/>
    </row>
    <row r="220" spans="2:9" x14ac:dyDescent="0.25">
      <c r="B220"/>
      <c r="C220"/>
      <c r="D220"/>
      <c r="E220"/>
      <c r="G220"/>
      <c r="H220"/>
      <c r="I220"/>
    </row>
    <row r="221" spans="2:9" x14ac:dyDescent="0.25">
      <c r="B221"/>
      <c r="C221"/>
      <c r="D221"/>
      <c r="E221"/>
      <c r="G221"/>
      <c r="H221"/>
      <c r="I221"/>
    </row>
    <row r="222" spans="2:9" x14ac:dyDescent="0.25">
      <c r="B222"/>
      <c r="C222"/>
      <c r="D222"/>
      <c r="E222"/>
      <c r="G222"/>
      <c r="H222"/>
      <c r="I222"/>
    </row>
    <row r="223" spans="2:9" x14ac:dyDescent="0.25">
      <c r="B223"/>
      <c r="C223"/>
      <c r="D223"/>
      <c r="E223"/>
      <c r="G223"/>
      <c r="H223"/>
      <c r="I223"/>
    </row>
    <row r="224" spans="2:9" x14ac:dyDescent="0.25">
      <c r="B224"/>
      <c r="C224"/>
      <c r="D224"/>
      <c r="E224"/>
      <c r="G224"/>
      <c r="H224"/>
      <c r="I224"/>
    </row>
    <row r="225" spans="2:9" x14ac:dyDescent="0.25">
      <c r="B225"/>
      <c r="C225"/>
      <c r="D225"/>
      <c r="E225"/>
      <c r="G225"/>
      <c r="H225"/>
      <c r="I225"/>
    </row>
    <row r="226" spans="2:9" x14ac:dyDescent="0.25">
      <c r="B226"/>
      <c r="C226"/>
      <c r="D226"/>
      <c r="E226"/>
      <c r="G226"/>
      <c r="H226"/>
      <c r="I226"/>
    </row>
    <row r="227" spans="2:9" x14ac:dyDescent="0.25">
      <c r="B227"/>
      <c r="C227"/>
      <c r="D227"/>
      <c r="E227"/>
      <c r="G227"/>
      <c r="H227"/>
      <c r="I227"/>
    </row>
    <row r="228" spans="2:9" x14ac:dyDescent="0.25">
      <c r="B228"/>
      <c r="C228"/>
      <c r="D228"/>
      <c r="E228"/>
      <c r="G228"/>
      <c r="H228"/>
      <c r="I228"/>
    </row>
    <row r="229" spans="2:9" x14ac:dyDescent="0.25">
      <c r="B229"/>
      <c r="C229"/>
      <c r="D229"/>
      <c r="E229"/>
      <c r="G229"/>
      <c r="H229"/>
      <c r="I229"/>
    </row>
    <row r="230" spans="2:9" x14ac:dyDescent="0.25">
      <c r="B230"/>
      <c r="C230"/>
      <c r="D230"/>
      <c r="E230"/>
      <c r="G230"/>
      <c r="H230"/>
      <c r="I230"/>
    </row>
    <row r="231" spans="2:9" x14ac:dyDescent="0.25">
      <c r="B231"/>
      <c r="C231"/>
      <c r="D231"/>
      <c r="E231"/>
      <c r="G231"/>
      <c r="H231"/>
      <c r="I231"/>
    </row>
    <row r="232" spans="2:9" x14ac:dyDescent="0.25">
      <c r="B232"/>
      <c r="C232"/>
      <c r="D232"/>
      <c r="E232"/>
      <c r="G232"/>
      <c r="H232"/>
      <c r="I232"/>
    </row>
    <row r="233" spans="2:9" x14ac:dyDescent="0.25">
      <c r="B233"/>
      <c r="C233"/>
      <c r="D233"/>
      <c r="E233"/>
      <c r="G233"/>
      <c r="H233"/>
      <c r="I233"/>
    </row>
    <row r="234" spans="2:9" x14ac:dyDescent="0.25">
      <c r="B234"/>
      <c r="C234"/>
      <c r="D234"/>
      <c r="E234"/>
      <c r="G234"/>
      <c r="H234"/>
      <c r="I234"/>
    </row>
    <row r="235" spans="2:9" x14ac:dyDescent="0.25">
      <c r="B235"/>
      <c r="C235"/>
      <c r="D235"/>
      <c r="E235"/>
      <c r="G235"/>
      <c r="H235"/>
      <c r="I235"/>
    </row>
    <row r="236" spans="2:9" x14ac:dyDescent="0.25">
      <c r="B236"/>
      <c r="C236"/>
      <c r="D236"/>
      <c r="E236"/>
      <c r="G236"/>
      <c r="H236"/>
      <c r="I236"/>
    </row>
    <row r="237" spans="2:9" x14ac:dyDescent="0.25">
      <c r="B237"/>
      <c r="C237"/>
      <c r="D237"/>
      <c r="E237"/>
      <c r="G237"/>
      <c r="H237"/>
      <c r="I237"/>
    </row>
    <row r="238" spans="2:9" x14ac:dyDescent="0.25">
      <c r="B238"/>
      <c r="C238"/>
      <c r="D238"/>
      <c r="E238"/>
      <c r="G238"/>
      <c r="H238"/>
      <c r="I238"/>
    </row>
    <row r="239" spans="2:9" x14ac:dyDescent="0.25">
      <c r="B239"/>
      <c r="C239"/>
      <c r="D239"/>
      <c r="E239"/>
      <c r="G239"/>
      <c r="H239"/>
      <c r="I239"/>
    </row>
    <row r="240" spans="2:9" x14ac:dyDescent="0.25">
      <c r="B240"/>
      <c r="C240"/>
      <c r="D240"/>
      <c r="E240"/>
      <c r="G240"/>
      <c r="H240"/>
      <c r="I240"/>
    </row>
    <row r="241" spans="2:9" x14ac:dyDescent="0.25">
      <c r="B241"/>
      <c r="C241"/>
      <c r="D241"/>
      <c r="E241"/>
      <c r="G241"/>
      <c r="H241"/>
      <c r="I241"/>
    </row>
    <row r="242" spans="2:9" x14ac:dyDescent="0.25">
      <c r="B242"/>
      <c r="C242"/>
      <c r="D242"/>
      <c r="E242"/>
      <c r="G242"/>
      <c r="H242"/>
      <c r="I242"/>
    </row>
    <row r="243" spans="2:9" x14ac:dyDescent="0.25">
      <c r="B243"/>
      <c r="C243"/>
      <c r="D243"/>
      <c r="E243"/>
      <c r="G243"/>
      <c r="H243"/>
      <c r="I243"/>
    </row>
    <row r="244" spans="2:9" x14ac:dyDescent="0.25">
      <c r="B244"/>
      <c r="C244"/>
      <c r="D244"/>
      <c r="E244"/>
      <c r="G244"/>
      <c r="H244"/>
      <c r="I244"/>
    </row>
    <row r="245" spans="2:9" x14ac:dyDescent="0.25">
      <c r="B245"/>
      <c r="C245"/>
      <c r="D245"/>
      <c r="E245"/>
      <c r="G245"/>
      <c r="H245"/>
      <c r="I245"/>
    </row>
    <row r="246" spans="2:9" x14ac:dyDescent="0.25">
      <c r="B246"/>
      <c r="C246"/>
      <c r="D246"/>
      <c r="E246"/>
      <c r="G246"/>
      <c r="H246"/>
      <c r="I246"/>
    </row>
    <row r="247" spans="2:9" x14ac:dyDescent="0.25">
      <c r="B247"/>
      <c r="C247"/>
      <c r="D247"/>
      <c r="E247"/>
      <c r="G247"/>
      <c r="H247"/>
      <c r="I247"/>
    </row>
    <row r="248" spans="2:9" x14ac:dyDescent="0.25">
      <c r="B248"/>
      <c r="C248"/>
      <c r="D248"/>
      <c r="E248"/>
      <c r="G248"/>
      <c r="H248"/>
      <c r="I248"/>
    </row>
    <row r="249" spans="2:9" x14ac:dyDescent="0.25">
      <c r="B249"/>
      <c r="C249"/>
      <c r="D249"/>
      <c r="E249"/>
      <c r="G249"/>
      <c r="H249"/>
      <c r="I249"/>
    </row>
    <row r="250" spans="2:9" x14ac:dyDescent="0.25">
      <c r="B250"/>
      <c r="C250"/>
      <c r="D250"/>
      <c r="E250"/>
      <c r="G250"/>
      <c r="H250"/>
      <c r="I250"/>
    </row>
    <row r="251" spans="2:9" x14ac:dyDescent="0.25">
      <c r="B251"/>
      <c r="C251"/>
      <c r="D251"/>
      <c r="E251"/>
      <c r="G251"/>
      <c r="H251"/>
      <c r="I251"/>
    </row>
    <row r="252" spans="2:9" x14ac:dyDescent="0.25">
      <c r="B252"/>
      <c r="C252"/>
      <c r="D252"/>
      <c r="E252"/>
      <c r="G252"/>
      <c r="H252"/>
      <c r="I252"/>
    </row>
    <row r="253" spans="2:9" x14ac:dyDescent="0.25">
      <c r="B253"/>
      <c r="C253"/>
      <c r="D253"/>
      <c r="E253"/>
      <c r="G253"/>
      <c r="H253"/>
      <c r="I253"/>
    </row>
    <row r="254" spans="2:9" x14ac:dyDescent="0.25">
      <c r="B254"/>
      <c r="C254"/>
      <c r="D254"/>
      <c r="E254"/>
      <c r="G254"/>
      <c r="H254"/>
      <c r="I254"/>
    </row>
    <row r="255" spans="2:9" x14ac:dyDescent="0.25">
      <c r="B255"/>
      <c r="C255"/>
      <c r="D255"/>
      <c r="E255"/>
      <c r="G255"/>
      <c r="H255"/>
      <c r="I255"/>
    </row>
    <row r="256" spans="2:9" x14ac:dyDescent="0.25">
      <c r="B256"/>
      <c r="C256"/>
      <c r="D256"/>
      <c r="E256"/>
      <c r="G256"/>
      <c r="H256"/>
      <c r="I256"/>
    </row>
    <row r="257" spans="2:9" x14ac:dyDescent="0.25">
      <c r="B257"/>
      <c r="C257"/>
      <c r="D257"/>
      <c r="E257"/>
      <c r="G257"/>
      <c r="H257"/>
      <c r="I257"/>
    </row>
    <row r="258" spans="2:9" x14ac:dyDescent="0.25">
      <c r="B258"/>
      <c r="C258"/>
      <c r="D258"/>
      <c r="E258"/>
      <c r="G258"/>
      <c r="H258"/>
      <c r="I258"/>
    </row>
    <row r="259" spans="2:9" x14ac:dyDescent="0.25">
      <c r="B259"/>
      <c r="C259"/>
      <c r="D259"/>
      <c r="E259"/>
      <c r="G259"/>
      <c r="H259"/>
      <c r="I259"/>
    </row>
    <row r="260" spans="2:9" x14ac:dyDescent="0.25">
      <c r="B260"/>
      <c r="C260"/>
      <c r="D260"/>
      <c r="E260"/>
      <c r="G260"/>
      <c r="H260"/>
      <c r="I260"/>
    </row>
    <row r="261" spans="2:9" x14ac:dyDescent="0.25">
      <c r="B261"/>
      <c r="C261"/>
      <c r="D261"/>
      <c r="E261"/>
      <c r="G261"/>
      <c r="H261"/>
      <c r="I261"/>
    </row>
    <row r="262" spans="2:9" x14ac:dyDescent="0.25">
      <c r="B262"/>
      <c r="C262"/>
      <c r="D262"/>
      <c r="E262"/>
      <c r="G262"/>
      <c r="H262"/>
      <c r="I262"/>
    </row>
    <row r="263" spans="2:9" x14ac:dyDescent="0.25">
      <c r="B263"/>
      <c r="C263"/>
      <c r="D263"/>
      <c r="E263"/>
      <c r="G263"/>
      <c r="H263"/>
      <c r="I263"/>
    </row>
    <row r="264" spans="2:9" x14ac:dyDescent="0.25">
      <c r="B264"/>
      <c r="C264"/>
      <c r="D264"/>
      <c r="E264"/>
      <c r="G264"/>
      <c r="H264"/>
      <c r="I264"/>
    </row>
    <row r="265" spans="2:9" x14ac:dyDescent="0.25">
      <c r="B265"/>
      <c r="C265"/>
      <c r="D265"/>
      <c r="E265"/>
      <c r="G265"/>
      <c r="H265"/>
      <c r="I265"/>
    </row>
    <row r="266" spans="2:9" x14ac:dyDescent="0.25">
      <c r="B266"/>
      <c r="C266"/>
      <c r="D266"/>
      <c r="E266"/>
      <c r="G266"/>
      <c r="H266"/>
      <c r="I266"/>
    </row>
    <row r="267" spans="2:9" x14ac:dyDescent="0.25">
      <c r="B267"/>
      <c r="C267"/>
      <c r="D267"/>
      <c r="E267"/>
      <c r="G267"/>
      <c r="H267"/>
      <c r="I267"/>
    </row>
    <row r="268" spans="2:9" x14ac:dyDescent="0.25">
      <c r="B268"/>
      <c r="C268"/>
      <c r="D268"/>
      <c r="E268"/>
      <c r="G268"/>
      <c r="H268"/>
      <c r="I268"/>
    </row>
    <row r="269" spans="2:9" x14ac:dyDescent="0.25">
      <c r="B269"/>
      <c r="C269"/>
      <c r="D269"/>
      <c r="E269"/>
      <c r="G269"/>
      <c r="H269"/>
      <c r="I269"/>
    </row>
    <row r="270" spans="2:9" x14ac:dyDescent="0.25">
      <c r="B270"/>
      <c r="C270"/>
      <c r="D270"/>
      <c r="E270"/>
      <c r="G270"/>
      <c r="H270"/>
      <c r="I270"/>
    </row>
    <row r="271" spans="2:9" x14ac:dyDescent="0.25">
      <c r="B271"/>
      <c r="C271"/>
      <c r="D271"/>
      <c r="E271"/>
      <c r="G271"/>
      <c r="H271"/>
      <c r="I271"/>
    </row>
    <row r="272" spans="2:9" x14ac:dyDescent="0.25">
      <c r="B272"/>
      <c r="C272"/>
      <c r="D272"/>
      <c r="E272"/>
      <c r="G272"/>
      <c r="H272"/>
      <c r="I272"/>
    </row>
    <row r="273" spans="2:9" x14ac:dyDescent="0.25">
      <c r="B273"/>
      <c r="C273"/>
      <c r="D273"/>
      <c r="E273"/>
      <c r="G273"/>
      <c r="H273"/>
      <c r="I273"/>
    </row>
    <row r="274" spans="2:9" x14ac:dyDescent="0.25">
      <c r="B274"/>
      <c r="C274"/>
      <c r="D274"/>
      <c r="E274"/>
      <c r="G274"/>
      <c r="H274"/>
      <c r="I274"/>
    </row>
    <row r="275" spans="2:9" x14ac:dyDescent="0.25">
      <c r="B275"/>
      <c r="C275"/>
      <c r="D275"/>
      <c r="E275"/>
      <c r="G275"/>
      <c r="H275"/>
      <c r="I275"/>
    </row>
    <row r="276" spans="2:9" x14ac:dyDescent="0.25">
      <c r="B276"/>
      <c r="C276"/>
      <c r="D276"/>
      <c r="E276"/>
      <c r="G276"/>
      <c r="H276"/>
      <c r="I276"/>
    </row>
    <row r="277" spans="2:9" x14ac:dyDescent="0.25">
      <c r="B277"/>
      <c r="C277"/>
      <c r="D277"/>
      <c r="E277"/>
      <c r="G277"/>
      <c r="H277"/>
      <c r="I277"/>
    </row>
    <row r="278" spans="2:9" x14ac:dyDescent="0.25">
      <c r="B278"/>
      <c r="C278"/>
      <c r="D278"/>
      <c r="E278"/>
      <c r="G278"/>
      <c r="H278"/>
      <c r="I278"/>
    </row>
    <row r="279" spans="2:9" x14ac:dyDescent="0.25">
      <c r="B279"/>
      <c r="C279"/>
      <c r="D279"/>
      <c r="E279"/>
      <c r="G279"/>
      <c r="H279"/>
      <c r="I279"/>
    </row>
    <row r="280" spans="2:9" x14ac:dyDescent="0.25">
      <c r="B280"/>
      <c r="C280"/>
      <c r="D280"/>
      <c r="E280"/>
      <c r="G280"/>
      <c r="H280"/>
      <c r="I280"/>
    </row>
    <row r="281" spans="2:9" x14ac:dyDescent="0.25">
      <c r="B281"/>
      <c r="C281"/>
      <c r="D281"/>
      <c r="E281"/>
      <c r="G281"/>
      <c r="H281"/>
      <c r="I281"/>
    </row>
    <row r="282" spans="2:9" x14ac:dyDescent="0.25">
      <c r="B282"/>
      <c r="C282"/>
      <c r="D282"/>
      <c r="E282"/>
      <c r="G282"/>
      <c r="H282"/>
      <c r="I282"/>
    </row>
    <row r="283" spans="2:9" x14ac:dyDescent="0.25">
      <c r="B283"/>
      <c r="C283"/>
      <c r="D283"/>
      <c r="E283"/>
      <c r="G283"/>
      <c r="H283"/>
      <c r="I283"/>
    </row>
    <row r="284" spans="2:9" x14ac:dyDescent="0.25">
      <c r="B284"/>
      <c r="C284"/>
      <c r="D284"/>
      <c r="E284"/>
      <c r="G284"/>
      <c r="H284"/>
      <c r="I284"/>
    </row>
    <row r="285" spans="2:9" x14ac:dyDescent="0.25">
      <c r="B285"/>
      <c r="C285"/>
      <c r="D285"/>
      <c r="E285"/>
      <c r="G285"/>
      <c r="H285"/>
      <c r="I285"/>
    </row>
    <row r="286" spans="2:9" x14ac:dyDescent="0.25">
      <c r="B286"/>
      <c r="C286"/>
      <c r="D286"/>
      <c r="E286"/>
      <c r="G286"/>
      <c r="H286"/>
      <c r="I286"/>
    </row>
    <row r="287" spans="2:9" x14ac:dyDescent="0.25">
      <c r="B287"/>
      <c r="C287"/>
      <c r="D287"/>
      <c r="E287"/>
      <c r="G287"/>
      <c r="H287"/>
      <c r="I287"/>
    </row>
    <row r="288" spans="2:9" x14ac:dyDescent="0.25">
      <c r="B288"/>
      <c r="C288"/>
      <c r="D288"/>
      <c r="E288"/>
      <c r="G288"/>
      <c r="H288"/>
      <c r="I288"/>
    </row>
    <row r="289" spans="2:9" x14ac:dyDescent="0.25">
      <c r="B289"/>
      <c r="C289"/>
      <c r="D289"/>
      <c r="E289"/>
      <c r="G289"/>
      <c r="H289"/>
      <c r="I289"/>
    </row>
    <row r="290" spans="2:9" x14ac:dyDescent="0.25">
      <c r="B290"/>
      <c r="C290"/>
      <c r="D290"/>
      <c r="E290"/>
      <c r="G290"/>
      <c r="H290"/>
      <c r="I290"/>
    </row>
    <row r="291" spans="2:9" x14ac:dyDescent="0.25">
      <c r="B291"/>
      <c r="C291"/>
      <c r="D291"/>
      <c r="E291"/>
      <c r="G291"/>
      <c r="H291"/>
      <c r="I291"/>
    </row>
    <row r="292" spans="2:9" x14ac:dyDescent="0.25">
      <c r="B292"/>
      <c r="C292"/>
      <c r="D292"/>
      <c r="E292"/>
      <c r="G292"/>
      <c r="H292"/>
      <c r="I292"/>
    </row>
    <row r="293" spans="2:9" x14ac:dyDescent="0.25">
      <c r="B293"/>
      <c r="C293"/>
      <c r="D293"/>
      <c r="E293"/>
      <c r="G293"/>
      <c r="H293"/>
      <c r="I293"/>
    </row>
    <row r="294" spans="2:9" x14ac:dyDescent="0.25">
      <c r="B294"/>
      <c r="C294"/>
      <c r="D294"/>
      <c r="E294"/>
      <c r="G294"/>
      <c r="H294"/>
      <c r="I294"/>
    </row>
    <row r="295" spans="2:9" x14ac:dyDescent="0.25">
      <c r="B295"/>
      <c r="C295"/>
      <c r="D295"/>
      <c r="E295"/>
      <c r="G295"/>
      <c r="H295"/>
      <c r="I295"/>
    </row>
    <row r="296" spans="2:9" x14ac:dyDescent="0.25">
      <c r="B296"/>
      <c r="C296"/>
      <c r="D296"/>
      <c r="E296"/>
      <c r="G296"/>
      <c r="H296"/>
      <c r="I296"/>
    </row>
    <row r="297" spans="2:9" x14ac:dyDescent="0.25">
      <c r="B297"/>
      <c r="C297"/>
      <c r="D297"/>
      <c r="E297"/>
      <c r="G297"/>
      <c r="H297"/>
      <c r="I297"/>
    </row>
    <row r="298" spans="2:9" x14ac:dyDescent="0.25">
      <c r="B298"/>
      <c r="C298"/>
      <c r="D298"/>
      <c r="E298"/>
      <c r="G298"/>
      <c r="H298"/>
      <c r="I298"/>
    </row>
    <row r="299" spans="2:9" x14ac:dyDescent="0.25">
      <c r="B299"/>
      <c r="C299"/>
      <c r="D299"/>
      <c r="E299"/>
      <c r="G299"/>
      <c r="H299"/>
      <c r="I299"/>
    </row>
    <row r="300" spans="2:9" x14ac:dyDescent="0.25">
      <c r="B300"/>
      <c r="C300"/>
      <c r="D300"/>
      <c r="E300"/>
      <c r="G300"/>
      <c r="H300"/>
      <c r="I300"/>
    </row>
    <row r="301" spans="2:9" x14ac:dyDescent="0.25">
      <c r="B301"/>
      <c r="C301"/>
      <c r="D301"/>
      <c r="E301"/>
      <c r="G301"/>
      <c r="H301"/>
      <c r="I301"/>
    </row>
    <row r="302" spans="2:9" x14ac:dyDescent="0.25">
      <c r="B302"/>
      <c r="C302"/>
      <c r="D302"/>
      <c r="E302"/>
      <c r="G302"/>
      <c r="H302"/>
      <c r="I302"/>
    </row>
    <row r="303" spans="2:9" x14ac:dyDescent="0.25">
      <c r="B303"/>
      <c r="C303"/>
      <c r="D303"/>
      <c r="E303"/>
      <c r="G303"/>
      <c r="H303"/>
      <c r="I303"/>
    </row>
    <row r="304" spans="2:9" x14ac:dyDescent="0.25">
      <c r="B304"/>
      <c r="C304"/>
      <c r="D304"/>
      <c r="E304"/>
      <c r="G304"/>
      <c r="H304"/>
      <c r="I304"/>
    </row>
    <row r="305" spans="2:9" x14ac:dyDescent="0.25">
      <c r="B305"/>
      <c r="C305"/>
      <c r="D305"/>
      <c r="E305"/>
      <c r="G305"/>
      <c r="H305"/>
      <c r="I305"/>
    </row>
    <row r="306" spans="2:9" x14ac:dyDescent="0.25">
      <c r="B306"/>
      <c r="C306"/>
      <c r="D306"/>
      <c r="E306"/>
      <c r="G306"/>
      <c r="H306"/>
      <c r="I306"/>
    </row>
    <row r="307" spans="2:9" x14ac:dyDescent="0.25">
      <c r="B307"/>
      <c r="C307"/>
      <c r="D307"/>
      <c r="E307"/>
      <c r="G307"/>
      <c r="H307"/>
      <c r="I307"/>
    </row>
    <row r="308" spans="2:9" x14ac:dyDescent="0.25">
      <c r="B308"/>
      <c r="C308"/>
      <c r="D308"/>
      <c r="E308"/>
      <c r="G308"/>
      <c r="H308"/>
      <c r="I308"/>
    </row>
    <row r="309" spans="2:9" x14ac:dyDescent="0.25">
      <c r="B309"/>
      <c r="C309"/>
      <c r="D309"/>
      <c r="E309"/>
      <c r="G309"/>
      <c r="H309"/>
      <c r="I309"/>
    </row>
    <row r="310" spans="2:9" x14ac:dyDescent="0.25">
      <c r="B310"/>
      <c r="C310"/>
      <c r="D310"/>
      <c r="E310"/>
      <c r="G310"/>
      <c r="H310"/>
      <c r="I310"/>
    </row>
    <row r="311" spans="2:9" x14ac:dyDescent="0.25">
      <c r="B311"/>
      <c r="C311"/>
      <c r="D311"/>
      <c r="E311"/>
      <c r="G311"/>
      <c r="H311"/>
      <c r="I311"/>
    </row>
    <row r="312" spans="2:9" x14ac:dyDescent="0.25">
      <c r="B312"/>
      <c r="C312"/>
      <c r="D312"/>
      <c r="E312"/>
      <c r="G312"/>
      <c r="H312"/>
      <c r="I312"/>
    </row>
    <row r="313" spans="2:9" x14ac:dyDescent="0.25">
      <c r="B313"/>
      <c r="C313"/>
      <c r="D313"/>
      <c r="E313"/>
      <c r="G313"/>
      <c r="H313"/>
      <c r="I313"/>
    </row>
    <row r="314" spans="2:9" x14ac:dyDescent="0.25">
      <c r="B314"/>
      <c r="C314"/>
      <c r="D314"/>
      <c r="E314"/>
      <c r="G314"/>
      <c r="H314"/>
      <c r="I314"/>
    </row>
    <row r="315" spans="2:9" x14ac:dyDescent="0.25">
      <c r="B315"/>
      <c r="C315"/>
      <c r="D315"/>
      <c r="E315"/>
      <c r="G315"/>
      <c r="H315"/>
      <c r="I315"/>
    </row>
    <row r="316" spans="2:9" x14ac:dyDescent="0.25">
      <c r="B316"/>
      <c r="C316"/>
      <c r="D316"/>
      <c r="E316"/>
      <c r="G316"/>
      <c r="H316"/>
      <c r="I316"/>
    </row>
    <row r="317" spans="2:9" x14ac:dyDescent="0.25">
      <c r="B317"/>
      <c r="C317"/>
      <c r="D317"/>
      <c r="E317"/>
      <c r="G317"/>
      <c r="H317"/>
      <c r="I317"/>
    </row>
    <row r="318" spans="2:9" x14ac:dyDescent="0.25">
      <c r="B318"/>
      <c r="C318"/>
      <c r="D318"/>
      <c r="E318"/>
      <c r="G318"/>
      <c r="H318"/>
      <c r="I318"/>
    </row>
    <row r="319" spans="2:9" x14ac:dyDescent="0.25">
      <c r="B319"/>
      <c r="C319"/>
      <c r="D319"/>
      <c r="E319"/>
      <c r="G319"/>
      <c r="H319"/>
      <c r="I319"/>
    </row>
    <row r="320" spans="2:9" x14ac:dyDescent="0.25">
      <c r="B320"/>
      <c r="C320"/>
      <c r="D320"/>
      <c r="E320"/>
      <c r="G320"/>
      <c r="H320"/>
      <c r="I320"/>
    </row>
    <row r="321" spans="2:9" x14ac:dyDescent="0.25">
      <c r="B321"/>
      <c r="C321"/>
      <c r="D321"/>
      <c r="E321"/>
      <c r="G321"/>
      <c r="H321"/>
      <c r="I321"/>
    </row>
    <row r="322" spans="2:9" x14ac:dyDescent="0.25">
      <c r="B322"/>
      <c r="C322"/>
      <c r="D322"/>
      <c r="E322"/>
      <c r="G322"/>
      <c r="H322"/>
      <c r="I322"/>
    </row>
    <row r="323" spans="2:9" x14ac:dyDescent="0.25">
      <c r="B323"/>
      <c r="C323"/>
      <c r="D323"/>
      <c r="E323"/>
      <c r="G323"/>
      <c r="H323"/>
      <c r="I323"/>
    </row>
    <row r="324" spans="2:9" x14ac:dyDescent="0.25">
      <c r="B324"/>
      <c r="C324"/>
      <c r="D324"/>
      <c r="E324"/>
      <c r="G324"/>
      <c r="H324"/>
      <c r="I324"/>
    </row>
    <row r="325" spans="2:9" x14ac:dyDescent="0.25">
      <c r="B325"/>
      <c r="C325"/>
      <c r="D325"/>
      <c r="E325"/>
      <c r="G325"/>
      <c r="H325"/>
      <c r="I325"/>
    </row>
    <row r="326" spans="2:9" x14ac:dyDescent="0.25">
      <c r="B326"/>
      <c r="C326"/>
      <c r="D326"/>
      <c r="E326"/>
      <c r="G326"/>
      <c r="H326"/>
      <c r="I326"/>
    </row>
    <row r="327" spans="2:9" x14ac:dyDescent="0.25">
      <c r="B327"/>
      <c r="C327"/>
      <c r="D327"/>
      <c r="E327"/>
      <c r="G327"/>
      <c r="H327"/>
      <c r="I327"/>
    </row>
    <row r="328" spans="2:9" x14ac:dyDescent="0.25">
      <c r="B328"/>
      <c r="C328"/>
      <c r="D328"/>
      <c r="E328"/>
      <c r="G328"/>
      <c r="H328"/>
      <c r="I328"/>
    </row>
    <row r="329" spans="2:9" x14ac:dyDescent="0.25">
      <c r="B329"/>
      <c r="C329"/>
      <c r="D329"/>
      <c r="E329"/>
      <c r="G329"/>
      <c r="H329"/>
      <c r="I329"/>
    </row>
    <row r="330" spans="2:9" x14ac:dyDescent="0.25">
      <c r="B330"/>
      <c r="C330"/>
      <c r="D330"/>
      <c r="E330"/>
      <c r="G330"/>
      <c r="H330"/>
      <c r="I330"/>
    </row>
    <row r="331" spans="2:9" x14ac:dyDescent="0.25">
      <c r="B331"/>
      <c r="C331"/>
      <c r="D331"/>
      <c r="E331"/>
      <c r="G331"/>
      <c r="H331"/>
      <c r="I331"/>
    </row>
    <row r="332" spans="2:9" x14ac:dyDescent="0.25">
      <c r="B332"/>
      <c r="C332"/>
      <c r="D332"/>
      <c r="E332"/>
      <c r="G332"/>
      <c r="H332"/>
      <c r="I332"/>
    </row>
    <row r="333" spans="2:9" x14ac:dyDescent="0.25">
      <c r="B333"/>
      <c r="C333"/>
      <c r="D333"/>
      <c r="E333"/>
      <c r="G333"/>
      <c r="H333"/>
      <c r="I333"/>
    </row>
    <row r="334" spans="2:9" x14ac:dyDescent="0.25">
      <c r="B334"/>
      <c r="C334"/>
      <c r="D334"/>
      <c r="E334"/>
      <c r="G334"/>
      <c r="H334"/>
      <c r="I334"/>
    </row>
    <row r="335" spans="2:9" x14ac:dyDescent="0.25">
      <c r="B335"/>
      <c r="C335"/>
      <c r="D335"/>
      <c r="E335"/>
      <c r="G335"/>
      <c r="H335"/>
      <c r="I335"/>
    </row>
    <row r="336" spans="2:9" x14ac:dyDescent="0.25">
      <c r="B336"/>
      <c r="C336"/>
      <c r="D336"/>
      <c r="E336"/>
      <c r="G336"/>
      <c r="H336"/>
      <c r="I336"/>
    </row>
    <row r="337" spans="2:9" x14ac:dyDescent="0.25">
      <c r="B337"/>
      <c r="C337"/>
      <c r="D337"/>
      <c r="E337"/>
      <c r="G337"/>
      <c r="H337"/>
      <c r="I337"/>
    </row>
    <row r="338" spans="2:9" x14ac:dyDescent="0.25">
      <c r="B338"/>
      <c r="C338"/>
      <c r="D338"/>
      <c r="E338"/>
      <c r="G338"/>
      <c r="H338"/>
      <c r="I338"/>
    </row>
    <row r="339" spans="2:9" x14ac:dyDescent="0.25">
      <c r="B339"/>
      <c r="C339"/>
      <c r="D339"/>
      <c r="E339"/>
      <c r="G339"/>
      <c r="H339"/>
      <c r="I339"/>
    </row>
    <row r="340" spans="2:9" x14ac:dyDescent="0.25">
      <c r="B340"/>
      <c r="C340"/>
      <c r="D340"/>
      <c r="E340"/>
      <c r="G340"/>
      <c r="H340"/>
      <c r="I340"/>
    </row>
    <row r="341" spans="2:9" x14ac:dyDescent="0.25">
      <c r="B341"/>
      <c r="C341"/>
      <c r="D341"/>
      <c r="E341"/>
      <c r="G341"/>
      <c r="H341"/>
      <c r="I341"/>
    </row>
    <row r="342" spans="2:9" x14ac:dyDescent="0.25">
      <c r="B342"/>
      <c r="C342"/>
      <c r="D342"/>
      <c r="E342"/>
      <c r="G342"/>
      <c r="H342"/>
      <c r="I342"/>
    </row>
    <row r="343" spans="2:9" x14ac:dyDescent="0.25">
      <c r="B343"/>
      <c r="C343"/>
      <c r="D343"/>
      <c r="E343"/>
      <c r="G343"/>
      <c r="H343"/>
      <c r="I343"/>
    </row>
    <row r="344" spans="2:9" x14ac:dyDescent="0.25">
      <c r="B344"/>
      <c r="C344"/>
      <c r="D344"/>
      <c r="E344"/>
      <c r="G344"/>
      <c r="H344"/>
      <c r="I344"/>
    </row>
    <row r="345" spans="2:9" x14ac:dyDescent="0.25">
      <c r="B345"/>
      <c r="C345"/>
      <c r="D345"/>
      <c r="E345"/>
      <c r="G345"/>
      <c r="H345"/>
      <c r="I345"/>
    </row>
    <row r="346" spans="2:9" x14ac:dyDescent="0.25">
      <c r="B346"/>
      <c r="C346"/>
      <c r="D346"/>
      <c r="E346"/>
      <c r="G346"/>
      <c r="H346"/>
      <c r="I346"/>
    </row>
    <row r="347" spans="2:9" x14ac:dyDescent="0.25">
      <c r="B347"/>
      <c r="C347"/>
      <c r="D347"/>
      <c r="E347"/>
      <c r="G347"/>
      <c r="H347"/>
      <c r="I347"/>
    </row>
    <row r="348" spans="2:9" x14ac:dyDescent="0.25">
      <c r="B348"/>
      <c r="C348"/>
      <c r="D348"/>
      <c r="E348"/>
      <c r="G348"/>
      <c r="H348"/>
      <c r="I348"/>
    </row>
    <row r="349" spans="2:9" x14ac:dyDescent="0.25">
      <c r="B349"/>
      <c r="C349"/>
      <c r="D349"/>
      <c r="E349"/>
      <c r="G349"/>
      <c r="H349"/>
      <c r="I349"/>
    </row>
    <row r="350" spans="2:9" x14ac:dyDescent="0.25">
      <c r="B350"/>
      <c r="C350"/>
      <c r="D350"/>
      <c r="E350"/>
      <c r="G350"/>
      <c r="H350"/>
      <c r="I350"/>
    </row>
    <row r="351" spans="2:9" x14ac:dyDescent="0.25">
      <c r="B351"/>
      <c r="C351"/>
      <c r="D351"/>
      <c r="E351"/>
      <c r="G351"/>
      <c r="H351"/>
      <c r="I351"/>
    </row>
    <row r="352" spans="2:9" x14ac:dyDescent="0.25">
      <c r="B352"/>
      <c r="C352"/>
      <c r="D352"/>
      <c r="E352"/>
      <c r="G352"/>
      <c r="H352"/>
      <c r="I352"/>
    </row>
    <row r="353" spans="2:9" x14ac:dyDescent="0.25">
      <c r="B353"/>
      <c r="C353"/>
      <c r="D353"/>
      <c r="E353"/>
      <c r="G353"/>
      <c r="H353"/>
      <c r="I353"/>
    </row>
    <row r="354" spans="2:9" x14ac:dyDescent="0.25">
      <c r="B354"/>
      <c r="C354"/>
      <c r="D354"/>
      <c r="E354"/>
      <c r="G354"/>
      <c r="H354"/>
      <c r="I354"/>
    </row>
    <row r="355" spans="2:9" x14ac:dyDescent="0.25">
      <c r="B355"/>
      <c r="C355"/>
      <c r="D355"/>
      <c r="E355"/>
      <c r="G355"/>
      <c r="H355"/>
      <c r="I355"/>
    </row>
    <row r="356" spans="2:9" x14ac:dyDescent="0.25">
      <c r="B356"/>
      <c r="C356"/>
      <c r="D356"/>
      <c r="E356"/>
      <c r="G356"/>
      <c r="H356"/>
      <c r="I356"/>
    </row>
    <row r="357" spans="2:9" x14ac:dyDescent="0.25">
      <c r="B357"/>
      <c r="C357"/>
      <c r="D357"/>
      <c r="E357"/>
      <c r="G357"/>
      <c r="H357"/>
      <c r="I357"/>
    </row>
    <row r="358" spans="2:9" x14ac:dyDescent="0.25">
      <c r="B358"/>
      <c r="C358"/>
      <c r="D358"/>
      <c r="E358"/>
      <c r="G358"/>
      <c r="H358"/>
      <c r="I358"/>
    </row>
    <row r="359" spans="2:9" x14ac:dyDescent="0.25">
      <c r="B359"/>
      <c r="C359"/>
      <c r="D359"/>
      <c r="E359"/>
      <c r="G359"/>
      <c r="H359"/>
      <c r="I359"/>
    </row>
    <row r="360" spans="2:9" x14ac:dyDescent="0.25">
      <c r="B360"/>
      <c r="C360"/>
      <c r="D360"/>
      <c r="E360"/>
      <c r="G360"/>
      <c r="H360"/>
      <c r="I360"/>
    </row>
    <row r="361" spans="2:9" x14ac:dyDescent="0.25">
      <c r="B361"/>
      <c r="C361"/>
      <c r="D361"/>
      <c r="E361"/>
      <c r="G361"/>
      <c r="H361"/>
      <c r="I361"/>
    </row>
    <row r="362" spans="2:9" x14ac:dyDescent="0.25">
      <c r="B362"/>
      <c r="C362"/>
      <c r="D362"/>
      <c r="E362"/>
      <c r="G362"/>
      <c r="H362"/>
      <c r="I362"/>
    </row>
    <row r="363" spans="2:9" x14ac:dyDescent="0.25">
      <c r="B363"/>
      <c r="C363"/>
      <c r="D363"/>
      <c r="E363"/>
      <c r="G363"/>
      <c r="H363"/>
      <c r="I363"/>
    </row>
    <row r="364" spans="2:9" x14ac:dyDescent="0.25">
      <c r="B364"/>
      <c r="C364"/>
      <c r="D364"/>
      <c r="E364"/>
      <c r="G364"/>
      <c r="H364"/>
      <c r="I364"/>
    </row>
    <row r="365" spans="2:9" x14ac:dyDescent="0.25">
      <c r="B365"/>
      <c r="C365"/>
      <c r="D365"/>
      <c r="E365"/>
      <c r="G365"/>
      <c r="H365"/>
      <c r="I365"/>
    </row>
    <row r="366" spans="2:9" x14ac:dyDescent="0.25">
      <c r="B366"/>
      <c r="C366"/>
      <c r="D366"/>
      <c r="E366"/>
      <c r="G366"/>
      <c r="H366"/>
      <c r="I366"/>
    </row>
    <row r="367" spans="2:9" x14ac:dyDescent="0.25">
      <c r="B367"/>
      <c r="C367"/>
      <c r="D367"/>
      <c r="E367"/>
      <c r="G367"/>
      <c r="H367"/>
      <c r="I367"/>
    </row>
    <row r="368" spans="2:9" x14ac:dyDescent="0.25">
      <c r="B368"/>
      <c r="C368"/>
      <c r="D368"/>
      <c r="E368"/>
      <c r="G368"/>
      <c r="H368"/>
      <c r="I368"/>
    </row>
    <row r="369" spans="2:9" x14ac:dyDescent="0.25">
      <c r="B369"/>
      <c r="C369"/>
      <c r="D369"/>
      <c r="E369"/>
      <c r="G369"/>
      <c r="H369"/>
      <c r="I369"/>
    </row>
    <row r="370" spans="2:9" x14ac:dyDescent="0.25">
      <c r="B370"/>
      <c r="C370"/>
      <c r="D370"/>
      <c r="E370"/>
      <c r="G370"/>
      <c r="H370"/>
      <c r="I370"/>
    </row>
    <row r="371" spans="2:9" x14ac:dyDescent="0.25">
      <c r="B371"/>
      <c r="C371"/>
      <c r="D371"/>
      <c r="E371"/>
      <c r="G371"/>
      <c r="H371"/>
      <c r="I371"/>
    </row>
    <row r="372" spans="2:9" x14ac:dyDescent="0.25">
      <c r="B372"/>
      <c r="C372"/>
      <c r="D372"/>
      <c r="E372"/>
      <c r="G372"/>
      <c r="H372"/>
      <c r="I372"/>
    </row>
    <row r="373" spans="2:9" x14ac:dyDescent="0.25">
      <c r="B373"/>
      <c r="C373"/>
      <c r="D373"/>
      <c r="E373"/>
      <c r="G373"/>
      <c r="H373"/>
      <c r="I373"/>
    </row>
    <row r="374" spans="2:9" x14ac:dyDescent="0.25">
      <c r="B374"/>
      <c r="C374"/>
      <c r="D374"/>
      <c r="E374"/>
      <c r="G374"/>
      <c r="H374"/>
      <c r="I374"/>
    </row>
    <row r="375" spans="2:9" x14ac:dyDescent="0.25">
      <c r="B375"/>
      <c r="C375"/>
      <c r="D375"/>
      <c r="E375"/>
      <c r="G375"/>
      <c r="H375"/>
      <c r="I375"/>
    </row>
    <row r="376" spans="2:9" x14ac:dyDescent="0.25">
      <c r="B376"/>
      <c r="C376"/>
      <c r="D376"/>
      <c r="E376"/>
      <c r="G376"/>
      <c r="H376"/>
      <c r="I376"/>
    </row>
    <row r="377" spans="2:9" x14ac:dyDescent="0.25">
      <c r="B377"/>
      <c r="C377"/>
      <c r="D377"/>
      <c r="E377"/>
      <c r="G377"/>
      <c r="H377"/>
      <c r="I377"/>
    </row>
    <row r="378" spans="2:9" x14ac:dyDescent="0.25">
      <c r="B378"/>
      <c r="C378"/>
      <c r="D378"/>
      <c r="E378"/>
      <c r="G378"/>
      <c r="H378"/>
      <c r="I378"/>
    </row>
    <row r="379" spans="2:9" x14ac:dyDescent="0.25">
      <c r="B379"/>
      <c r="C379"/>
      <c r="D379"/>
      <c r="E379"/>
      <c r="G379"/>
      <c r="H379"/>
      <c r="I379"/>
    </row>
    <row r="380" spans="2:9" x14ac:dyDescent="0.25">
      <c r="B380"/>
      <c r="C380"/>
      <c r="D380"/>
      <c r="E380"/>
      <c r="G380"/>
      <c r="H380"/>
      <c r="I380"/>
    </row>
    <row r="381" spans="2:9" x14ac:dyDescent="0.25">
      <c r="B381"/>
      <c r="C381"/>
      <c r="D381"/>
      <c r="E381"/>
      <c r="G381"/>
      <c r="H381"/>
      <c r="I381"/>
    </row>
    <row r="382" spans="2:9" x14ac:dyDescent="0.25">
      <c r="B382"/>
      <c r="C382"/>
      <c r="D382"/>
      <c r="E382"/>
      <c r="G382"/>
      <c r="H382"/>
      <c r="I382"/>
    </row>
    <row r="383" spans="2:9" x14ac:dyDescent="0.25">
      <c r="B383"/>
      <c r="C383"/>
      <c r="D383"/>
      <c r="E383"/>
      <c r="G383"/>
      <c r="H383"/>
      <c r="I383"/>
    </row>
    <row r="384" spans="2:9" x14ac:dyDescent="0.25">
      <c r="B384"/>
      <c r="C384"/>
      <c r="D384"/>
      <c r="E384"/>
      <c r="G384"/>
      <c r="H384"/>
      <c r="I384"/>
    </row>
    <row r="385" spans="2:9" x14ac:dyDescent="0.25">
      <c r="B385"/>
      <c r="C385"/>
      <c r="D385"/>
      <c r="E385"/>
      <c r="G385"/>
      <c r="H385"/>
      <c r="I385"/>
    </row>
    <row r="386" spans="2:9" x14ac:dyDescent="0.25">
      <c r="B386"/>
      <c r="C386"/>
      <c r="D386"/>
      <c r="E386"/>
      <c r="G386"/>
      <c r="H386"/>
      <c r="I386"/>
    </row>
    <row r="387" spans="2:9" x14ac:dyDescent="0.25">
      <c r="B387"/>
      <c r="C387"/>
      <c r="D387"/>
      <c r="E387"/>
      <c r="G387"/>
      <c r="H387"/>
      <c r="I387"/>
    </row>
    <row r="388" spans="2:9" x14ac:dyDescent="0.25">
      <c r="B388"/>
      <c r="C388"/>
      <c r="D388"/>
      <c r="E388"/>
      <c r="G388"/>
      <c r="H388"/>
      <c r="I388"/>
    </row>
    <row r="389" spans="2:9" x14ac:dyDescent="0.25">
      <c r="B389"/>
      <c r="C389"/>
      <c r="D389"/>
      <c r="E389"/>
      <c r="G389"/>
      <c r="H389"/>
      <c r="I389"/>
    </row>
    <row r="390" spans="2:9" x14ac:dyDescent="0.25">
      <c r="B390"/>
      <c r="C390"/>
      <c r="D390"/>
      <c r="E390"/>
      <c r="G390"/>
      <c r="H390"/>
      <c r="I390"/>
    </row>
    <row r="391" spans="2:9" x14ac:dyDescent="0.25">
      <c r="B391"/>
      <c r="C391"/>
      <c r="D391"/>
      <c r="E391"/>
      <c r="G391"/>
      <c r="H391"/>
      <c r="I391"/>
    </row>
    <row r="392" spans="2:9" x14ac:dyDescent="0.25">
      <c r="B392"/>
      <c r="C392"/>
      <c r="D392"/>
      <c r="E392"/>
      <c r="G392"/>
      <c r="H392"/>
      <c r="I392"/>
    </row>
    <row r="393" spans="2:9" x14ac:dyDescent="0.25">
      <c r="B393"/>
      <c r="C393"/>
      <c r="D393"/>
      <c r="E393"/>
      <c r="G393"/>
      <c r="H393"/>
      <c r="I393"/>
    </row>
    <row r="394" spans="2:9" x14ac:dyDescent="0.25">
      <c r="B394"/>
      <c r="C394"/>
      <c r="D394"/>
      <c r="E394"/>
      <c r="G394"/>
      <c r="H394"/>
      <c r="I394"/>
    </row>
    <row r="395" spans="2:9" x14ac:dyDescent="0.25">
      <c r="B395"/>
      <c r="C395"/>
      <c r="D395"/>
      <c r="E395"/>
      <c r="G395"/>
      <c r="H395"/>
      <c r="I395"/>
    </row>
    <row r="396" spans="2:9" x14ac:dyDescent="0.25">
      <c r="B396"/>
      <c r="C396"/>
      <c r="D396"/>
      <c r="E396"/>
      <c r="G396"/>
      <c r="H396"/>
      <c r="I396"/>
    </row>
    <row r="397" spans="2:9" x14ac:dyDescent="0.25">
      <c r="B397"/>
      <c r="C397"/>
      <c r="D397"/>
      <c r="E397"/>
      <c r="G397"/>
      <c r="H397"/>
      <c r="I397"/>
    </row>
    <row r="398" spans="2:9" x14ac:dyDescent="0.25">
      <c r="B398"/>
      <c r="C398"/>
      <c r="D398"/>
      <c r="E398"/>
      <c r="G398"/>
      <c r="H398"/>
      <c r="I398"/>
    </row>
    <row r="399" spans="2:9" x14ac:dyDescent="0.25">
      <c r="B399"/>
      <c r="C399"/>
      <c r="D399"/>
      <c r="E399"/>
      <c r="G399"/>
      <c r="H399"/>
      <c r="I399"/>
    </row>
    <row r="400" spans="2:9" x14ac:dyDescent="0.25">
      <c r="B400"/>
      <c r="C400"/>
      <c r="D400"/>
      <c r="E400"/>
      <c r="G400"/>
      <c r="H400"/>
      <c r="I400"/>
    </row>
    <row r="401" spans="2:9" x14ac:dyDescent="0.25">
      <c r="B401"/>
      <c r="C401"/>
      <c r="D401"/>
      <c r="E401"/>
      <c r="G401"/>
      <c r="H401"/>
      <c r="I401"/>
    </row>
    <row r="402" spans="2:9" x14ac:dyDescent="0.25">
      <c r="B402"/>
      <c r="C402"/>
      <c r="D402"/>
      <c r="E402"/>
      <c r="G402"/>
      <c r="H402"/>
      <c r="I402"/>
    </row>
    <row r="403" spans="2:9" x14ac:dyDescent="0.25">
      <c r="B403"/>
      <c r="C403"/>
      <c r="D403"/>
      <c r="E403"/>
      <c r="G403"/>
      <c r="H403"/>
      <c r="I403"/>
    </row>
    <row r="404" spans="2:9" x14ac:dyDescent="0.25">
      <c r="B404"/>
      <c r="C404"/>
      <c r="D404"/>
      <c r="E404"/>
      <c r="G404"/>
      <c r="H404"/>
      <c r="I404"/>
    </row>
    <row r="405" spans="2:9" x14ac:dyDescent="0.25">
      <c r="B405"/>
      <c r="C405"/>
      <c r="D405"/>
      <c r="E405"/>
      <c r="G405"/>
      <c r="H405"/>
      <c r="I405"/>
    </row>
    <row r="406" spans="2:9" x14ac:dyDescent="0.25">
      <c r="B406"/>
      <c r="C406"/>
      <c r="D406"/>
      <c r="E406"/>
      <c r="G406"/>
      <c r="H406"/>
      <c r="I406"/>
    </row>
    <row r="407" spans="2:9" x14ac:dyDescent="0.25">
      <c r="B407"/>
      <c r="C407"/>
      <c r="D407"/>
      <c r="E407"/>
      <c r="G407"/>
      <c r="H407"/>
      <c r="I407"/>
    </row>
    <row r="408" spans="2:9" x14ac:dyDescent="0.25">
      <c r="B408"/>
      <c r="C408"/>
      <c r="D408"/>
      <c r="E408"/>
      <c r="G408"/>
      <c r="H408"/>
      <c r="I408"/>
    </row>
    <row r="409" spans="2:9" x14ac:dyDescent="0.25">
      <c r="B409"/>
      <c r="C409"/>
      <c r="D409"/>
      <c r="E409"/>
      <c r="G409"/>
      <c r="H409"/>
      <c r="I409"/>
    </row>
    <row r="410" spans="2:9" x14ac:dyDescent="0.25">
      <c r="B410"/>
      <c r="C410"/>
      <c r="D410"/>
      <c r="E410"/>
      <c r="G410"/>
      <c r="H410"/>
      <c r="I410"/>
    </row>
    <row r="411" spans="2:9" x14ac:dyDescent="0.25">
      <c r="B411"/>
      <c r="C411"/>
      <c r="D411"/>
      <c r="E411"/>
      <c r="G411"/>
      <c r="H411"/>
      <c r="I411"/>
    </row>
    <row r="412" spans="2:9" x14ac:dyDescent="0.25">
      <c r="B412"/>
      <c r="C412"/>
      <c r="D412"/>
      <c r="E412"/>
      <c r="G412"/>
      <c r="H412"/>
      <c r="I412"/>
    </row>
    <row r="413" spans="2:9" x14ac:dyDescent="0.25">
      <c r="B413"/>
      <c r="C413"/>
      <c r="D413"/>
      <c r="E413"/>
      <c r="G413"/>
      <c r="H413"/>
      <c r="I413"/>
    </row>
    <row r="414" spans="2:9" x14ac:dyDescent="0.25">
      <c r="B414"/>
      <c r="C414"/>
      <c r="D414"/>
      <c r="E414"/>
      <c r="G414"/>
      <c r="H414"/>
      <c r="I414"/>
    </row>
    <row r="415" spans="2:9" x14ac:dyDescent="0.25">
      <c r="B415"/>
      <c r="C415"/>
      <c r="D415"/>
      <c r="E415"/>
      <c r="G415"/>
      <c r="H415"/>
      <c r="I415"/>
    </row>
    <row r="416" spans="2:9" x14ac:dyDescent="0.25">
      <c r="B416"/>
      <c r="C416"/>
      <c r="D416"/>
      <c r="E416"/>
      <c r="G416"/>
      <c r="H416"/>
      <c r="I416"/>
    </row>
    <row r="417" spans="2:9" x14ac:dyDescent="0.25">
      <c r="B417"/>
      <c r="C417"/>
      <c r="D417"/>
      <c r="E417"/>
      <c r="G417"/>
      <c r="H417"/>
      <c r="I417"/>
    </row>
    <row r="418" spans="2:9" x14ac:dyDescent="0.25">
      <c r="B418"/>
      <c r="C418"/>
      <c r="D418"/>
      <c r="E418"/>
      <c r="G418"/>
      <c r="H418"/>
      <c r="I418"/>
    </row>
    <row r="419" spans="2:9" x14ac:dyDescent="0.25">
      <c r="B419"/>
      <c r="C419"/>
      <c r="D419"/>
      <c r="E419"/>
      <c r="G419"/>
      <c r="H419"/>
      <c r="I419"/>
    </row>
    <row r="420" spans="2:9" x14ac:dyDescent="0.25">
      <c r="B420"/>
      <c r="C420"/>
      <c r="D420"/>
      <c r="E420"/>
      <c r="G420"/>
      <c r="H420"/>
      <c r="I420"/>
    </row>
    <row r="421" spans="2:9" x14ac:dyDescent="0.25">
      <c r="B421"/>
      <c r="C421"/>
      <c r="D421"/>
      <c r="E421"/>
      <c r="G421"/>
      <c r="H421"/>
      <c r="I421"/>
    </row>
    <row r="422" spans="2:9" x14ac:dyDescent="0.25">
      <c r="B422"/>
      <c r="C422"/>
      <c r="D422"/>
      <c r="E422"/>
      <c r="G422"/>
      <c r="H422"/>
      <c r="I422"/>
    </row>
    <row r="423" spans="2:9" x14ac:dyDescent="0.25">
      <c r="B423"/>
      <c r="C423"/>
      <c r="D423"/>
      <c r="E423"/>
      <c r="G423"/>
      <c r="H423"/>
      <c r="I423"/>
    </row>
    <row r="424" spans="2:9" x14ac:dyDescent="0.25">
      <c r="B424"/>
      <c r="C424"/>
      <c r="D424"/>
      <c r="E424"/>
      <c r="G424"/>
      <c r="H424"/>
      <c r="I424"/>
    </row>
    <row r="425" spans="2:9" x14ac:dyDescent="0.25">
      <c r="B425"/>
      <c r="C425"/>
      <c r="D425"/>
      <c r="E425"/>
      <c r="G425"/>
      <c r="H425"/>
      <c r="I425"/>
    </row>
    <row r="426" spans="2:9" x14ac:dyDescent="0.25">
      <c r="B426"/>
      <c r="C426"/>
      <c r="D426"/>
      <c r="E426"/>
      <c r="G426"/>
      <c r="H426"/>
      <c r="I426"/>
    </row>
    <row r="427" spans="2:9" x14ac:dyDescent="0.25">
      <c r="B427"/>
      <c r="C427"/>
      <c r="D427"/>
      <c r="E427"/>
      <c r="G427"/>
      <c r="H427"/>
      <c r="I427"/>
    </row>
    <row r="428" spans="2:9" x14ac:dyDescent="0.25">
      <c r="B428"/>
      <c r="C428"/>
      <c r="D428"/>
      <c r="E428"/>
      <c r="G428"/>
      <c r="H428"/>
      <c r="I428"/>
    </row>
    <row r="429" spans="2:9" x14ac:dyDescent="0.25">
      <c r="B429"/>
      <c r="C429"/>
      <c r="D429"/>
      <c r="E429"/>
      <c r="G429"/>
      <c r="H429"/>
      <c r="I429"/>
    </row>
    <row r="430" spans="2:9" x14ac:dyDescent="0.25">
      <c r="B430"/>
      <c r="C430"/>
      <c r="D430"/>
      <c r="E430"/>
      <c r="G430"/>
      <c r="H430"/>
      <c r="I430"/>
    </row>
    <row r="431" spans="2:9" x14ac:dyDescent="0.25">
      <c r="B431"/>
      <c r="C431"/>
      <c r="D431"/>
      <c r="E431"/>
      <c r="G431"/>
      <c r="H431"/>
      <c r="I431"/>
    </row>
    <row r="432" spans="2:9" x14ac:dyDescent="0.25">
      <c r="B432"/>
      <c r="C432"/>
      <c r="D432"/>
      <c r="E432"/>
      <c r="G432"/>
      <c r="H432"/>
      <c r="I432"/>
    </row>
    <row r="433" spans="2:9" x14ac:dyDescent="0.25">
      <c r="B433"/>
      <c r="C433"/>
      <c r="D433"/>
      <c r="E433"/>
      <c r="G433"/>
      <c r="H433"/>
      <c r="I433"/>
    </row>
    <row r="434" spans="2:9" x14ac:dyDescent="0.25">
      <c r="B434"/>
      <c r="C434"/>
      <c r="D434"/>
      <c r="E434"/>
      <c r="G434"/>
      <c r="H434"/>
      <c r="I434"/>
    </row>
    <row r="435" spans="2:9" x14ac:dyDescent="0.25">
      <c r="B435"/>
      <c r="C435"/>
      <c r="D435"/>
      <c r="E435"/>
      <c r="G435"/>
      <c r="H435"/>
      <c r="I435"/>
    </row>
    <row r="436" spans="2:9" x14ac:dyDescent="0.25">
      <c r="B436"/>
      <c r="C436"/>
      <c r="D436"/>
      <c r="E436"/>
      <c r="G436"/>
      <c r="H436"/>
      <c r="I436"/>
    </row>
    <row r="437" spans="2:9" x14ac:dyDescent="0.25">
      <c r="B437"/>
      <c r="C437"/>
      <c r="D437"/>
      <c r="E437"/>
      <c r="G437"/>
      <c r="H437"/>
      <c r="I437"/>
    </row>
    <row r="438" spans="2:9" x14ac:dyDescent="0.25">
      <c r="B438"/>
      <c r="C438"/>
      <c r="D438"/>
      <c r="E438"/>
      <c r="G438"/>
      <c r="H438"/>
      <c r="I438"/>
    </row>
    <row r="439" spans="2:9" x14ac:dyDescent="0.25">
      <c r="B439"/>
      <c r="C439"/>
      <c r="D439"/>
      <c r="E439"/>
      <c r="G439"/>
      <c r="H439"/>
      <c r="I439"/>
    </row>
    <row r="440" spans="2:9" x14ac:dyDescent="0.25">
      <c r="B440"/>
      <c r="C440"/>
      <c r="D440"/>
      <c r="E440"/>
      <c r="G440"/>
      <c r="H440"/>
      <c r="I440"/>
    </row>
    <row r="441" spans="2:9" x14ac:dyDescent="0.25">
      <c r="B441"/>
      <c r="C441"/>
      <c r="D441"/>
      <c r="E441"/>
      <c r="G441"/>
      <c r="H441"/>
      <c r="I441"/>
    </row>
    <row r="442" spans="2:9" x14ac:dyDescent="0.25">
      <c r="B442"/>
      <c r="C442"/>
      <c r="D442"/>
      <c r="E442"/>
      <c r="G442"/>
      <c r="H442"/>
      <c r="I442"/>
    </row>
    <row r="443" spans="2:9" x14ac:dyDescent="0.25">
      <c r="B443"/>
      <c r="C443"/>
      <c r="D443"/>
      <c r="E443"/>
      <c r="G443"/>
      <c r="H443"/>
      <c r="I443"/>
    </row>
    <row r="444" spans="2:9" x14ac:dyDescent="0.25">
      <c r="B444"/>
      <c r="C444"/>
      <c r="D444"/>
      <c r="E444"/>
      <c r="G444"/>
      <c r="H444"/>
      <c r="I444"/>
    </row>
    <row r="445" spans="2:9" x14ac:dyDescent="0.25">
      <c r="B445"/>
      <c r="C445"/>
      <c r="D445"/>
      <c r="E445"/>
      <c r="G445"/>
      <c r="H445"/>
      <c r="I445"/>
    </row>
    <row r="446" spans="2:9" x14ac:dyDescent="0.25">
      <c r="B446"/>
      <c r="C446"/>
      <c r="D446"/>
      <c r="E446"/>
      <c r="G446"/>
      <c r="H446"/>
      <c r="I446"/>
    </row>
    <row r="447" spans="2:9" x14ac:dyDescent="0.25">
      <c r="B447"/>
      <c r="C447"/>
      <c r="D447"/>
      <c r="E447"/>
      <c r="G447"/>
      <c r="H447"/>
      <c r="I447"/>
    </row>
    <row r="448" spans="2:9" x14ac:dyDescent="0.25">
      <c r="B448"/>
      <c r="C448"/>
      <c r="D448"/>
      <c r="E448"/>
      <c r="G448"/>
      <c r="H448"/>
      <c r="I448"/>
    </row>
    <row r="449" spans="2:9" x14ac:dyDescent="0.25">
      <c r="B449"/>
      <c r="C449"/>
      <c r="D449"/>
      <c r="E449"/>
      <c r="G449"/>
      <c r="H449"/>
      <c r="I449"/>
    </row>
    <row r="450" spans="2:9" x14ac:dyDescent="0.25">
      <c r="B450"/>
      <c r="C450"/>
      <c r="D450"/>
      <c r="E450"/>
      <c r="G450"/>
      <c r="H450"/>
      <c r="I450"/>
    </row>
    <row r="451" spans="2:9" x14ac:dyDescent="0.25">
      <c r="B451"/>
      <c r="C451"/>
      <c r="D451"/>
      <c r="E451"/>
      <c r="G451"/>
      <c r="H451"/>
      <c r="I451"/>
    </row>
    <row r="452" spans="2:9" x14ac:dyDescent="0.25">
      <c r="B452"/>
      <c r="C452"/>
      <c r="D452"/>
      <c r="E452"/>
      <c r="G452"/>
      <c r="H452"/>
      <c r="I452"/>
    </row>
    <row r="453" spans="2:9" x14ac:dyDescent="0.25">
      <c r="B453"/>
      <c r="C453"/>
      <c r="D453"/>
      <c r="E453"/>
      <c r="G453"/>
      <c r="H453"/>
      <c r="I453"/>
    </row>
    <row r="454" spans="2:9" x14ac:dyDescent="0.25">
      <c r="B454"/>
      <c r="C454"/>
      <c r="D454"/>
      <c r="E454"/>
      <c r="G454"/>
      <c r="H454"/>
      <c r="I454"/>
    </row>
    <row r="455" spans="2:9" x14ac:dyDescent="0.25">
      <c r="B455"/>
      <c r="C455"/>
      <c r="D455"/>
      <c r="E455"/>
      <c r="G455"/>
      <c r="H455"/>
      <c r="I455"/>
    </row>
    <row r="456" spans="2:9" x14ac:dyDescent="0.25">
      <c r="B456"/>
      <c r="C456"/>
      <c r="D456"/>
      <c r="E456"/>
      <c r="G456"/>
      <c r="H456"/>
      <c r="I456"/>
    </row>
    <row r="457" spans="2:9" x14ac:dyDescent="0.25">
      <c r="B457"/>
      <c r="C457"/>
      <c r="D457"/>
      <c r="E457"/>
      <c r="G457"/>
      <c r="H457"/>
      <c r="I457"/>
    </row>
    <row r="458" spans="2:9" x14ac:dyDescent="0.25">
      <c r="B458"/>
      <c r="C458"/>
      <c r="D458"/>
      <c r="E458"/>
      <c r="G458"/>
      <c r="H458"/>
      <c r="I458"/>
    </row>
    <row r="459" spans="2:9" x14ac:dyDescent="0.25">
      <c r="B459"/>
      <c r="C459"/>
      <c r="D459"/>
      <c r="E459"/>
      <c r="G459"/>
      <c r="H459"/>
      <c r="I459"/>
    </row>
    <row r="460" spans="2:9" x14ac:dyDescent="0.25">
      <c r="B460"/>
      <c r="C460"/>
      <c r="D460"/>
      <c r="E460"/>
      <c r="G460"/>
      <c r="H460"/>
      <c r="I460"/>
    </row>
    <row r="461" spans="2:9" x14ac:dyDescent="0.25">
      <c r="B461"/>
      <c r="C461"/>
      <c r="D461"/>
      <c r="E461"/>
      <c r="G461"/>
      <c r="H461"/>
      <c r="I461"/>
    </row>
    <row r="462" spans="2:9" x14ac:dyDescent="0.25">
      <c r="B462"/>
      <c r="C462"/>
      <c r="D462"/>
      <c r="E462"/>
      <c r="G462"/>
      <c r="H462"/>
      <c r="I462"/>
    </row>
    <row r="463" spans="2:9" x14ac:dyDescent="0.25">
      <c r="B463"/>
      <c r="C463"/>
      <c r="D463"/>
      <c r="E463"/>
      <c r="G463"/>
      <c r="H463"/>
      <c r="I463"/>
    </row>
    <row r="464" spans="2:9" x14ac:dyDescent="0.25">
      <c r="B464"/>
      <c r="C464"/>
      <c r="D464"/>
      <c r="E464"/>
      <c r="G464"/>
      <c r="H464"/>
      <c r="I464"/>
    </row>
    <row r="465" spans="2:9" x14ac:dyDescent="0.25">
      <c r="B465"/>
      <c r="C465"/>
      <c r="D465"/>
      <c r="E465"/>
      <c r="G465"/>
      <c r="H465"/>
      <c r="I465"/>
    </row>
    <row r="466" spans="2:9" x14ac:dyDescent="0.25">
      <c r="B466"/>
      <c r="C466"/>
      <c r="D466"/>
      <c r="E466"/>
      <c r="G466"/>
      <c r="H466"/>
      <c r="I466"/>
    </row>
    <row r="467" spans="2:9" x14ac:dyDescent="0.25">
      <c r="B467"/>
      <c r="C467"/>
      <c r="D467"/>
      <c r="E467"/>
      <c r="G467"/>
      <c r="H467"/>
      <c r="I467"/>
    </row>
    <row r="468" spans="2:9" x14ac:dyDescent="0.25">
      <c r="B468"/>
      <c r="C468"/>
      <c r="D468"/>
      <c r="E468"/>
      <c r="G468"/>
      <c r="H468"/>
      <c r="I468"/>
    </row>
    <row r="469" spans="2:9" x14ac:dyDescent="0.25">
      <c r="B469"/>
      <c r="C469"/>
      <c r="D469"/>
      <c r="E469"/>
      <c r="G469"/>
      <c r="H469"/>
      <c r="I469"/>
    </row>
    <row r="470" spans="2:9" x14ac:dyDescent="0.25">
      <c r="B470"/>
      <c r="C470"/>
      <c r="D470"/>
      <c r="E470"/>
      <c r="G470"/>
      <c r="H470"/>
      <c r="I470"/>
    </row>
    <row r="471" spans="2:9" x14ac:dyDescent="0.25">
      <c r="B471"/>
      <c r="C471"/>
      <c r="D471"/>
      <c r="E471"/>
      <c r="G471"/>
      <c r="H471"/>
      <c r="I471"/>
    </row>
    <row r="472" spans="2:9" x14ac:dyDescent="0.25">
      <c r="B472"/>
      <c r="C472"/>
      <c r="D472"/>
      <c r="E472"/>
      <c r="G472"/>
      <c r="H472"/>
      <c r="I472"/>
    </row>
    <row r="473" spans="2:9" x14ac:dyDescent="0.25">
      <c r="B473"/>
      <c r="C473"/>
      <c r="D473"/>
      <c r="E473"/>
      <c r="G473"/>
      <c r="H473"/>
      <c r="I473"/>
    </row>
    <row r="474" spans="2:9" x14ac:dyDescent="0.25">
      <c r="B474"/>
      <c r="C474"/>
      <c r="D474"/>
      <c r="E474"/>
      <c r="G474"/>
      <c r="H474"/>
      <c r="I474"/>
    </row>
    <row r="475" spans="2:9" x14ac:dyDescent="0.25">
      <c r="B475"/>
      <c r="C475"/>
      <c r="D475"/>
      <c r="E475"/>
      <c r="G475"/>
      <c r="H475"/>
      <c r="I475"/>
    </row>
    <row r="476" spans="2:9" x14ac:dyDescent="0.25">
      <c r="B476"/>
      <c r="C476"/>
      <c r="D476"/>
      <c r="E476"/>
      <c r="G476"/>
      <c r="H476"/>
      <c r="I476"/>
    </row>
    <row r="477" spans="2:9" x14ac:dyDescent="0.25">
      <c r="B477"/>
      <c r="C477"/>
      <c r="D477"/>
      <c r="E477"/>
      <c r="G477"/>
      <c r="H477"/>
      <c r="I477"/>
    </row>
    <row r="478" spans="2:9" x14ac:dyDescent="0.25">
      <c r="B478"/>
      <c r="C478"/>
      <c r="D478"/>
      <c r="E478"/>
      <c r="G478"/>
      <c r="H478"/>
      <c r="I478"/>
    </row>
    <row r="479" spans="2:9" x14ac:dyDescent="0.25">
      <c r="B479"/>
      <c r="C479"/>
      <c r="D479"/>
      <c r="E479"/>
      <c r="G479"/>
      <c r="H479"/>
      <c r="I479"/>
    </row>
    <row r="480" spans="2:9" x14ac:dyDescent="0.25">
      <c r="B480"/>
      <c r="C480"/>
      <c r="D480"/>
      <c r="E480"/>
      <c r="G480"/>
      <c r="H480"/>
      <c r="I480"/>
    </row>
    <row r="481" spans="2:9" x14ac:dyDescent="0.25">
      <c r="B481"/>
      <c r="C481"/>
      <c r="D481"/>
      <c r="E481"/>
      <c r="G481"/>
      <c r="H481"/>
      <c r="I481"/>
    </row>
    <row r="482" spans="2:9" x14ac:dyDescent="0.25">
      <c r="B482"/>
      <c r="C482"/>
      <c r="D482"/>
      <c r="E482"/>
      <c r="G482"/>
      <c r="H482"/>
      <c r="I482"/>
    </row>
    <row r="483" spans="2:9" x14ac:dyDescent="0.25">
      <c r="B483"/>
      <c r="C483"/>
      <c r="D483"/>
      <c r="E483"/>
      <c r="G483"/>
      <c r="H483"/>
      <c r="I483"/>
    </row>
    <row r="484" spans="2:9" x14ac:dyDescent="0.25">
      <c r="B484"/>
      <c r="C484"/>
      <c r="D484"/>
      <c r="E484"/>
      <c r="G484"/>
      <c r="H484"/>
      <c r="I484"/>
    </row>
    <row r="485" spans="2:9" x14ac:dyDescent="0.25">
      <c r="B485"/>
      <c r="C485"/>
      <c r="D485"/>
      <c r="E485"/>
      <c r="G485"/>
      <c r="H485"/>
      <c r="I485"/>
    </row>
    <row r="486" spans="2:9" x14ac:dyDescent="0.25">
      <c r="B486"/>
      <c r="C486"/>
      <c r="D486"/>
      <c r="E486"/>
      <c r="G486"/>
      <c r="H486"/>
      <c r="I486"/>
    </row>
    <row r="487" spans="2:9" x14ac:dyDescent="0.25">
      <c r="B487"/>
      <c r="C487"/>
      <c r="D487"/>
      <c r="E487"/>
      <c r="G487"/>
      <c r="H487"/>
      <c r="I487"/>
    </row>
    <row r="488" spans="2:9" x14ac:dyDescent="0.25">
      <c r="B488"/>
      <c r="C488"/>
      <c r="D488"/>
      <c r="E488"/>
      <c r="G488"/>
      <c r="H488"/>
      <c r="I488"/>
    </row>
    <row r="489" spans="2:9" x14ac:dyDescent="0.25">
      <c r="B489"/>
      <c r="C489"/>
      <c r="D489"/>
      <c r="E489"/>
      <c r="G489"/>
      <c r="H489"/>
      <c r="I489"/>
    </row>
    <row r="490" spans="2:9" x14ac:dyDescent="0.25">
      <c r="B490"/>
      <c r="C490"/>
      <c r="D490"/>
      <c r="E490"/>
      <c r="G490"/>
      <c r="H490"/>
      <c r="I490"/>
    </row>
    <row r="491" spans="2:9" x14ac:dyDescent="0.25">
      <c r="B491"/>
      <c r="C491"/>
      <c r="D491"/>
      <c r="E491"/>
      <c r="G491"/>
      <c r="H491"/>
      <c r="I491"/>
    </row>
    <row r="492" spans="2:9" x14ac:dyDescent="0.25">
      <c r="B492"/>
      <c r="C492"/>
      <c r="D492"/>
      <c r="E492"/>
      <c r="G492"/>
      <c r="H492"/>
      <c r="I492"/>
    </row>
    <row r="493" spans="2:9" x14ac:dyDescent="0.25">
      <c r="B493"/>
      <c r="C493"/>
      <c r="D493"/>
      <c r="E493"/>
      <c r="G493"/>
      <c r="H493"/>
      <c r="I493"/>
    </row>
    <row r="494" spans="2:9" x14ac:dyDescent="0.25">
      <c r="B494"/>
      <c r="C494"/>
      <c r="D494"/>
      <c r="E494"/>
      <c r="G494"/>
      <c r="H494"/>
      <c r="I494"/>
    </row>
    <row r="495" spans="2:9" x14ac:dyDescent="0.25">
      <c r="B495"/>
      <c r="C495"/>
      <c r="D495"/>
      <c r="E495"/>
      <c r="G495"/>
      <c r="H495"/>
      <c r="I495"/>
    </row>
    <row r="496" spans="2:9" x14ac:dyDescent="0.25">
      <c r="B496"/>
      <c r="C496"/>
      <c r="D496"/>
      <c r="E496"/>
      <c r="G496"/>
      <c r="H496"/>
      <c r="I496"/>
    </row>
    <row r="497" spans="2:9" x14ac:dyDescent="0.25">
      <c r="B497"/>
      <c r="C497"/>
      <c r="D497"/>
      <c r="E497"/>
      <c r="G497"/>
      <c r="H497"/>
      <c r="I497"/>
    </row>
    <row r="498" spans="2:9" x14ac:dyDescent="0.25">
      <c r="B498"/>
      <c r="C498"/>
      <c r="D498"/>
      <c r="E498"/>
      <c r="G498"/>
      <c r="H498"/>
      <c r="I498"/>
    </row>
    <row r="499" spans="2:9" x14ac:dyDescent="0.25">
      <c r="B499"/>
      <c r="C499"/>
      <c r="D499"/>
      <c r="E499"/>
      <c r="G499"/>
      <c r="H499"/>
      <c r="I499"/>
    </row>
    <row r="500" spans="2:9" x14ac:dyDescent="0.25">
      <c r="B500"/>
      <c r="C500"/>
      <c r="D500"/>
      <c r="E500"/>
      <c r="G500"/>
      <c r="H500"/>
      <c r="I500"/>
    </row>
    <row r="501" spans="2:9" x14ac:dyDescent="0.25">
      <c r="B501"/>
      <c r="C501"/>
      <c r="D501"/>
      <c r="E501"/>
      <c r="G501"/>
      <c r="H501"/>
      <c r="I501"/>
    </row>
    <row r="502" spans="2:9" x14ac:dyDescent="0.25">
      <c r="B502"/>
      <c r="C502"/>
      <c r="D502"/>
      <c r="E502"/>
      <c r="G502"/>
      <c r="H502"/>
      <c r="I502"/>
    </row>
    <row r="503" spans="2:9" x14ac:dyDescent="0.25">
      <c r="B503"/>
      <c r="C503"/>
      <c r="D503"/>
      <c r="E503"/>
      <c r="G503"/>
      <c r="H503"/>
      <c r="I503"/>
    </row>
    <row r="504" spans="2:9" x14ac:dyDescent="0.25">
      <c r="B504"/>
      <c r="C504"/>
      <c r="D504"/>
      <c r="E504"/>
      <c r="G504"/>
      <c r="H504"/>
      <c r="I504"/>
    </row>
    <row r="505" spans="2:9" x14ac:dyDescent="0.25">
      <c r="B505"/>
      <c r="C505"/>
      <c r="D505"/>
      <c r="E505"/>
      <c r="G505"/>
      <c r="H505"/>
      <c r="I505"/>
    </row>
    <row r="506" spans="2:9" x14ac:dyDescent="0.25">
      <c r="B506"/>
      <c r="C506"/>
      <c r="D506"/>
      <c r="E506"/>
      <c r="G506"/>
      <c r="H506"/>
      <c r="I506"/>
    </row>
    <row r="507" spans="2:9" x14ac:dyDescent="0.25">
      <c r="B507"/>
      <c r="C507"/>
      <c r="D507"/>
      <c r="E507"/>
      <c r="G507"/>
      <c r="H507"/>
      <c r="I507"/>
    </row>
    <row r="508" spans="2:9" x14ac:dyDescent="0.25">
      <c r="B508"/>
      <c r="C508"/>
      <c r="D508"/>
      <c r="E508"/>
      <c r="G508"/>
      <c r="H508"/>
      <c r="I508"/>
    </row>
    <row r="509" spans="2:9" x14ac:dyDescent="0.25">
      <c r="B509"/>
      <c r="C509"/>
      <c r="D509"/>
      <c r="E509"/>
      <c r="G509"/>
      <c r="H509"/>
      <c r="I509"/>
    </row>
    <row r="510" spans="2:9" x14ac:dyDescent="0.25">
      <c r="B510"/>
      <c r="C510"/>
      <c r="D510"/>
      <c r="E510"/>
      <c r="G510"/>
      <c r="H510"/>
      <c r="I510"/>
    </row>
    <row r="511" spans="2:9" x14ac:dyDescent="0.25">
      <c r="B511"/>
      <c r="C511"/>
      <c r="D511"/>
      <c r="E511"/>
      <c r="G511"/>
      <c r="H511"/>
      <c r="I511"/>
    </row>
    <row r="512" spans="2:9" x14ac:dyDescent="0.25">
      <c r="B512"/>
      <c r="C512"/>
      <c r="D512"/>
      <c r="E512"/>
      <c r="G512"/>
      <c r="H512"/>
      <c r="I512"/>
    </row>
    <row r="513" spans="2:9" x14ac:dyDescent="0.25">
      <c r="B513"/>
      <c r="C513"/>
      <c r="D513"/>
      <c r="E513"/>
      <c r="G513"/>
      <c r="H513"/>
      <c r="I513"/>
    </row>
    <row r="514" spans="2:9" x14ac:dyDescent="0.25">
      <c r="B514"/>
      <c r="C514"/>
      <c r="D514"/>
      <c r="E514"/>
      <c r="G514"/>
      <c r="H514"/>
      <c r="I514"/>
    </row>
    <row r="515" spans="2:9" x14ac:dyDescent="0.25">
      <c r="B515"/>
      <c r="C515"/>
      <c r="D515"/>
      <c r="E515"/>
      <c r="G515"/>
      <c r="H515"/>
      <c r="I515"/>
    </row>
    <row r="516" spans="2:9" x14ac:dyDescent="0.25">
      <c r="B516"/>
      <c r="C516"/>
      <c r="D516"/>
      <c r="E516"/>
      <c r="G516"/>
      <c r="H516"/>
      <c r="I516"/>
    </row>
    <row r="517" spans="2:9" x14ac:dyDescent="0.25">
      <c r="B517"/>
      <c r="C517"/>
      <c r="D517"/>
      <c r="E517"/>
      <c r="G517"/>
      <c r="H517"/>
      <c r="I517"/>
    </row>
    <row r="518" spans="2:9" x14ac:dyDescent="0.25">
      <c r="B518"/>
      <c r="C518"/>
      <c r="D518"/>
      <c r="E518"/>
      <c r="G518"/>
      <c r="H518"/>
      <c r="I518"/>
    </row>
    <row r="519" spans="2:9" x14ac:dyDescent="0.25">
      <c r="B519"/>
      <c r="C519"/>
      <c r="D519"/>
      <c r="E519"/>
      <c r="G519"/>
      <c r="H519"/>
      <c r="I519"/>
    </row>
    <row r="520" spans="2:9" x14ac:dyDescent="0.25">
      <c r="B520"/>
      <c r="C520"/>
      <c r="D520"/>
      <c r="E520"/>
      <c r="G520"/>
      <c r="H520"/>
      <c r="I520"/>
    </row>
    <row r="521" spans="2:9" x14ac:dyDescent="0.25">
      <c r="B521"/>
      <c r="C521"/>
      <c r="D521"/>
      <c r="E521"/>
      <c r="G521"/>
      <c r="H521"/>
      <c r="I521"/>
    </row>
    <row r="522" spans="2:9" x14ac:dyDescent="0.25">
      <c r="B522"/>
      <c r="C522"/>
      <c r="D522"/>
      <c r="E522"/>
      <c r="G522"/>
      <c r="H522"/>
      <c r="I522"/>
    </row>
    <row r="523" spans="2:9" x14ac:dyDescent="0.25">
      <c r="B523"/>
      <c r="C523"/>
      <c r="D523"/>
      <c r="E523"/>
      <c r="G523"/>
      <c r="H523"/>
      <c r="I523"/>
    </row>
    <row r="524" spans="2:9" x14ac:dyDescent="0.25">
      <c r="B524"/>
      <c r="C524"/>
      <c r="D524"/>
      <c r="E524"/>
      <c r="G524"/>
      <c r="H524"/>
      <c r="I524"/>
    </row>
    <row r="525" spans="2:9" x14ac:dyDescent="0.25">
      <c r="B525"/>
      <c r="C525"/>
      <c r="D525"/>
      <c r="E525"/>
      <c r="G525"/>
      <c r="H525"/>
      <c r="I525"/>
    </row>
    <row r="526" spans="2:9" x14ac:dyDescent="0.25">
      <c r="B526"/>
      <c r="C526"/>
      <c r="D526"/>
      <c r="E526"/>
      <c r="G526"/>
      <c r="H526"/>
      <c r="I526"/>
    </row>
    <row r="527" spans="2:9" x14ac:dyDescent="0.25">
      <c r="B527"/>
      <c r="C527"/>
      <c r="D527"/>
      <c r="E527"/>
      <c r="G527"/>
      <c r="H527"/>
      <c r="I527"/>
    </row>
    <row r="528" spans="2:9" x14ac:dyDescent="0.25">
      <c r="B528"/>
      <c r="C528"/>
      <c r="D528"/>
      <c r="E528"/>
      <c r="G528"/>
      <c r="H528"/>
      <c r="I528"/>
    </row>
    <row r="529" spans="2:9" x14ac:dyDescent="0.25">
      <c r="B529"/>
      <c r="C529"/>
      <c r="D529"/>
      <c r="E529"/>
      <c r="G529"/>
      <c r="H529"/>
      <c r="I529"/>
    </row>
    <row r="530" spans="2:9" x14ac:dyDescent="0.25">
      <c r="B530"/>
      <c r="C530"/>
      <c r="D530"/>
      <c r="E530"/>
      <c r="G530"/>
      <c r="H530"/>
      <c r="I530"/>
    </row>
    <row r="531" spans="2:9" x14ac:dyDescent="0.25">
      <c r="B531"/>
      <c r="C531"/>
      <c r="D531"/>
      <c r="E531"/>
      <c r="G531"/>
      <c r="H531"/>
      <c r="I531"/>
    </row>
    <row r="532" spans="2:9" x14ac:dyDescent="0.25">
      <c r="B532"/>
      <c r="C532"/>
      <c r="D532"/>
      <c r="E532"/>
      <c r="G532"/>
      <c r="H532"/>
      <c r="I532"/>
    </row>
    <row r="533" spans="2:9" x14ac:dyDescent="0.25">
      <c r="B533"/>
      <c r="C533"/>
      <c r="D533"/>
      <c r="E533"/>
      <c r="G533"/>
      <c r="H533"/>
      <c r="I533"/>
    </row>
    <row r="534" spans="2:9" x14ac:dyDescent="0.25">
      <c r="B534"/>
      <c r="C534"/>
      <c r="D534"/>
      <c r="E534"/>
      <c r="G534"/>
      <c r="H534"/>
      <c r="I534"/>
    </row>
    <row r="535" spans="2:9" x14ac:dyDescent="0.25">
      <c r="B535"/>
      <c r="C535"/>
      <c r="D535"/>
      <c r="E535"/>
      <c r="G535"/>
      <c r="H535"/>
      <c r="I535"/>
    </row>
    <row r="536" spans="2:9" x14ac:dyDescent="0.25">
      <c r="B536"/>
      <c r="C536"/>
      <c r="D536"/>
      <c r="E536"/>
      <c r="G536"/>
      <c r="H536"/>
      <c r="I536"/>
    </row>
    <row r="537" spans="2:9" x14ac:dyDescent="0.25">
      <c r="B537"/>
      <c r="C537"/>
      <c r="D537"/>
      <c r="E537"/>
      <c r="G537"/>
      <c r="H537"/>
      <c r="I537"/>
    </row>
    <row r="538" spans="2:9" x14ac:dyDescent="0.25">
      <c r="B538"/>
      <c r="C538"/>
      <c r="D538"/>
      <c r="E538"/>
      <c r="G538"/>
      <c r="H538"/>
      <c r="I538"/>
    </row>
    <row r="539" spans="2:9" x14ac:dyDescent="0.25">
      <c r="B539"/>
      <c r="C539"/>
      <c r="D539"/>
      <c r="E539"/>
      <c r="G539"/>
      <c r="H539"/>
      <c r="I539"/>
    </row>
    <row r="540" spans="2:9" x14ac:dyDescent="0.25">
      <c r="B540"/>
      <c r="C540"/>
      <c r="D540"/>
      <c r="E540"/>
      <c r="G540"/>
      <c r="H540"/>
      <c r="I540"/>
    </row>
    <row r="541" spans="2:9" x14ac:dyDescent="0.25">
      <c r="B541"/>
      <c r="C541"/>
      <c r="D541"/>
      <c r="E541"/>
      <c r="G541"/>
      <c r="H541"/>
      <c r="I541"/>
    </row>
    <row r="542" spans="2:9" x14ac:dyDescent="0.25">
      <c r="B542"/>
      <c r="C542"/>
      <c r="D542"/>
      <c r="E542"/>
      <c r="G542"/>
      <c r="H542"/>
      <c r="I542"/>
    </row>
    <row r="543" spans="2:9" x14ac:dyDescent="0.25">
      <c r="B543"/>
      <c r="C543"/>
      <c r="D543"/>
      <c r="E543"/>
      <c r="G543"/>
      <c r="H543"/>
      <c r="I543"/>
    </row>
    <row r="544" spans="2:9" x14ac:dyDescent="0.25">
      <c r="B544"/>
      <c r="C544"/>
      <c r="D544"/>
      <c r="E544"/>
      <c r="G544"/>
      <c r="H544"/>
      <c r="I544"/>
    </row>
    <row r="545" spans="2:9" x14ac:dyDescent="0.25">
      <c r="B545"/>
      <c r="C545"/>
      <c r="D545"/>
      <c r="E545"/>
      <c r="G545"/>
      <c r="H545"/>
      <c r="I545"/>
    </row>
    <row r="546" spans="2:9" x14ac:dyDescent="0.25">
      <c r="B546"/>
      <c r="C546"/>
      <c r="D546"/>
      <c r="E546"/>
      <c r="G546"/>
      <c r="H546"/>
      <c r="I546"/>
    </row>
    <row r="547" spans="2:9" x14ac:dyDescent="0.25">
      <c r="B547"/>
      <c r="C547"/>
      <c r="D547"/>
      <c r="E547"/>
      <c r="G547"/>
      <c r="H547"/>
      <c r="I547"/>
    </row>
    <row r="548" spans="2:9" x14ac:dyDescent="0.25">
      <c r="B548"/>
      <c r="C548"/>
      <c r="D548"/>
      <c r="E548"/>
      <c r="G548"/>
      <c r="H548"/>
      <c r="I548"/>
    </row>
    <row r="549" spans="2:9" x14ac:dyDescent="0.25">
      <c r="B549"/>
      <c r="C549"/>
      <c r="D549"/>
      <c r="E549"/>
      <c r="G549"/>
      <c r="H549"/>
      <c r="I549"/>
    </row>
    <row r="550" spans="2:9" x14ac:dyDescent="0.25">
      <c r="B550"/>
      <c r="C550"/>
      <c r="D550"/>
      <c r="E550"/>
      <c r="G550"/>
      <c r="H550"/>
      <c r="I550"/>
    </row>
    <row r="551" spans="2:9" x14ac:dyDescent="0.25">
      <c r="B551"/>
      <c r="C551"/>
      <c r="D551"/>
      <c r="E551"/>
      <c r="G551"/>
      <c r="H551"/>
      <c r="I551"/>
    </row>
    <row r="552" spans="2:9" x14ac:dyDescent="0.25">
      <c r="B552"/>
      <c r="C552"/>
      <c r="D552"/>
      <c r="E552"/>
      <c r="G552"/>
      <c r="H552"/>
      <c r="I552"/>
    </row>
    <row r="553" spans="2:9" x14ac:dyDescent="0.25">
      <c r="B553"/>
      <c r="C553"/>
      <c r="D553"/>
      <c r="E553"/>
      <c r="G553"/>
      <c r="H553"/>
      <c r="I553"/>
    </row>
    <row r="554" spans="2:9" x14ac:dyDescent="0.25">
      <c r="B554"/>
      <c r="C554"/>
      <c r="D554"/>
      <c r="E554"/>
      <c r="G554"/>
      <c r="H554"/>
      <c r="I554"/>
    </row>
    <row r="555" spans="2:9" x14ac:dyDescent="0.25">
      <c r="B555"/>
      <c r="C555"/>
      <c r="D555"/>
      <c r="E555"/>
      <c r="G555"/>
      <c r="H555"/>
      <c r="I555"/>
    </row>
    <row r="556" spans="2:9" x14ac:dyDescent="0.25">
      <c r="B556"/>
      <c r="C556"/>
      <c r="D556"/>
      <c r="E556"/>
      <c r="G556"/>
      <c r="H556"/>
      <c r="I556"/>
    </row>
    <row r="557" spans="2:9" x14ac:dyDescent="0.25">
      <c r="B557"/>
      <c r="C557"/>
      <c r="D557"/>
      <c r="E557"/>
      <c r="G557"/>
      <c r="H557"/>
      <c r="I557"/>
    </row>
    <row r="558" spans="2:9" x14ac:dyDescent="0.25">
      <c r="B558"/>
      <c r="C558"/>
      <c r="D558"/>
      <c r="E558"/>
      <c r="G558"/>
      <c r="H558"/>
      <c r="I558"/>
    </row>
    <row r="559" spans="2:9" x14ac:dyDescent="0.25">
      <c r="B559"/>
      <c r="C559"/>
      <c r="D559"/>
      <c r="E559"/>
      <c r="G559"/>
      <c r="H559"/>
      <c r="I559"/>
    </row>
    <row r="560" spans="2:9" x14ac:dyDescent="0.25">
      <c r="B560"/>
      <c r="C560"/>
      <c r="D560"/>
      <c r="E560"/>
      <c r="G560"/>
      <c r="H560"/>
      <c r="I560"/>
    </row>
    <row r="561" spans="2:9" x14ac:dyDescent="0.25">
      <c r="B561"/>
      <c r="C561"/>
      <c r="D561"/>
      <c r="E561"/>
      <c r="G561"/>
      <c r="H561"/>
      <c r="I561"/>
    </row>
    <row r="562" spans="2:9" x14ac:dyDescent="0.25">
      <c r="B562"/>
      <c r="C562"/>
      <c r="D562"/>
      <c r="E562"/>
      <c r="G562"/>
      <c r="H562"/>
      <c r="I562"/>
    </row>
    <row r="563" spans="2:9" x14ac:dyDescent="0.25">
      <c r="B563"/>
      <c r="C563"/>
      <c r="D563"/>
      <c r="E563"/>
      <c r="G563"/>
      <c r="H563"/>
      <c r="I563"/>
    </row>
    <row r="564" spans="2:9" x14ac:dyDescent="0.25">
      <c r="B564"/>
      <c r="C564"/>
      <c r="D564"/>
      <c r="E564"/>
      <c r="G564"/>
      <c r="H564"/>
      <c r="I564"/>
    </row>
    <row r="565" spans="2:9" x14ac:dyDescent="0.25">
      <c r="B565"/>
      <c r="C565"/>
      <c r="D565"/>
      <c r="E565"/>
      <c r="G565"/>
      <c r="H565"/>
      <c r="I565"/>
    </row>
    <row r="566" spans="2:9" x14ac:dyDescent="0.25">
      <c r="B566"/>
      <c r="C566"/>
      <c r="D566"/>
      <c r="E566"/>
      <c r="G566"/>
      <c r="H566"/>
      <c r="I566"/>
    </row>
    <row r="567" spans="2:9" x14ac:dyDescent="0.25">
      <c r="B567"/>
      <c r="C567"/>
      <c r="D567"/>
      <c r="E567"/>
      <c r="G567"/>
      <c r="H567"/>
      <c r="I567"/>
    </row>
    <row r="568" spans="2:9" x14ac:dyDescent="0.25">
      <c r="B568"/>
      <c r="C568"/>
      <c r="D568"/>
      <c r="E568"/>
      <c r="G568"/>
      <c r="H568"/>
      <c r="I568"/>
    </row>
    <row r="569" spans="2:9" x14ac:dyDescent="0.25">
      <c r="B569"/>
      <c r="C569"/>
      <c r="D569"/>
      <c r="E569"/>
      <c r="G569"/>
      <c r="H569"/>
      <c r="I569"/>
    </row>
    <row r="570" spans="2:9" x14ac:dyDescent="0.25">
      <c r="B570"/>
      <c r="C570"/>
      <c r="D570"/>
      <c r="E570"/>
      <c r="G570"/>
      <c r="H570"/>
      <c r="I570"/>
    </row>
    <row r="571" spans="2:9" x14ac:dyDescent="0.25">
      <c r="B571"/>
      <c r="C571"/>
      <c r="D571"/>
      <c r="E571"/>
      <c r="G571"/>
      <c r="H571"/>
      <c r="I571"/>
    </row>
    <row r="572" spans="2:9" x14ac:dyDescent="0.25">
      <c r="B572"/>
      <c r="C572"/>
      <c r="D572"/>
      <c r="E572"/>
      <c r="G572"/>
      <c r="H572"/>
      <c r="I572"/>
    </row>
    <row r="573" spans="2:9" x14ac:dyDescent="0.25">
      <c r="B573"/>
      <c r="C573"/>
      <c r="D573"/>
      <c r="E573"/>
      <c r="G573"/>
      <c r="H573"/>
      <c r="I573"/>
    </row>
    <row r="574" spans="2:9" x14ac:dyDescent="0.25">
      <c r="B574"/>
      <c r="C574"/>
      <c r="D574"/>
      <c r="E574"/>
      <c r="G574"/>
      <c r="H574"/>
      <c r="I574"/>
    </row>
    <row r="575" spans="2:9" x14ac:dyDescent="0.25">
      <c r="B575"/>
      <c r="C575"/>
      <c r="D575"/>
      <c r="E575"/>
      <c r="G575"/>
      <c r="H575"/>
      <c r="I575"/>
    </row>
    <row r="576" spans="2:9" x14ac:dyDescent="0.25">
      <c r="B576"/>
      <c r="C576"/>
      <c r="D576"/>
      <c r="E576"/>
      <c r="G576"/>
      <c r="H576"/>
      <c r="I576"/>
    </row>
    <row r="577" spans="2:9" x14ac:dyDescent="0.25">
      <c r="B577"/>
      <c r="C577"/>
      <c r="D577"/>
      <c r="E577"/>
      <c r="G577"/>
      <c r="H577"/>
      <c r="I577"/>
    </row>
    <row r="578" spans="2:9" x14ac:dyDescent="0.25">
      <c r="B578"/>
      <c r="C578"/>
      <c r="D578"/>
      <c r="E578"/>
      <c r="G578"/>
      <c r="H578"/>
      <c r="I578"/>
    </row>
    <row r="579" spans="2:9" x14ac:dyDescent="0.25">
      <c r="B579"/>
      <c r="C579"/>
      <c r="D579"/>
      <c r="E579"/>
      <c r="G579"/>
      <c r="H579"/>
      <c r="I579"/>
    </row>
    <row r="580" spans="2:9" x14ac:dyDescent="0.25">
      <c r="B580"/>
      <c r="C580"/>
      <c r="D580"/>
      <c r="E580"/>
      <c r="G580"/>
      <c r="H580"/>
      <c r="I580"/>
    </row>
    <row r="581" spans="2:9" x14ac:dyDescent="0.25">
      <c r="B581"/>
      <c r="C581"/>
      <c r="D581"/>
      <c r="E581"/>
      <c r="G581"/>
      <c r="H581"/>
      <c r="I581"/>
    </row>
    <row r="582" spans="2:9" x14ac:dyDescent="0.25">
      <c r="B582"/>
      <c r="C582"/>
      <c r="D582"/>
      <c r="E582"/>
      <c r="G582"/>
      <c r="H582"/>
      <c r="I582"/>
    </row>
    <row r="583" spans="2:9" x14ac:dyDescent="0.25">
      <c r="B583"/>
      <c r="C583"/>
      <c r="D583"/>
      <c r="E583"/>
      <c r="G583"/>
      <c r="H583"/>
      <c r="I583"/>
    </row>
    <row r="584" spans="2:9" x14ac:dyDescent="0.25">
      <c r="B584"/>
      <c r="C584"/>
      <c r="D584"/>
      <c r="E584"/>
      <c r="G584"/>
      <c r="H584"/>
      <c r="I584"/>
    </row>
    <row r="585" spans="2:9" x14ac:dyDescent="0.25">
      <c r="B585"/>
      <c r="C585"/>
      <c r="D585"/>
      <c r="E585"/>
      <c r="G585"/>
      <c r="H585"/>
      <c r="I585"/>
    </row>
    <row r="586" spans="2:9" x14ac:dyDescent="0.25">
      <c r="B586"/>
      <c r="C586"/>
      <c r="D586"/>
      <c r="E586"/>
      <c r="G586"/>
      <c r="H586"/>
      <c r="I586"/>
    </row>
    <row r="587" spans="2:9" x14ac:dyDescent="0.25">
      <c r="B587"/>
      <c r="C587"/>
      <c r="D587"/>
      <c r="E587"/>
      <c r="G587"/>
      <c r="H587"/>
      <c r="I587"/>
    </row>
    <row r="588" spans="2:9" x14ac:dyDescent="0.25">
      <c r="B588"/>
      <c r="C588"/>
      <c r="D588"/>
      <c r="E588"/>
      <c r="G588"/>
      <c r="H588"/>
      <c r="I588"/>
    </row>
    <row r="589" spans="2:9" x14ac:dyDescent="0.25">
      <c r="B589"/>
      <c r="C589"/>
      <c r="D589"/>
      <c r="E589"/>
      <c r="G589"/>
      <c r="H589"/>
      <c r="I589"/>
    </row>
    <row r="590" spans="2:9" x14ac:dyDescent="0.25">
      <c r="B590"/>
      <c r="C590"/>
      <c r="D590"/>
      <c r="E590"/>
      <c r="G590"/>
      <c r="H590"/>
      <c r="I590"/>
    </row>
    <row r="591" spans="2:9" x14ac:dyDescent="0.25">
      <c r="B591"/>
      <c r="C591"/>
      <c r="D591"/>
      <c r="E591"/>
      <c r="G591"/>
      <c r="H591"/>
      <c r="I591"/>
    </row>
    <row r="592" spans="2:9" x14ac:dyDescent="0.25">
      <c r="B592"/>
      <c r="C592"/>
      <c r="D592"/>
      <c r="E592"/>
      <c r="G592"/>
      <c r="H592"/>
      <c r="I592"/>
    </row>
    <row r="593" spans="2:9" x14ac:dyDescent="0.25">
      <c r="B593"/>
      <c r="C593"/>
      <c r="D593"/>
      <c r="E593"/>
      <c r="G593"/>
      <c r="H593"/>
      <c r="I593"/>
    </row>
    <row r="594" spans="2:9" x14ac:dyDescent="0.25">
      <c r="B594"/>
      <c r="C594"/>
      <c r="D594"/>
      <c r="E594"/>
      <c r="G594"/>
      <c r="H594"/>
      <c r="I594"/>
    </row>
    <row r="595" spans="2:9" x14ac:dyDescent="0.25">
      <c r="B595"/>
      <c r="C595"/>
      <c r="D595"/>
      <c r="E595"/>
      <c r="G595"/>
      <c r="H595"/>
      <c r="I595"/>
    </row>
    <row r="596" spans="2:9" x14ac:dyDescent="0.25">
      <c r="B596"/>
      <c r="C596"/>
      <c r="D596"/>
      <c r="E596"/>
      <c r="G596"/>
      <c r="H596"/>
      <c r="I596"/>
    </row>
    <row r="597" spans="2:9" x14ac:dyDescent="0.25">
      <c r="B597"/>
      <c r="C597"/>
      <c r="D597"/>
      <c r="E597"/>
      <c r="G597"/>
      <c r="H597"/>
      <c r="I597"/>
    </row>
    <row r="598" spans="2:9" x14ac:dyDescent="0.25">
      <c r="B598"/>
      <c r="C598"/>
      <c r="D598"/>
      <c r="E598"/>
      <c r="G598"/>
      <c r="H598"/>
      <c r="I598"/>
    </row>
    <row r="599" spans="2:9" x14ac:dyDescent="0.25">
      <c r="B599"/>
      <c r="C599"/>
      <c r="D599"/>
      <c r="E599"/>
      <c r="G599"/>
      <c r="H599"/>
      <c r="I599"/>
    </row>
    <row r="600" spans="2:9" x14ac:dyDescent="0.25">
      <c r="B600"/>
      <c r="C600"/>
      <c r="D600"/>
      <c r="E600"/>
      <c r="G600"/>
      <c r="H600"/>
      <c r="I600"/>
    </row>
    <row r="601" spans="2:9" x14ac:dyDescent="0.25">
      <c r="B601"/>
      <c r="C601"/>
      <c r="D601"/>
      <c r="E601"/>
      <c r="G601"/>
      <c r="H601"/>
      <c r="I601"/>
    </row>
    <row r="602" spans="2:9" x14ac:dyDescent="0.25">
      <c r="B602"/>
      <c r="C602"/>
      <c r="D602"/>
      <c r="E602"/>
      <c r="G602"/>
      <c r="H602"/>
      <c r="I602"/>
    </row>
    <row r="603" spans="2:9" x14ac:dyDescent="0.25">
      <c r="B603"/>
      <c r="C603"/>
      <c r="D603"/>
      <c r="E603"/>
      <c r="G603"/>
      <c r="H603"/>
      <c r="I603"/>
    </row>
    <row r="604" spans="2:9" x14ac:dyDescent="0.25">
      <c r="B604"/>
      <c r="C604"/>
      <c r="D604"/>
      <c r="E604"/>
      <c r="G604"/>
      <c r="H604"/>
      <c r="I604"/>
    </row>
    <row r="605" spans="2:9" x14ac:dyDescent="0.25">
      <c r="B605"/>
      <c r="C605"/>
      <c r="D605"/>
      <c r="E605"/>
      <c r="G605"/>
      <c r="H605"/>
      <c r="I605"/>
    </row>
    <row r="606" spans="2:9" x14ac:dyDescent="0.25">
      <c r="B606"/>
      <c r="C606"/>
      <c r="D606"/>
      <c r="E606"/>
      <c r="G606"/>
      <c r="H606"/>
      <c r="I606"/>
    </row>
    <row r="607" spans="2:9" x14ac:dyDescent="0.25">
      <c r="B607"/>
      <c r="C607"/>
      <c r="D607"/>
      <c r="E607"/>
      <c r="G607"/>
      <c r="H607"/>
      <c r="I607"/>
    </row>
    <row r="608" spans="2:9" x14ac:dyDescent="0.25">
      <c r="B608"/>
      <c r="C608"/>
      <c r="D608"/>
      <c r="E608"/>
      <c r="G608"/>
      <c r="H608"/>
      <c r="I608"/>
    </row>
    <row r="609" spans="2:9" x14ac:dyDescent="0.25">
      <c r="B609"/>
      <c r="C609"/>
      <c r="D609"/>
      <c r="E609"/>
      <c r="G609"/>
      <c r="H609"/>
      <c r="I609"/>
    </row>
    <row r="610" spans="2:9" x14ac:dyDescent="0.25">
      <c r="B610"/>
      <c r="C610"/>
      <c r="D610"/>
      <c r="E610"/>
      <c r="G610"/>
      <c r="H610"/>
      <c r="I610"/>
    </row>
    <row r="611" spans="2:9" x14ac:dyDescent="0.25">
      <c r="B611"/>
      <c r="C611"/>
      <c r="D611"/>
      <c r="E611"/>
      <c r="G611"/>
      <c r="H611"/>
      <c r="I611"/>
    </row>
    <row r="612" spans="2:9" x14ac:dyDescent="0.25">
      <c r="B612"/>
      <c r="C612"/>
      <c r="D612"/>
      <c r="E612"/>
      <c r="G612"/>
      <c r="H612"/>
      <c r="I612"/>
    </row>
    <row r="613" spans="2:9" x14ac:dyDescent="0.25">
      <c r="B613"/>
      <c r="C613"/>
      <c r="D613"/>
      <c r="E613"/>
      <c r="G613"/>
      <c r="H613"/>
      <c r="I613"/>
    </row>
    <row r="614" spans="2:9" x14ac:dyDescent="0.25">
      <c r="B614"/>
      <c r="C614"/>
      <c r="D614"/>
      <c r="E614"/>
      <c r="G614"/>
      <c r="H614"/>
      <c r="I614"/>
    </row>
    <row r="615" spans="2:9" x14ac:dyDescent="0.25">
      <c r="B615"/>
      <c r="C615"/>
      <c r="D615"/>
      <c r="E615"/>
      <c r="G615"/>
      <c r="H615"/>
      <c r="I615"/>
    </row>
    <row r="616" spans="2:9" x14ac:dyDescent="0.25">
      <c r="B616"/>
      <c r="C616"/>
      <c r="D616"/>
      <c r="E616"/>
      <c r="G616"/>
      <c r="H616"/>
      <c r="I616"/>
    </row>
    <row r="617" spans="2:9" x14ac:dyDescent="0.25">
      <c r="B617"/>
      <c r="C617"/>
      <c r="D617"/>
      <c r="E617"/>
      <c r="G617"/>
      <c r="H617"/>
      <c r="I617"/>
    </row>
    <row r="618" spans="2:9" x14ac:dyDescent="0.25">
      <c r="B618"/>
      <c r="C618"/>
      <c r="D618"/>
      <c r="E618"/>
      <c r="G618"/>
      <c r="H618"/>
      <c r="I618"/>
    </row>
    <row r="619" spans="2:9" x14ac:dyDescent="0.25">
      <c r="B619"/>
      <c r="C619"/>
      <c r="D619"/>
      <c r="E619"/>
      <c r="G619"/>
      <c r="H619"/>
      <c r="I619"/>
    </row>
    <row r="620" spans="2:9" x14ac:dyDescent="0.25">
      <c r="B620"/>
      <c r="C620"/>
      <c r="D620"/>
      <c r="E620"/>
      <c r="G620"/>
      <c r="H620"/>
      <c r="I620"/>
    </row>
    <row r="621" spans="2:9" x14ac:dyDescent="0.25">
      <c r="B621"/>
      <c r="C621"/>
      <c r="D621"/>
      <c r="E621"/>
      <c r="G621"/>
      <c r="H621"/>
      <c r="I621"/>
    </row>
    <row r="622" spans="2:9" x14ac:dyDescent="0.25">
      <c r="B622"/>
      <c r="C622"/>
      <c r="D622"/>
      <c r="E622"/>
      <c r="G622"/>
      <c r="H622"/>
      <c r="I622"/>
    </row>
    <row r="623" spans="2:9" x14ac:dyDescent="0.25">
      <c r="B623"/>
      <c r="C623"/>
      <c r="D623"/>
      <c r="E623"/>
      <c r="G623"/>
      <c r="H623"/>
      <c r="I623"/>
    </row>
    <row r="624" spans="2:9" x14ac:dyDescent="0.25">
      <c r="B624"/>
      <c r="C624"/>
      <c r="D624"/>
      <c r="E624"/>
      <c r="G624"/>
      <c r="H624"/>
      <c r="I624"/>
    </row>
    <row r="625" spans="2:9" x14ac:dyDescent="0.25">
      <c r="B625"/>
      <c r="C625"/>
      <c r="D625"/>
      <c r="E625"/>
      <c r="G625"/>
      <c r="H625"/>
      <c r="I625"/>
    </row>
    <row r="626" spans="2:9" x14ac:dyDescent="0.25">
      <c r="B626"/>
      <c r="C626"/>
      <c r="D626"/>
      <c r="E626"/>
      <c r="G626"/>
      <c r="H626"/>
      <c r="I626"/>
    </row>
    <row r="627" spans="2:9" x14ac:dyDescent="0.25">
      <c r="B627"/>
      <c r="C627"/>
      <c r="D627"/>
      <c r="E627"/>
      <c r="G627"/>
      <c r="H627"/>
      <c r="I627"/>
    </row>
    <row r="628" spans="2:9" x14ac:dyDescent="0.25">
      <c r="B628"/>
      <c r="C628"/>
      <c r="D628"/>
      <c r="E628"/>
      <c r="G628"/>
      <c r="H628"/>
      <c r="I628"/>
    </row>
    <row r="629" spans="2:9" x14ac:dyDescent="0.25">
      <c r="B629"/>
      <c r="C629"/>
      <c r="D629"/>
      <c r="E629"/>
      <c r="G629"/>
      <c r="H629"/>
      <c r="I629"/>
    </row>
    <row r="630" spans="2:9" x14ac:dyDescent="0.25">
      <c r="B630"/>
      <c r="C630"/>
      <c r="D630"/>
      <c r="E630"/>
      <c r="G630"/>
      <c r="H630"/>
      <c r="I630"/>
    </row>
    <row r="631" spans="2:9" x14ac:dyDescent="0.25">
      <c r="B631"/>
      <c r="C631"/>
      <c r="D631"/>
      <c r="E631"/>
      <c r="G631"/>
      <c r="H631"/>
      <c r="I631"/>
    </row>
    <row r="632" spans="2:9" x14ac:dyDescent="0.25">
      <c r="B632"/>
      <c r="C632"/>
      <c r="D632"/>
      <c r="E632"/>
      <c r="G632"/>
      <c r="H632"/>
      <c r="I632"/>
    </row>
    <row r="633" spans="2:9" x14ac:dyDescent="0.25">
      <c r="B633"/>
      <c r="C633"/>
      <c r="D633"/>
      <c r="E633"/>
      <c r="G633"/>
      <c r="H633"/>
      <c r="I633"/>
    </row>
    <row r="634" spans="2:9" x14ac:dyDescent="0.25">
      <c r="B634"/>
      <c r="C634"/>
      <c r="D634"/>
      <c r="E634"/>
      <c r="G634"/>
      <c r="H634"/>
      <c r="I634"/>
    </row>
    <row r="635" spans="2:9" x14ac:dyDescent="0.25">
      <c r="B635"/>
      <c r="C635"/>
      <c r="D635"/>
      <c r="E635"/>
      <c r="G635"/>
      <c r="H635"/>
      <c r="I635"/>
    </row>
    <row r="636" spans="2:9" x14ac:dyDescent="0.25">
      <c r="B636"/>
      <c r="C636"/>
      <c r="D636"/>
      <c r="E636"/>
      <c r="G636"/>
      <c r="H636"/>
      <c r="I636"/>
    </row>
    <row r="637" spans="2:9" x14ac:dyDescent="0.25">
      <c r="B637"/>
      <c r="C637"/>
      <c r="D637"/>
      <c r="E637"/>
      <c r="G637"/>
      <c r="H637"/>
      <c r="I637"/>
    </row>
    <row r="638" spans="2:9" x14ac:dyDescent="0.25">
      <c r="B638"/>
      <c r="C638"/>
      <c r="D638"/>
      <c r="E638"/>
      <c r="G638"/>
      <c r="H638"/>
      <c r="I638"/>
    </row>
    <row r="639" spans="2:9" x14ac:dyDescent="0.25">
      <c r="B639"/>
      <c r="C639"/>
      <c r="D639"/>
      <c r="E639"/>
      <c r="G639"/>
      <c r="H639"/>
      <c r="I639"/>
    </row>
    <row r="640" spans="2:9" x14ac:dyDescent="0.25">
      <c r="B640"/>
      <c r="C640"/>
      <c r="D640"/>
      <c r="E640"/>
      <c r="G640"/>
      <c r="H640"/>
      <c r="I640"/>
    </row>
    <row r="641" spans="2:9" x14ac:dyDescent="0.25">
      <c r="B641"/>
      <c r="C641"/>
      <c r="D641"/>
      <c r="E641"/>
      <c r="G641"/>
      <c r="H641"/>
      <c r="I641"/>
    </row>
    <row r="642" spans="2:9" x14ac:dyDescent="0.25">
      <c r="B642"/>
      <c r="C642"/>
      <c r="D642"/>
      <c r="E642"/>
      <c r="G642"/>
      <c r="H642"/>
      <c r="I642"/>
    </row>
    <row r="643" spans="2:9" x14ac:dyDescent="0.25">
      <c r="B643"/>
      <c r="C643"/>
      <c r="D643"/>
      <c r="E643"/>
      <c r="G643"/>
      <c r="H643"/>
      <c r="I643"/>
    </row>
    <row r="644" spans="2:9" x14ac:dyDescent="0.25">
      <c r="B644"/>
      <c r="C644"/>
      <c r="D644"/>
      <c r="E644"/>
      <c r="G644"/>
      <c r="H644"/>
      <c r="I644"/>
    </row>
    <row r="645" spans="2:9" x14ac:dyDescent="0.25">
      <c r="B645"/>
      <c r="C645"/>
      <c r="D645"/>
      <c r="E645"/>
      <c r="G645"/>
      <c r="H645"/>
      <c r="I645"/>
    </row>
    <row r="646" spans="2:9" x14ac:dyDescent="0.25">
      <c r="B646"/>
      <c r="C646"/>
      <c r="D646"/>
      <c r="E646"/>
      <c r="G646"/>
      <c r="H646"/>
      <c r="I646"/>
    </row>
    <row r="647" spans="2:9" x14ac:dyDescent="0.25">
      <c r="B647"/>
      <c r="C647"/>
      <c r="D647"/>
      <c r="E647"/>
      <c r="G647"/>
      <c r="H647"/>
      <c r="I647"/>
    </row>
    <row r="648" spans="2:9" x14ac:dyDescent="0.25">
      <c r="B648"/>
      <c r="C648"/>
      <c r="D648"/>
      <c r="E648"/>
      <c r="G648"/>
      <c r="H648"/>
      <c r="I648"/>
    </row>
    <row r="649" spans="2:9" x14ac:dyDescent="0.25">
      <c r="B649"/>
      <c r="C649"/>
      <c r="D649"/>
      <c r="E649"/>
      <c r="G649"/>
      <c r="H649"/>
      <c r="I649"/>
    </row>
    <row r="650" spans="2:9" x14ac:dyDescent="0.25">
      <c r="B650"/>
      <c r="C650"/>
      <c r="D650"/>
      <c r="E650"/>
      <c r="G650"/>
      <c r="H650"/>
      <c r="I650"/>
    </row>
    <row r="651" spans="2:9" x14ac:dyDescent="0.25">
      <c r="B651"/>
      <c r="C651"/>
      <c r="D651"/>
      <c r="E651"/>
      <c r="G651"/>
      <c r="H651"/>
      <c r="I651"/>
    </row>
    <row r="652" spans="2:9" x14ac:dyDescent="0.25">
      <c r="B652"/>
      <c r="C652"/>
      <c r="D652"/>
      <c r="E652"/>
      <c r="G652"/>
      <c r="H652"/>
      <c r="I652"/>
    </row>
    <row r="653" spans="2:9" x14ac:dyDescent="0.25">
      <c r="B653"/>
      <c r="C653"/>
      <c r="D653"/>
      <c r="E653"/>
      <c r="G653"/>
      <c r="H653"/>
      <c r="I653"/>
    </row>
    <row r="654" spans="2:9" x14ac:dyDescent="0.25">
      <c r="B654"/>
      <c r="C654"/>
      <c r="D654"/>
      <c r="E654"/>
      <c r="G654"/>
      <c r="H654"/>
      <c r="I654"/>
    </row>
    <row r="655" spans="2:9" x14ac:dyDescent="0.25">
      <c r="B655"/>
      <c r="C655"/>
      <c r="D655"/>
      <c r="E655"/>
      <c r="G655"/>
      <c r="H655"/>
      <c r="I655"/>
    </row>
    <row r="656" spans="2:9" x14ac:dyDescent="0.25">
      <c r="B656"/>
      <c r="C656"/>
      <c r="D656"/>
      <c r="E656"/>
      <c r="G656"/>
      <c r="H656"/>
      <c r="I656"/>
    </row>
    <row r="657" spans="2:9" x14ac:dyDescent="0.25">
      <c r="B657"/>
      <c r="C657"/>
      <c r="D657"/>
      <c r="E657"/>
      <c r="G657"/>
      <c r="H657"/>
      <c r="I657"/>
    </row>
    <row r="658" spans="2:9" x14ac:dyDescent="0.25">
      <c r="B658"/>
      <c r="C658"/>
      <c r="D658"/>
      <c r="E658"/>
      <c r="G658"/>
      <c r="H658"/>
      <c r="I658"/>
    </row>
    <row r="659" spans="2:9" x14ac:dyDescent="0.25">
      <c r="B659"/>
      <c r="C659"/>
      <c r="D659"/>
      <c r="E659"/>
      <c r="G659"/>
      <c r="H659"/>
      <c r="I659"/>
    </row>
    <row r="660" spans="2:9" x14ac:dyDescent="0.25">
      <c r="B660"/>
      <c r="C660"/>
      <c r="D660"/>
      <c r="E660"/>
      <c r="G660"/>
      <c r="H660"/>
      <c r="I660"/>
    </row>
    <row r="661" spans="2:9" x14ac:dyDescent="0.25">
      <c r="B661"/>
      <c r="C661"/>
      <c r="D661"/>
      <c r="E661"/>
      <c r="G661"/>
      <c r="H661"/>
      <c r="I661"/>
    </row>
    <row r="662" spans="2:9" x14ac:dyDescent="0.25">
      <c r="B662"/>
      <c r="C662"/>
      <c r="D662"/>
      <c r="E662"/>
      <c r="G662"/>
      <c r="H662"/>
      <c r="I662"/>
    </row>
    <row r="663" spans="2:9" x14ac:dyDescent="0.25">
      <c r="B663"/>
      <c r="C663"/>
      <c r="D663"/>
      <c r="E663"/>
      <c r="G663"/>
      <c r="H663"/>
      <c r="I663"/>
    </row>
    <row r="664" spans="2:9" x14ac:dyDescent="0.25">
      <c r="B664"/>
      <c r="C664"/>
      <c r="D664"/>
      <c r="E664"/>
      <c r="G664"/>
      <c r="H664"/>
      <c r="I664"/>
    </row>
    <row r="665" spans="2:9" x14ac:dyDescent="0.25">
      <c r="B665"/>
      <c r="C665"/>
      <c r="D665"/>
      <c r="E665"/>
      <c r="G665"/>
      <c r="H665"/>
      <c r="I665"/>
    </row>
    <row r="666" spans="2:9" x14ac:dyDescent="0.25">
      <c r="B666"/>
      <c r="C666"/>
      <c r="D666"/>
      <c r="E666"/>
      <c r="G666"/>
      <c r="H666"/>
      <c r="I666"/>
    </row>
    <row r="667" spans="2:9" x14ac:dyDescent="0.25">
      <c r="B667"/>
      <c r="C667"/>
      <c r="D667"/>
      <c r="E667"/>
      <c r="G667"/>
      <c r="H667"/>
      <c r="I667"/>
    </row>
    <row r="668" spans="2:9" x14ac:dyDescent="0.25">
      <c r="B668"/>
      <c r="C668"/>
      <c r="D668"/>
      <c r="E668"/>
      <c r="G668"/>
      <c r="H668"/>
      <c r="I668"/>
    </row>
    <row r="669" spans="2:9" x14ac:dyDescent="0.25">
      <c r="B669"/>
      <c r="C669"/>
      <c r="D669"/>
      <c r="E669"/>
      <c r="G669"/>
      <c r="H669"/>
      <c r="I669"/>
    </row>
    <row r="670" spans="2:9" x14ac:dyDescent="0.25">
      <c r="B670"/>
      <c r="C670"/>
      <c r="D670"/>
      <c r="E670"/>
      <c r="G670"/>
      <c r="H670"/>
      <c r="I670"/>
    </row>
    <row r="671" spans="2:9" x14ac:dyDescent="0.25">
      <c r="B671"/>
      <c r="C671"/>
      <c r="D671"/>
      <c r="E671"/>
      <c r="G671"/>
      <c r="H671"/>
      <c r="I671"/>
    </row>
    <row r="672" spans="2:9" x14ac:dyDescent="0.25">
      <c r="B672"/>
      <c r="C672"/>
      <c r="D672"/>
      <c r="E672"/>
      <c r="G672"/>
      <c r="H672"/>
      <c r="I672"/>
    </row>
    <row r="673" spans="2:9" x14ac:dyDescent="0.25">
      <c r="B673"/>
      <c r="C673"/>
      <c r="D673"/>
      <c r="E673"/>
      <c r="G673"/>
      <c r="H673"/>
      <c r="I673"/>
    </row>
    <row r="674" spans="2:9" x14ac:dyDescent="0.25">
      <c r="B674"/>
      <c r="C674"/>
      <c r="D674"/>
      <c r="E674"/>
      <c r="G674"/>
      <c r="H674"/>
      <c r="I674"/>
    </row>
    <row r="675" spans="2:9" x14ac:dyDescent="0.25">
      <c r="B675"/>
      <c r="C675"/>
      <c r="D675"/>
      <c r="E675"/>
      <c r="G675"/>
      <c r="H675"/>
      <c r="I675"/>
    </row>
    <row r="676" spans="2:9" x14ac:dyDescent="0.25">
      <c r="B676"/>
      <c r="C676"/>
      <c r="D676"/>
      <c r="E676"/>
      <c r="G676"/>
      <c r="H676"/>
      <c r="I676"/>
    </row>
    <row r="677" spans="2:9" x14ac:dyDescent="0.25">
      <c r="B677"/>
      <c r="C677"/>
      <c r="D677"/>
      <c r="E677"/>
      <c r="G677"/>
      <c r="H677"/>
      <c r="I677"/>
    </row>
    <row r="678" spans="2:9" x14ac:dyDescent="0.25">
      <c r="B678"/>
      <c r="C678"/>
      <c r="D678"/>
      <c r="E678"/>
      <c r="G678"/>
      <c r="H678"/>
      <c r="I678"/>
    </row>
    <row r="679" spans="2:9" x14ac:dyDescent="0.25">
      <c r="B679"/>
      <c r="C679"/>
      <c r="D679"/>
      <c r="E679"/>
      <c r="G679"/>
      <c r="H679"/>
      <c r="I679"/>
    </row>
    <row r="680" spans="2:9" x14ac:dyDescent="0.25">
      <c r="B680"/>
      <c r="C680"/>
      <c r="D680"/>
      <c r="E680"/>
      <c r="G680"/>
      <c r="H680"/>
      <c r="I680"/>
    </row>
    <row r="681" spans="2:9" x14ac:dyDescent="0.25">
      <c r="B681"/>
      <c r="C681"/>
      <c r="D681"/>
      <c r="E681"/>
      <c r="G681"/>
      <c r="H681"/>
      <c r="I681"/>
    </row>
    <row r="682" spans="2:9" x14ac:dyDescent="0.25">
      <c r="B682"/>
      <c r="C682"/>
      <c r="D682"/>
      <c r="E682"/>
      <c r="G682"/>
      <c r="H682"/>
      <c r="I682"/>
    </row>
    <row r="683" spans="2:9" x14ac:dyDescent="0.25">
      <c r="B683"/>
      <c r="C683"/>
      <c r="D683"/>
      <c r="E683"/>
      <c r="G683"/>
      <c r="H683"/>
      <c r="I683"/>
    </row>
    <row r="684" spans="2:9" x14ac:dyDescent="0.25">
      <c r="B684"/>
      <c r="C684"/>
      <c r="D684"/>
      <c r="E684"/>
      <c r="G684"/>
      <c r="H684"/>
      <c r="I684"/>
    </row>
    <row r="685" spans="2:9" x14ac:dyDescent="0.25">
      <c r="B685"/>
      <c r="C685"/>
      <c r="D685"/>
      <c r="E685"/>
      <c r="G685"/>
      <c r="H685"/>
      <c r="I685"/>
    </row>
    <row r="686" spans="2:9" x14ac:dyDescent="0.25">
      <c r="B686"/>
      <c r="C686"/>
      <c r="D686"/>
      <c r="E686"/>
      <c r="G686"/>
      <c r="H686"/>
      <c r="I686"/>
    </row>
    <row r="687" spans="2:9" x14ac:dyDescent="0.25">
      <c r="B687"/>
      <c r="C687"/>
      <c r="D687"/>
      <c r="E687"/>
      <c r="G687"/>
      <c r="H687"/>
      <c r="I687"/>
    </row>
    <row r="688" spans="2:9" x14ac:dyDescent="0.25">
      <c r="B688"/>
      <c r="C688"/>
      <c r="D688"/>
      <c r="E688"/>
      <c r="G688"/>
      <c r="H688"/>
      <c r="I688"/>
    </row>
    <row r="689" spans="2:9" x14ac:dyDescent="0.25">
      <c r="B689"/>
      <c r="C689"/>
      <c r="D689"/>
      <c r="E689"/>
      <c r="G689"/>
      <c r="H689"/>
      <c r="I689"/>
    </row>
    <row r="690" spans="2:9" x14ac:dyDescent="0.25">
      <c r="B690"/>
      <c r="C690"/>
      <c r="D690"/>
      <c r="E690"/>
      <c r="G690"/>
      <c r="H690"/>
      <c r="I690"/>
    </row>
    <row r="691" spans="2:9" x14ac:dyDescent="0.25">
      <c r="B691"/>
      <c r="C691"/>
      <c r="D691"/>
      <c r="E691"/>
      <c r="G691"/>
      <c r="H691"/>
      <c r="I691"/>
    </row>
    <row r="692" spans="2:9" x14ac:dyDescent="0.25">
      <c r="B692"/>
      <c r="C692"/>
      <c r="D692"/>
      <c r="E692"/>
      <c r="G692"/>
      <c r="H692"/>
      <c r="I692"/>
    </row>
    <row r="693" spans="2:9" x14ac:dyDescent="0.25">
      <c r="B693"/>
      <c r="C693"/>
      <c r="D693"/>
      <c r="E693"/>
      <c r="G693"/>
      <c r="H693"/>
      <c r="I693"/>
    </row>
    <row r="694" spans="2:9" x14ac:dyDescent="0.25">
      <c r="B694"/>
      <c r="C694"/>
      <c r="D694"/>
      <c r="E694"/>
      <c r="G694"/>
      <c r="H694"/>
      <c r="I694"/>
    </row>
    <row r="695" spans="2:9" x14ac:dyDescent="0.25">
      <c r="B695"/>
      <c r="C695"/>
      <c r="D695"/>
      <c r="E695"/>
      <c r="G695"/>
      <c r="H695"/>
      <c r="I695"/>
    </row>
    <row r="696" spans="2:9" x14ac:dyDescent="0.25">
      <c r="B696"/>
      <c r="C696"/>
      <c r="D696"/>
      <c r="E696"/>
      <c r="G696"/>
      <c r="H696"/>
      <c r="I696"/>
    </row>
    <row r="697" spans="2:9" x14ac:dyDescent="0.25">
      <c r="B697"/>
      <c r="C697"/>
      <c r="D697"/>
      <c r="E697"/>
      <c r="G697"/>
      <c r="H697"/>
      <c r="I697"/>
    </row>
    <row r="698" spans="2:9" x14ac:dyDescent="0.25">
      <c r="B698"/>
      <c r="C698"/>
      <c r="D698"/>
      <c r="E698"/>
      <c r="G698"/>
      <c r="H698"/>
      <c r="I698"/>
    </row>
    <row r="699" spans="2:9" x14ac:dyDescent="0.25">
      <c r="B699"/>
      <c r="C699"/>
      <c r="D699"/>
      <c r="E699"/>
      <c r="G699"/>
      <c r="H699"/>
      <c r="I699"/>
    </row>
    <row r="700" spans="2:9" x14ac:dyDescent="0.25">
      <c r="B700"/>
      <c r="C700"/>
      <c r="D700"/>
      <c r="E700"/>
      <c r="G700"/>
      <c r="H700"/>
      <c r="I700"/>
    </row>
    <row r="701" spans="2:9" x14ac:dyDescent="0.25">
      <c r="B701"/>
      <c r="C701"/>
      <c r="D701"/>
      <c r="E701"/>
      <c r="G701"/>
      <c r="H701"/>
      <c r="I701"/>
    </row>
    <row r="702" spans="2:9" x14ac:dyDescent="0.25">
      <c r="B702"/>
      <c r="C702"/>
      <c r="D702"/>
      <c r="E702"/>
      <c r="G702"/>
      <c r="H702"/>
      <c r="I702"/>
    </row>
    <row r="703" spans="2:9" x14ac:dyDescent="0.25">
      <c r="B703"/>
      <c r="C703"/>
      <c r="D703"/>
      <c r="E703"/>
      <c r="G703"/>
      <c r="H703"/>
      <c r="I703"/>
    </row>
    <row r="704" spans="2:9" x14ac:dyDescent="0.25">
      <c r="B704"/>
      <c r="C704"/>
      <c r="D704"/>
      <c r="E704"/>
      <c r="G704"/>
      <c r="H704"/>
      <c r="I704"/>
    </row>
    <row r="705" spans="2:9" x14ac:dyDescent="0.25">
      <c r="B705"/>
      <c r="C705"/>
      <c r="D705"/>
      <c r="E705"/>
      <c r="G705"/>
      <c r="H705"/>
      <c r="I705"/>
    </row>
    <row r="706" spans="2:9" x14ac:dyDescent="0.25">
      <c r="B706"/>
      <c r="C706"/>
      <c r="D706"/>
      <c r="E706"/>
      <c r="G706"/>
      <c r="H706"/>
      <c r="I706"/>
    </row>
    <row r="707" spans="2:9" x14ac:dyDescent="0.25">
      <c r="B707"/>
      <c r="C707"/>
      <c r="D707"/>
      <c r="E707"/>
      <c r="G707"/>
      <c r="H707"/>
      <c r="I707"/>
    </row>
    <row r="708" spans="2:9" x14ac:dyDescent="0.25">
      <c r="B708"/>
      <c r="C708"/>
      <c r="D708"/>
      <c r="E708"/>
      <c r="G708"/>
      <c r="H708"/>
      <c r="I708"/>
    </row>
    <row r="709" spans="2:9" x14ac:dyDescent="0.25">
      <c r="B709"/>
      <c r="C709"/>
      <c r="D709"/>
      <c r="E709"/>
      <c r="G709"/>
      <c r="H709"/>
      <c r="I709"/>
    </row>
    <row r="710" spans="2:9" x14ac:dyDescent="0.25">
      <c r="B710"/>
      <c r="C710"/>
      <c r="D710"/>
      <c r="E710"/>
      <c r="G710"/>
      <c r="H710"/>
      <c r="I710"/>
    </row>
    <row r="711" spans="2:9" x14ac:dyDescent="0.25">
      <c r="B711"/>
      <c r="C711"/>
      <c r="D711"/>
      <c r="E711"/>
      <c r="G711"/>
      <c r="H711"/>
      <c r="I711"/>
    </row>
    <row r="712" spans="2:9" x14ac:dyDescent="0.25">
      <c r="B712"/>
      <c r="C712"/>
      <c r="D712"/>
      <c r="E712"/>
      <c r="G712"/>
      <c r="H712"/>
      <c r="I712"/>
    </row>
    <row r="713" spans="2:9" x14ac:dyDescent="0.25">
      <c r="B713"/>
      <c r="C713"/>
      <c r="D713"/>
      <c r="E713"/>
      <c r="G713"/>
      <c r="H713"/>
      <c r="I713"/>
    </row>
    <row r="714" spans="2:9" x14ac:dyDescent="0.25">
      <c r="B714"/>
      <c r="C714"/>
      <c r="D714"/>
      <c r="E714"/>
      <c r="G714"/>
      <c r="H714"/>
      <c r="I714"/>
    </row>
    <row r="715" spans="2:9" x14ac:dyDescent="0.25">
      <c r="B715"/>
      <c r="C715"/>
      <c r="D715"/>
      <c r="E715"/>
      <c r="G715"/>
      <c r="H715"/>
      <c r="I715"/>
    </row>
    <row r="716" spans="2:9" x14ac:dyDescent="0.25">
      <c r="B716"/>
      <c r="C716"/>
      <c r="D716"/>
      <c r="E716"/>
      <c r="G716"/>
      <c r="H716"/>
      <c r="I716"/>
    </row>
    <row r="717" spans="2:9" x14ac:dyDescent="0.25">
      <c r="B717"/>
      <c r="C717"/>
      <c r="D717"/>
      <c r="E717"/>
      <c r="G717"/>
      <c r="H717"/>
      <c r="I717"/>
    </row>
    <row r="718" spans="2:9" x14ac:dyDescent="0.25">
      <c r="B718"/>
      <c r="C718"/>
      <c r="D718"/>
      <c r="E718"/>
      <c r="G718"/>
      <c r="H718"/>
      <c r="I718"/>
    </row>
    <row r="719" spans="2:9" x14ac:dyDescent="0.25">
      <c r="B719"/>
      <c r="C719"/>
      <c r="D719"/>
      <c r="E719"/>
      <c r="G719"/>
      <c r="H719"/>
      <c r="I719"/>
    </row>
    <row r="720" spans="2:9" x14ac:dyDescent="0.25">
      <c r="B720"/>
      <c r="C720"/>
      <c r="D720"/>
      <c r="E720"/>
      <c r="G720"/>
      <c r="H720"/>
      <c r="I720"/>
    </row>
    <row r="721" spans="2:9" x14ac:dyDescent="0.25">
      <c r="B721"/>
      <c r="C721"/>
      <c r="D721"/>
      <c r="E721"/>
      <c r="G721"/>
      <c r="H721"/>
      <c r="I721"/>
    </row>
    <row r="722" spans="2:9" x14ac:dyDescent="0.25">
      <c r="B722"/>
      <c r="C722"/>
      <c r="D722"/>
      <c r="E722"/>
      <c r="G722"/>
      <c r="H722"/>
      <c r="I722"/>
    </row>
    <row r="723" spans="2:9" x14ac:dyDescent="0.25">
      <c r="B723"/>
      <c r="C723"/>
      <c r="D723"/>
      <c r="E723"/>
      <c r="G723"/>
      <c r="H723"/>
      <c r="I723"/>
    </row>
    <row r="724" spans="2:9" x14ac:dyDescent="0.25">
      <c r="B724"/>
      <c r="C724"/>
      <c r="D724"/>
      <c r="E724"/>
      <c r="G724"/>
      <c r="H724"/>
      <c r="I724"/>
    </row>
    <row r="725" spans="2:9" x14ac:dyDescent="0.25">
      <c r="B725"/>
      <c r="C725"/>
      <c r="D725"/>
      <c r="E725"/>
      <c r="G725"/>
      <c r="H725"/>
      <c r="I725"/>
    </row>
    <row r="726" spans="2:9" x14ac:dyDescent="0.25">
      <c r="B726"/>
      <c r="C726"/>
      <c r="D726"/>
      <c r="E726"/>
      <c r="G726"/>
      <c r="H726"/>
      <c r="I726"/>
    </row>
    <row r="727" spans="2:9" x14ac:dyDescent="0.25">
      <c r="B727"/>
      <c r="C727"/>
      <c r="D727"/>
      <c r="E727"/>
      <c r="G727"/>
      <c r="H727"/>
      <c r="I727"/>
    </row>
    <row r="728" spans="2:9" x14ac:dyDescent="0.25">
      <c r="B728"/>
      <c r="C728"/>
      <c r="D728"/>
      <c r="E728"/>
      <c r="G728"/>
      <c r="H728"/>
      <c r="I728"/>
    </row>
    <row r="729" spans="2:9" x14ac:dyDescent="0.25">
      <c r="B729"/>
      <c r="C729"/>
      <c r="D729"/>
      <c r="E729"/>
      <c r="G729"/>
      <c r="H729"/>
      <c r="I729"/>
    </row>
    <row r="730" spans="2:9" x14ac:dyDescent="0.25">
      <c r="B730"/>
      <c r="C730"/>
      <c r="D730"/>
      <c r="E730"/>
      <c r="G730"/>
      <c r="H730"/>
      <c r="I730"/>
    </row>
    <row r="731" spans="2:9" x14ac:dyDescent="0.25">
      <c r="B731"/>
      <c r="C731"/>
      <c r="D731"/>
      <c r="E731"/>
      <c r="G731"/>
      <c r="H731"/>
      <c r="I731"/>
    </row>
    <row r="732" spans="2:9" x14ac:dyDescent="0.25">
      <c r="B732"/>
      <c r="C732"/>
      <c r="D732"/>
      <c r="E732"/>
      <c r="G732"/>
      <c r="H732"/>
      <c r="I732"/>
    </row>
    <row r="733" spans="2:9" x14ac:dyDescent="0.25">
      <c r="B733"/>
      <c r="C733"/>
      <c r="D733"/>
      <c r="E733"/>
      <c r="G733"/>
      <c r="H733"/>
      <c r="I733"/>
    </row>
    <row r="734" spans="2:9" x14ac:dyDescent="0.25">
      <c r="B734"/>
      <c r="C734"/>
      <c r="D734"/>
      <c r="E734"/>
      <c r="G734"/>
      <c r="H734"/>
      <c r="I734"/>
    </row>
    <row r="735" spans="2:9" x14ac:dyDescent="0.25">
      <c r="B735"/>
      <c r="C735"/>
      <c r="D735"/>
      <c r="E735"/>
      <c r="G735"/>
      <c r="H735"/>
      <c r="I735"/>
    </row>
    <row r="736" spans="2:9" x14ac:dyDescent="0.25">
      <c r="B736"/>
      <c r="C736"/>
      <c r="D736"/>
      <c r="E736"/>
      <c r="G736"/>
      <c r="H736"/>
      <c r="I736"/>
    </row>
    <row r="737" spans="2:9" x14ac:dyDescent="0.25">
      <c r="B737"/>
      <c r="C737"/>
      <c r="D737"/>
      <c r="E737"/>
      <c r="G737"/>
      <c r="H737"/>
      <c r="I737"/>
    </row>
    <row r="738" spans="2:9" x14ac:dyDescent="0.25">
      <c r="B738"/>
      <c r="C738"/>
      <c r="D738"/>
      <c r="E738"/>
      <c r="G738"/>
      <c r="H738"/>
      <c r="I738"/>
    </row>
    <row r="739" spans="2:9" x14ac:dyDescent="0.25">
      <c r="B739"/>
      <c r="C739"/>
      <c r="D739"/>
      <c r="E739"/>
      <c r="G739"/>
      <c r="H739"/>
      <c r="I739"/>
    </row>
    <row r="740" spans="2:9" x14ac:dyDescent="0.25">
      <c r="B740"/>
      <c r="C740"/>
      <c r="D740"/>
      <c r="E740"/>
      <c r="G740"/>
      <c r="H740"/>
      <c r="I740"/>
    </row>
    <row r="741" spans="2:9" x14ac:dyDescent="0.25">
      <c r="B741"/>
      <c r="C741"/>
      <c r="D741"/>
      <c r="E741"/>
      <c r="G741"/>
      <c r="H741"/>
      <c r="I741"/>
    </row>
    <row r="742" spans="2:9" x14ac:dyDescent="0.25">
      <c r="B742"/>
      <c r="C742"/>
      <c r="D742"/>
      <c r="E742"/>
      <c r="G742"/>
      <c r="H742"/>
      <c r="I742"/>
    </row>
    <row r="743" spans="2:9" x14ac:dyDescent="0.25">
      <c r="B743"/>
      <c r="C743"/>
      <c r="D743"/>
      <c r="E743"/>
      <c r="G743"/>
      <c r="H743"/>
      <c r="I743"/>
    </row>
    <row r="744" spans="2:9" x14ac:dyDescent="0.25">
      <c r="B744"/>
      <c r="C744"/>
      <c r="D744"/>
      <c r="E744"/>
      <c r="G744"/>
      <c r="H744"/>
      <c r="I744"/>
    </row>
    <row r="745" spans="2:9" x14ac:dyDescent="0.25">
      <c r="B745"/>
      <c r="C745"/>
      <c r="D745"/>
      <c r="E745"/>
      <c r="G745"/>
      <c r="H745"/>
      <c r="I745"/>
    </row>
    <row r="746" spans="2:9" x14ac:dyDescent="0.25">
      <c r="B746"/>
      <c r="C746"/>
      <c r="D746"/>
      <c r="E746"/>
      <c r="G746"/>
      <c r="H746"/>
      <c r="I746"/>
    </row>
    <row r="747" spans="2:9" x14ac:dyDescent="0.25">
      <c r="B747"/>
      <c r="C747"/>
      <c r="D747"/>
      <c r="E747"/>
      <c r="G747"/>
      <c r="H747"/>
      <c r="I747"/>
    </row>
    <row r="748" spans="2:9" x14ac:dyDescent="0.25">
      <c r="B748"/>
      <c r="C748"/>
      <c r="D748"/>
      <c r="E748"/>
      <c r="G748"/>
      <c r="H748"/>
      <c r="I748"/>
    </row>
    <row r="749" spans="2:9" x14ac:dyDescent="0.25">
      <c r="B749"/>
      <c r="C749"/>
      <c r="D749"/>
      <c r="E749"/>
      <c r="G749"/>
      <c r="H749"/>
      <c r="I749"/>
    </row>
    <row r="750" spans="2:9" x14ac:dyDescent="0.25">
      <c r="B750"/>
      <c r="C750"/>
      <c r="D750"/>
      <c r="E750"/>
      <c r="G750"/>
      <c r="H750"/>
      <c r="I750"/>
    </row>
    <row r="751" spans="2:9" x14ac:dyDescent="0.25">
      <c r="B751"/>
      <c r="C751"/>
      <c r="D751"/>
      <c r="E751"/>
      <c r="G751"/>
      <c r="H751"/>
      <c r="I751"/>
    </row>
    <row r="752" spans="2:9" x14ac:dyDescent="0.25">
      <c r="B752"/>
      <c r="C752"/>
      <c r="D752"/>
      <c r="E752"/>
      <c r="G752"/>
      <c r="H752"/>
      <c r="I752"/>
    </row>
    <row r="753" spans="2:9" x14ac:dyDescent="0.25">
      <c r="B753"/>
      <c r="C753"/>
      <c r="D753"/>
      <c r="E753"/>
      <c r="G753"/>
      <c r="H753"/>
      <c r="I753"/>
    </row>
    <row r="754" spans="2:9" x14ac:dyDescent="0.25">
      <c r="B754"/>
      <c r="C754"/>
      <c r="D754"/>
      <c r="E754"/>
      <c r="G754"/>
      <c r="H754"/>
      <c r="I754"/>
    </row>
    <row r="755" spans="2:9" x14ac:dyDescent="0.25">
      <c r="B755"/>
      <c r="C755"/>
      <c r="D755"/>
      <c r="E755"/>
      <c r="G755"/>
      <c r="H755"/>
      <c r="I755"/>
    </row>
    <row r="756" spans="2:9" x14ac:dyDescent="0.25">
      <c r="B756"/>
      <c r="C756"/>
      <c r="D756"/>
      <c r="E756"/>
      <c r="G756"/>
      <c r="H756"/>
      <c r="I756"/>
    </row>
    <row r="757" spans="2:9" x14ac:dyDescent="0.25">
      <c r="B757"/>
      <c r="C757"/>
      <c r="D757"/>
      <c r="E757"/>
      <c r="G757"/>
      <c r="H757"/>
      <c r="I757"/>
    </row>
    <row r="758" spans="2:9" x14ac:dyDescent="0.25">
      <c r="B758"/>
      <c r="C758"/>
      <c r="D758"/>
      <c r="E758"/>
      <c r="G758"/>
      <c r="H758"/>
      <c r="I758"/>
    </row>
    <row r="759" spans="2:9" x14ac:dyDescent="0.25">
      <c r="B759"/>
      <c r="C759"/>
      <c r="D759"/>
      <c r="E759"/>
      <c r="G759"/>
      <c r="H759"/>
      <c r="I759"/>
    </row>
    <row r="760" spans="2:9" x14ac:dyDescent="0.25">
      <c r="B760"/>
      <c r="C760"/>
      <c r="D760"/>
      <c r="E760"/>
      <c r="G760"/>
      <c r="H760"/>
      <c r="I760"/>
    </row>
    <row r="761" spans="2:9" x14ac:dyDescent="0.25">
      <c r="B761"/>
      <c r="C761"/>
      <c r="D761"/>
      <c r="E761"/>
      <c r="G761"/>
      <c r="H761"/>
      <c r="I761"/>
    </row>
    <row r="762" spans="2:9" x14ac:dyDescent="0.25">
      <c r="B762"/>
      <c r="C762"/>
      <c r="D762"/>
      <c r="E762"/>
      <c r="G762"/>
      <c r="H762"/>
      <c r="I762"/>
    </row>
    <row r="763" spans="2:9" x14ac:dyDescent="0.25">
      <c r="B763"/>
      <c r="C763"/>
      <c r="D763"/>
      <c r="E763"/>
      <c r="G763"/>
      <c r="H763"/>
      <c r="I763"/>
    </row>
    <row r="764" spans="2:9" x14ac:dyDescent="0.25">
      <c r="B764"/>
      <c r="C764"/>
      <c r="D764"/>
      <c r="E764"/>
      <c r="G764"/>
      <c r="H764"/>
      <c r="I764"/>
    </row>
    <row r="765" spans="2:9" x14ac:dyDescent="0.25">
      <c r="B765"/>
      <c r="C765"/>
      <c r="D765"/>
      <c r="E765"/>
      <c r="G765"/>
      <c r="H765"/>
      <c r="I765"/>
    </row>
    <row r="766" spans="2:9" x14ac:dyDescent="0.25">
      <c r="B766"/>
      <c r="C766"/>
      <c r="D766"/>
      <c r="E766"/>
      <c r="G766"/>
      <c r="H766"/>
      <c r="I766"/>
    </row>
    <row r="767" spans="2:9" x14ac:dyDescent="0.25">
      <c r="B767"/>
      <c r="C767"/>
      <c r="D767"/>
      <c r="E767"/>
      <c r="G767"/>
      <c r="H767"/>
      <c r="I767"/>
    </row>
    <row r="768" spans="2:9" x14ac:dyDescent="0.25">
      <c r="B768"/>
      <c r="C768"/>
      <c r="D768"/>
      <c r="E768"/>
      <c r="G768"/>
      <c r="H768"/>
      <c r="I768"/>
    </row>
    <row r="769" spans="2:9" x14ac:dyDescent="0.25">
      <c r="B769"/>
      <c r="C769"/>
      <c r="D769"/>
      <c r="E769"/>
      <c r="G769"/>
      <c r="H769"/>
      <c r="I769"/>
    </row>
    <row r="770" spans="2:9" x14ac:dyDescent="0.25">
      <c r="B770"/>
      <c r="C770"/>
      <c r="D770"/>
      <c r="E770"/>
      <c r="G770"/>
      <c r="H770"/>
      <c r="I770"/>
    </row>
    <row r="771" spans="2:9" x14ac:dyDescent="0.25">
      <c r="B771"/>
      <c r="C771"/>
      <c r="D771"/>
      <c r="E771"/>
      <c r="G771"/>
      <c r="H771"/>
      <c r="I771"/>
    </row>
    <row r="772" spans="2:9" x14ac:dyDescent="0.25">
      <c r="B772"/>
      <c r="C772"/>
      <c r="D772"/>
      <c r="E772"/>
      <c r="G772"/>
      <c r="H772"/>
      <c r="I772"/>
    </row>
    <row r="773" spans="2:9" x14ac:dyDescent="0.25">
      <c r="B773"/>
      <c r="C773"/>
      <c r="D773"/>
      <c r="E773"/>
      <c r="G773"/>
      <c r="H773"/>
      <c r="I773"/>
    </row>
    <row r="774" spans="2:9" x14ac:dyDescent="0.25">
      <c r="B774"/>
      <c r="C774"/>
      <c r="D774"/>
      <c r="E774"/>
      <c r="G774"/>
      <c r="H774"/>
      <c r="I774"/>
    </row>
    <row r="775" spans="2:9" x14ac:dyDescent="0.25">
      <c r="B775"/>
      <c r="C775"/>
      <c r="D775"/>
      <c r="E775"/>
      <c r="G775"/>
      <c r="H775"/>
      <c r="I775"/>
    </row>
    <row r="776" spans="2:9" x14ac:dyDescent="0.25">
      <c r="B776"/>
      <c r="C776"/>
      <c r="D776"/>
      <c r="E776"/>
      <c r="G776"/>
      <c r="H776"/>
      <c r="I776"/>
    </row>
    <row r="777" spans="2:9" x14ac:dyDescent="0.25">
      <c r="B777"/>
      <c r="C777"/>
      <c r="D777"/>
      <c r="E777"/>
      <c r="G777"/>
      <c r="H777"/>
      <c r="I777"/>
    </row>
    <row r="778" spans="2:9" x14ac:dyDescent="0.25">
      <c r="B778"/>
      <c r="C778"/>
      <c r="D778"/>
      <c r="E778"/>
      <c r="G778"/>
      <c r="H778"/>
      <c r="I778"/>
    </row>
    <row r="779" spans="2:9" x14ac:dyDescent="0.25">
      <c r="B779"/>
      <c r="C779"/>
      <c r="D779"/>
      <c r="E779"/>
      <c r="G779"/>
      <c r="H779"/>
      <c r="I779"/>
    </row>
    <row r="780" spans="2:9" x14ac:dyDescent="0.25">
      <c r="B780"/>
      <c r="C780"/>
      <c r="D780"/>
      <c r="E780"/>
      <c r="G780"/>
      <c r="H780"/>
      <c r="I780"/>
    </row>
    <row r="781" spans="2:9" x14ac:dyDescent="0.25">
      <c r="B781"/>
      <c r="C781"/>
      <c r="D781"/>
      <c r="E781"/>
      <c r="G781"/>
      <c r="H781"/>
      <c r="I781"/>
    </row>
    <row r="782" spans="2:9" x14ac:dyDescent="0.25">
      <c r="B782"/>
      <c r="C782"/>
      <c r="D782"/>
      <c r="E782"/>
      <c r="G782"/>
      <c r="H782"/>
      <c r="I782"/>
    </row>
    <row r="783" spans="2:9" x14ac:dyDescent="0.25">
      <c r="B783"/>
      <c r="C783"/>
      <c r="D783"/>
      <c r="E783"/>
      <c r="G783"/>
      <c r="H783"/>
      <c r="I783"/>
    </row>
    <row r="784" spans="2:9" x14ac:dyDescent="0.25">
      <c r="B784"/>
      <c r="C784"/>
      <c r="D784"/>
      <c r="E784"/>
      <c r="G784"/>
      <c r="H784"/>
      <c r="I784"/>
    </row>
    <row r="785" spans="2:9" x14ac:dyDescent="0.25">
      <c r="B785"/>
      <c r="C785"/>
      <c r="D785"/>
      <c r="E785"/>
      <c r="G785"/>
      <c r="H785"/>
      <c r="I785"/>
    </row>
    <row r="786" spans="2:9" x14ac:dyDescent="0.25">
      <c r="B786"/>
      <c r="C786"/>
      <c r="D786"/>
      <c r="E786"/>
      <c r="G786"/>
      <c r="H786"/>
      <c r="I786"/>
    </row>
    <row r="787" spans="2:9" x14ac:dyDescent="0.25">
      <c r="B787"/>
      <c r="C787"/>
      <c r="D787"/>
      <c r="E787"/>
      <c r="G787"/>
      <c r="H787"/>
      <c r="I787"/>
    </row>
    <row r="788" spans="2:9" x14ac:dyDescent="0.25">
      <c r="B788"/>
      <c r="C788"/>
      <c r="D788"/>
      <c r="E788"/>
      <c r="G788"/>
      <c r="H788"/>
      <c r="I788"/>
    </row>
    <row r="789" spans="2:9" x14ac:dyDescent="0.25">
      <c r="B789"/>
      <c r="C789"/>
      <c r="D789"/>
      <c r="E789"/>
      <c r="G789"/>
      <c r="H789"/>
      <c r="I789"/>
    </row>
    <row r="790" spans="2:9" x14ac:dyDescent="0.25">
      <c r="B790"/>
      <c r="C790"/>
      <c r="D790"/>
      <c r="E790"/>
      <c r="G790"/>
      <c r="H790"/>
      <c r="I790"/>
    </row>
    <row r="791" spans="2:9" x14ac:dyDescent="0.25">
      <c r="B791"/>
      <c r="C791"/>
      <c r="D791"/>
      <c r="E791"/>
      <c r="G791"/>
      <c r="H791"/>
      <c r="I791"/>
    </row>
    <row r="792" spans="2:9" x14ac:dyDescent="0.25">
      <c r="B792"/>
      <c r="C792"/>
      <c r="D792"/>
      <c r="E792"/>
      <c r="G792"/>
      <c r="H792"/>
      <c r="I792"/>
    </row>
    <row r="793" spans="2:9" x14ac:dyDescent="0.25">
      <c r="B793"/>
      <c r="C793"/>
      <c r="D793"/>
      <c r="E793"/>
      <c r="G793"/>
      <c r="H793"/>
      <c r="I793"/>
    </row>
    <row r="794" spans="2:9" x14ac:dyDescent="0.25">
      <c r="B794"/>
      <c r="C794"/>
      <c r="D794"/>
      <c r="E794"/>
      <c r="G794"/>
      <c r="H794"/>
      <c r="I794"/>
    </row>
    <row r="795" spans="2:9" x14ac:dyDescent="0.25">
      <c r="B795"/>
      <c r="C795"/>
      <c r="D795"/>
      <c r="E795"/>
      <c r="G795"/>
      <c r="H795"/>
      <c r="I795"/>
    </row>
    <row r="796" spans="2:9" x14ac:dyDescent="0.25">
      <c r="B796"/>
      <c r="C796"/>
      <c r="D796"/>
      <c r="E796"/>
      <c r="G796"/>
      <c r="H796"/>
      <c r="I796"/>
    </row>
    <row r="797" spans="2:9" x14ac:dyDescent="0.25">
      <c r="B797"/>
      <c r="C797"/>
      <c r="D797"/>
      <c r="E797"/>
      <c r="G797"/>
      <c r="H797"/>
      <c r="I797"/>
    </row>
    <row r="798" spans="2:9" x14ac:dyDescent="0.25">
      <c r="B798"/>
      <c r="C798"/>
      <c r="D798"/>
      <c r="E798"/>
      <c r="G798"/>
      <c r="H798"/>
      <c r="I798"/>
    </row>
    <row r="799" spans="2:9" x14ac:dyDescent="0.25">
      <c r="B799"/>
      <c r="C799"/>
      <c r="D799"/>
      <c r="E799"/>
      <c r="G799"/>
      <c r="H799"/>
      <c r="I799"/>
    </row>
    <row r="800" spans="2:9" x14ac:dyDescent="0.25">
      <c r="B800"/>
      <c r="C800"/>
      <c r="D800"/>
      <c r="E800"/>
      <c r="G800"/>
      <c r="H800"/>
      <c r="I800"/>
    </row>
    <row r="801" spans="2:9" x14ac:dyDescent="0.25">
      <c r="B801"/>
      <c r="C801"/>
      <c r="D801"/>
      <c r="E801"/>
      <c r="G801"/>
      <c r="H801"/>
      <c r="I801"/>
    </row>
    <row r="802" spans="2:9" x14ac:dyDescent="0.25">
      <c r="B802"/>
      <c r="C802"/>
      <c r="D802"/>
      <c r="E802"/>
      <c r="G802"/>
      <c r="H802"/>
      <c r="I802"/>
    </row>
    <row r="803" spans="2:9" x14ac:dyDescent="0.25">
      <c r="B803"/>
      <c r="C803"/>
      <c r="D803"/>
      <c r="E803"/>
      <c r="G803"/>
      <c r="H803"/>
      <c r="I803"/>
    </row>
    <row r="804" spans="2:9" x14ac:dyDescent="0.25">
      <c r="B804"/>
      <c r="C804"/>
      <c r="D804"/>
      <c r="E804"/>
      <c r="G804"/>
      <c r="H804"/>
      <c r="I804"/>
    </row>
    <row r="805" spans="2:9" x14ac:dyDescent="0.25">
      <c r="B805"/>
      <c r="C805"/>
      <c r="D805"/>
      <c r="E805"/>
      <c r="G805"/>
      <c r="H805"/>
      <c r="I805"/>
    </row>
    <row r="806" spans="2:9" x14ac:dyDescent="0.25">
      <c r="B806"/>
      <c r="C806"/>
      <c r="D806"/>
      <c r="E806"/>
      <c r="G806"/>
      <c r="H806"/>
      <c r="I806"/>
    </row>
    <row r="807" spans="2:9" x14ac:dyDescent="0.25">
      <c r="B807"/>
      <c r="C807"/>
      <c r="D807"/>
      <c r="E807"/>
      <c r="G807"/>
      <c r="H807"/>
      <c r="I807"/>
    </row>
    <row r="808" spans="2:9" x14ac:dyDescent="0.25">
      <c r="B808"/>
      <c r="C808"/>
      <c r="D808"/>
      <c r="E808"/>
      <c r="G808"/>
      <c r="H808"/>
      <c r="I808"/>
    </row>
    <row r="809" spans="2:9" x14ac:dyDescent="0.25">
      <c r="B809"/>
      <c r="C809"/>
      <c r="D809"/>
      <c r="E809"/>
      <c r="G809"/>
      <c r="H809"/>
      <c r="I809"/>
    </row>
    <row r="810" spans="2:9" x14ac:dyDescent="0.25">
      <c r="B810"/>
      <c r="C810"/>
      <c r="D810"/>
      <c r="E810"/>
      <c r="G810"/>
      <c r="H810"/>
      <c r="I810"/>
    </row>
    <row r="811" spans="2:9" x14ac:dyDescent="0.25">
      <c r="B811"/>
      <c r="C811"/>
      <c r="D811"/>
      <c r="E811"/>
      <c r="G811"/>
      <c r="H811"/>
      <c r="I811"/>
    </row>
    <row r="812" spans="2:9" x14ac:dyDescent="0.25">
      <c r="B812"/>
      <c r="C812"/>
      <c r="D812"/>
      <c r="E812"/>
      <c r="G812"/>
      <c r="H812"/>
      <c r="I812"/>
    </row>
    <row r="813" spans="2:9" x14ac:dyDescent="0.25">
      <c r="B813"/>
      <c r="C813"/>
      <c r="D813"/>
      <c r="E813"/>
      <c r="G813"/>
      <c r="H813"/>
      <c r="I813"/>
    </row>
    <row r="814" spans="2:9" x14ac:dyDescent="0.25">
      <c r="B814"/>
      <c r="C814"/>
      <c r="D814"/>
      <c r="E814"/>
      <c r="G814"/>
      <c r="H814"/>
      <c r="I814"/>
    </row>
    <row r="815" spans="2:9" x14ac:dyDescent="0.25">
      <c r="B815"/>
      <c r="C815"/>
      <c r="D815"/>
      <c r="E815"/>
      <c r="G815"/>
      <c r="H815"/>
      <c r="I815"/>
    </row>
    <row r="816" spans="2:9" x14ac:dyDescent="0.25">
      <c r="B816"/>
      <c r="C816"/>
      <c r="D816"/>
      <c r="E816"/>
      <c r="G816"/>
      <c r="H816"/>
      <c r="I816"/>
    </row>
    <row r="817" spans="2:9" x14ac:dyDescent="0.25">
      <c r="B817"/>
      <c r="C817"/>
      <c r="D817"/>
      <c r="E817"/>
      <c r="G817"/>
      <c r="H817"/>
      <c r="I817"/>
    </row>
    <row r="818" spans="2:9" x14ac:dyDescent="0.25">
      <c r="B818"/>
      <c r="C818"/>
      <c r="D818"/>
      <c r="E818"/>
      <c r="G818"/>
      <c r="H818"/>
      <c r="I818"/>
    </row>
    <row r="819" spans="2:9" x14ac:dyDescent="0.25">
      <c r="B819"/>
      <c r="C819"/>
      <c r="D819"/>
      <c r="E819"/>
      <c r="G819"/>
      <c r="H819"/>
      <c r="I819"/>
    </row>
    <row r="820" spans="2:9" x14ac:dyDescent="0.25">
      <c r="B820"/>
      <c r="C820"/>
      <c r="D820"/>
      <c r="E820"/>
      <c r="G820"/>
      <c r="H820"/>
      <c r="I820"/>
    </row>
    <row r="821" spans="2:9" x14ac:dyDescent="0.25">
      <c r="B821"/>
      <c r="C821"/>
      <c r="D821"/>
      <c r="E821"/>
      <c r="G821"/>
      <c r="H821"/>
      <c r="I821"/>
    </row>
    <row r="822" spans="2:9" x14ac:dyDescent="0.25">
      <c r="B822"/>
      <c r="C822"/>
      <c r="D822"/>
      <c r="E822"/>
      <c r="G822"/>
      <c r="H822"/>
      <c r="I822"/>
    </row>
    <row r="823" spans="2:9" x14ac:dyDescent="0.25">
      <c r="B823"/>
      <c r="C823"/>
      <c r="D823"/>
      <c r="E823"/>
      <c r="G823"/>
      <c r="H823"/>
      <c r="I823"/>
    </row>
    <row r="824" spans="2:9" x14ac:dyDescent="0.25">
      <c r="B824"/>
      <c r="C824"/>
      <c r="D824"/>
      <c r="E824"/>
      <c r="G824"/>
      <c r="H824"/>
      <c r="I824"/>
    </row>
    <row r="825" spans="2:9" x14ac:dyDescent="0.25">
      <c r="B825"/>
      <c r="C825"/>
      <c r="D825"/>
      <c r="E825"/>
      <c r="G825"/>
      <c r="H825"/>
      <c r="I825"/>
    </row>
    <row r="826" spans="2:9" x14ac:dyDescent="0.25">
      <c r="B826"/>
      <c r="C826"/>
      <c r="D826"/>
      <c r="E826"/>
      <c r="G826"/>
      <c r="H826"/>
      <c r="I826"/>
    </row>
    <row r="827" spans="2:9" x14ac:dyDescent="0.25">
      <c r="B827"/>
      <c r="C827"/>
      <c r="D827"/>
      <c r="E827"/>
      <c r="G827"/>
      <c r="H827"/>
      <c r="I827"/>
    </row>
    <row r="828" spans="2:9" x14ac:dyDescent="0.25">
      <c r="B828"/>
      <c r="C828"/>
      <c r="D828"/>
      <c r="E828"/>
      <c r="G828"/>
      <c r="H828"/>
      <c r="I828"/>
    </row>
    <row r="829" spans="2:9" x14ac:dyDescent="0.25">
      <c r="B829"/>
      <c r="C829"/>
      <c r="D829"/>
      <c r="E829"/>
      <c r="G829"/>
      <c r="H829"/>
      <c r="I829"/>
    </row>
    <row r="830" spans="2:9" x14ac:dyDescent="0.25">
      <c r="B830"/>
      <c r="C830"/>
      <c r="D830"/>
      <c r="E830"/>
      <c r="G830"/>
      <c r="H830"/>
      <c r="I830"/>
    </row>
    <row r="831" spans="2:9" x14ac:dyDescent="0.25">
      <c r="B831"/>
      <c r="C831"/>
      <c r="D831"/>
      <c r="E831"/>
      <c r="G831"/>
      <c r="H831"/>
      <c r="I831"/>
    </row>
    <row r="832" spans="2:9" x14ac:dyDescent="0.25">
      <c r="B832"/>
      <c r="C832"/>
      <c r="D832"/>
      <c r="E832"/>
      <c r="G832"/>
      <c r="H832"/>
      <c r="I832"/>
    </row>
    <row r="833" spans="2:9" x14ac:dyDescent="0.25">
      <c r="B833"/>
      <c r="C833"/>
      <c r="D833"/>
      <c r="E833"/>
      <c r="G833"/>
      <c r="H833"/>
      <c r="I833"/>
    </row>
    <row r="834" spans="2:9" x14ac:dyDescent="0.25">
      <c r="B834"/>
      <c r="C834"/>
      <c r="D834"/>
      <c r="E834"/>
      <c r="G834"/>
      <c r="H834"/>
      <c r="I834"/>
    </row>
    <row r="835" spans="2:9" x14ac:dyDescent="0.25">
      <c r="B835"/>
      <c r="C835"/>
      <c r="D835"/>
      <c r="E835"/>
      <c r="G835"/>
      <c r="H835"/>
      <c r="I835"/>
    </row>
    <row r="836" spans="2:9" x14ac:dyDescent="0.25">
      <c r="B836"/>
      <c r="C836"/>
      <c r="D836"/>
      <c r="E836"/>
      <c r="G836"/>
      <c r="H836"/>
      <c r="I836"/>
    </row>
    <row r="837" spans="2:9" x14ac:dyDescent="0.25">
      <c r="B837"/>
      <c r="C837"/>
      <c r="D837"/>
      <c r="E837"/>
      <c r="G837"/>
      <c r="H837"/>
      <c r="I837"/>
    </row>
    <row r="838" spans="2:9" x14ac:dyDescent="0.25">
      <c r="B838"/>
      <c r="C838"/>
      <c r="D838"/>
      <c r="E838"/>
      <c r="G838"/>
      <c r="H838"/>
      <c r="I838"/>
    </row>
    <row r="839" spans="2:9" x14ac:dyDescent="0.25">
      <c r="B839"/>
      <c r="C839"/>
      <c r="D839"/>
      <c r="E839"/>
      <c r="G839"/>
      <c r="H839"/>
      <c r="I839"/>
    </row>
    <row r="840" spans="2:9" x14ac:dyDescent="0.25">
      <c r="B840"/>
      <c r="C840"/>
      <c r="D840"/>
      <c r="E840"/>
      <c r="G840"/>
      <c r="H840"/>
      <c r="I840"/>
    </row>
    <row r="841" spans="2:9" x14ac:dyDescent="0.25">
      <c r="B841"/>
      <c r="C841"/>
      <c r="D841"/>
      <c r="E841"/>
      <c r="G841"/>
      <c r="H841"/>
      <c r="I841"/>
    </row>
    <row r="842" spans="2:9" x14ac:dyDescent="0.25">
      <c r="B842"/>
      <c r="C842"/>
      <c r="D842"/>
      <c r="E842"/>
      <c r="G842"/>
      <c r="H842"/>
      <c r="I842"/>
    </row>
    <row r="843" spans="2:9" x14ac:dyDescent="0.25">
      <c r="B843"/>
      <c r="C843"/>
      <c r="D843"/>
      <c r="E843"/>
      <c r="G843"/>
      <c r="H843"/>
      <c r="I843"/>
    </row>
    <row r="844" spans="2:9" x14ac:dyDescent="0.25">
      <c r="B844"/>
      <c r="C844"/>
      <c r="D844"/>
      <c r="E844"/>
      <c r="G844"/>
      <c r="H844"/>
      <c r="I844"/>
    </row>
    <row r="845" spans="2:9" x14ac:dyDescent="0.25">
      <c r="B845"/>
      <c r="C845"/>
      <c r="D845"/>
      <c r="E845"/>
      <c r="G845"/>
      <c r="H845"/>
      <c r="I845"/>
    </row>
    <row r="846" spans="2:9" x14ac:dyDescent="0.25">
      <c r="B846"/>
      <c r="C846"/>
      <c r="D846"/>
      <c r="E846"/>
      <c r="G846"/>
      <c r="H846"/>
      <c r="I846"/>
    </row>
    <row r="847" spans="2:9" x14ac:dyDescent="0.25">
      <c r="B847"/>
      <c r="C847"/>
      <c r="D847"/>
      <c r="E847"/>
      <c r="G847"/>
      <c r="H847"/>
      <c r="I847"/>
    </row>
    <row r="848" spans="2:9" x14ac:dyDescent="0.25">
      <c r="B848"/>
      <c r="C848"/>
      <c r="D848"/>
      <c r="E848"/>
      <c r="G848"/>
      <c r="H848"/>
      <c r="I848"/>
    </row>
    <row r="849" spans="2:9" x14ac:dyDescent="0.25">
      <c r="B849"/>
      <c r="C849"/>
      <c r="D849"/>
      <c r="E849"/>
      <c r="G849"/>
      <c r="H849"/>
      <c r="I849"/>
    </row>
    <row r="850" spans="2:9" x14ac:dyDescent="0.25">
      <c r="B850"/>
      <c r="C850"/>
      <c r="D850"/>
      <c r="E850"/>
      <c r="G850"/>
      <c r="H850"/>
      <c r="I850"/>
    </row>
    <row r="851" spans="2:9" x14ac:dyDescent="0.25">
      <c r="B851"/>
      <c r="C851"/>
      <c r="D851"/>
      <c r="E851"/>
      <c r="G851"/>
      <c r="H851"/>
      <c r="I851"/>
    </row>
    <row r="852" spans="2:9" x14ac:dyDescent="0.25">
      <c r="B852"/>
      <c r="C852"/>
      <c r="D852"/>
      <c r="E852"/>
      <c r="G852"/>
      <c r="H852"/>
      <c r="I852"/>
    </row>
    <row r="853" spans="2:9" x14ac:dyDescent="0.25">
      <c r="B853"/>
      <c r="C853"/>
      <c r="D853"/>
      <c r="E853"/>
      <c r="G853"/>
      <c r="H853"/>
      <c r="I853"/>
    </row>
    <row r="854" spans="2:9" x14ac:dyDescent="0.25">
      <c r="B854"/>
      <c r="C854"/>
      <c r="D854"/>
      <c r="E854"/>
      <c r="G854"/>
      <c r="H854"/>
      <c r="I854"/>
    </row>
    <row r="855" spans="2:9" x14ac:dyDescent="0.25">
      <c r="B855"/>
      <c r="C855"/>
      <c r="D855"/>
      <c r="E855"/>
      <c r="G855"/>
      <c r="H855"/>
      <c r="I855"/>
    </row>
    <row r="856" spans="2:9" x14ac:dyDescent="0.25">
      <c r="B856"/>
      <c r="C856"/>
      <c r="D856"/>
      <c r="E856"/>
      <c r="G856"/>
      <c r="H856"/>
      <c r="I856"/>
    </row>
    <row r="857" spans="2:9" x14ac:dyDescent="0.25">
      <c r="B857"/>
      <c r="C857"/>
      <c r="D857"/>
      <c r="E857"/>
      <c r="G857"/>
      <c r="H857"/>
      <c r="I857"/>
    </row>
    <row r="858" spans="2:9" x14ac:dyDescent="0.25">
      <c r="B858"/>
      <c r="C858"/>
      <c r="D858"/>
      <c r="E858"/>
      <c r="G858"/>
      <c r="H858"/>
      <c r="I858"/>
    </row>
    <row r="859" spans="2:9" x14ac:dyDescent="0.25">
      <c r="B859"/>
      <c r="C859"/>
      <c r="D859"/>
      <c r="E859"/>
      <c r="G859"/>
      <c r="H859"/>
      <c r="I859"/>
    </row>
    <row r="860" spans="2:9" x14ac:dyDescent="0.25">
      <c r="B860"/>
      <c r="C860"/>
      <c r="D860"/>
      <c r="E860"/>
      <c r="G860"/>
      <c r="H860"/>
      <c r="I860"/>
    </row>
    <row r="861" spans="2:9" x14ac:dyDescent="0.25">
      <c r="B861"/>
      <c r="C861"/>
      <c r="D861"/>
      <c r="E861"/>
      <c r="G861"/>
      <c r="H861"/>
      <c r="I861"/>
    </row>
    <row r="862" spans="2:9" x14ac:dyDescent="0.25">
      <c r="B862"/>
      <c r="C862"/>
      <c r="D862"/>
      <c r="E862"/>
      <c r="G862"/>
      <c r="H862"/>
      <c r="I862"/>
    </row>
    <row r="863" spans="2:9" x14ac:dyDescent="0.25">
      <c r="B863"/>
      <c r="C863"/>
      <c r="D863"/>
      <c r="E863"/>
      <c r="G863"/>
      <c r="H863"/>
      <c r="I863"/>
    </row>
    <row r="864" spans="2:9" x14ac:dyDescent="0.25">
      <c r="B864"/>
      <c r="C864"/>
      <c r="D864"/>
      <c r="E864"/>
      <c r="G864"/>
      <c r="H864"/>
      <c r="I864"/>
    </row>
    <row r="865" spans="2:9" x14ac:dyDescent="0.25">
      <c r="B865"/>
      <c r="C865"/>
      <c r="D865"/>
      <c r="E865"/>
      <c r="G865"/>
      <c r="H865"/>
      <c r="I865"/>
    </row>
    <row r="866" spans="2:9" x14ac:dyDescent="0.25">
      <c r="B866"/>
      <c r="C866"/>
      <c r="D866"/>
      <c r="E866"/>
      <c r="G866"/>
      <c r="H866"/>
      <c r="I866"/>
    </row>
    <row r="867" spans="2:9" x14ac:dyDescent="0.25">
      <c r="B867"/>
      <c r="C867"/>
      <c r="D867"/>
      <c r="E867"/>
      <c r="G867"/>
      <c r="H867"/>
      <c r="I867"/>
    </row>
    <row r="868" spans="2:9" x14ac:dyDescent="0.25">
      <c r="B868"/>
      <c r="C868"/>
      <c r="D868"/>
      <c r="E868"/>
      <c r="G868"/>
      <c r="H868"/>
      <c r="I868"/>
    </row>
    <row r="869" spans="2:9" x14ac:dyDescent="0.25">
      <c r="B869"/>
      <c r="C869"/>
      <c r="D869"/>
      <c r="E869"/>
      <c r="G869"/>
      <c r="H869"/>
      <c r="I869"/>
    </row>
    <row r="870" spans="2:9" x14ac:dyDescent="0.25">
      <c r="B870"/>
      <c r="C870"/>
      <c r="D870"/>
      <c r="E870"/>
      <c r="G870"/>
      <c r="H870"/>
      <c r="I870"/>
    </row>
    <row r="871" spans="2:9" x14ac:dyDescent="0.25">
      <c r="B871"/>
      <c r="C871"/>
      <c r="D871"/>
      <c r="E871"/>
      <c r="G871"/>
      <c r="H871"/>
      <c r="I871"/>
    </row>
    <row r="872" spans="2:9" x14ac:dyDescent="0.25">
      <c r="B872"/>
      <c r="C872"/>
      <c r="D872"/>
      <c r="E872"/>
      <c r="G872"/>
      <c r="H872"/>
      <c r="I872"/>
    </row>
    <row r="873" spans="2:9" x14ac:dyDescent="0.25">
      <c r="B873"/>
      <c r="C873"/>
      <c r="D873"/>
      <c r="E873"/>
      <c r="G873"/>
      <c r="H873"/>
      <c r="I873"/>
    </row>
    <row r="874" spans="2:9" x14ac:dyDescent="0.25">
      <c r="B874"/>
      <c r="C874"/>
      <c r="D874"/>
      <c r="E874"/>
      <c r="G874"/>
      <c r="H874"/>
      <c r="I874"/>
    </row>
    <row r="875" spans="2:9" x14ac:dyDescent="0.25">
      <c r="B875"/>
      <c r="C875"/>
      <c r="D875"/>
      <c r="E875"/>
      <c r="G875"/>
      <c r="H875"/>
      <c r="I875"/>
    </row>
    <row r="876" spans="2:9" x14ac:dyDescent="0.25">
      <c r="B876"/>
      <c r="C876"/>
      <c r="D876"/>
      <c r="E876"/>
      <c r="G876"/>
      <c r="H876"/>
      <c r="I876"/>
    </row>
    <row r="877" spans="2:9" x14ac:dyDescent="0.25">
      <c r="B877"/>
      <c r="C877"/>
      <c r="D877"/>
      <c r="E877"/>
      <c r="G877"/>
      <c r="H877"/>
      <c r="I877"/>
    </row>
    <row r="878" spans="2:9" x14ac:dyDescent="0.25">
      <c r="B878"/>
      <c r="C878"/>
      <c r="D878"/>
      <c r="E878"/>
      <c r="G878"/>
      <c r="H878"/>
      <c r="I878"/>
    </row>
    <row r="879" spans="2:9" x14ac:dyDescent="0.25">
      <c r="B879"/>
      <c r="C879"/>
      <c r="D879"/>
      <c r="E879"/>
      <c r="G879"/>
      <c r="H879"/>
      <c r="I879"/>
    </row>
    <row r="880" spans="2:9" x14ac:dyDescent="0.25">
      <c r="B880"/>
      <c r="C880"/>
      <c r="D880"/>
      <c r="E880"/>
      <c r="G880"/>
      <c r="H880"/>
      <c r="I880"/>
    </row>
    <row r="881" spans="2:9" x14ac:dyDescent="0.25">
      <c r="B881"/>
      <c r="C881"/>
      <c r="D881"/>
      <c r="E881"/>
      <c r="G881"/>
      <c r="H881"/>
      <c r="I881"/>
    </row>
    <row r="882" spans="2:9" x14ac:dyDescent="0.25">
      <c r="B882"/>
      <c r="C882"/>
      <c r="D882"/>
      <c r="E882"/>
      <c r="G882"/>
      <c r="H882"/>
      <c r="I882"/>
    </row>
    <row r="883" spans="2:9" x14ac:dyDescent="0.25">
      <c r="B883"/>
      <c r="C883"/>
      <c r="D883"/>
      <c r="E883"/>
      <c r="G883"/>
      <c r="H883"/>
      <c r="I883"/>
    </row>
    <row r="884" spans="2:9" x14ac:dyDescent="0.25">
      <c r="B884"/>
      <c r="C884"/>
      <c r="D884"/>
      <c r="E884"/>
      <c r="G884"/>
      <c r="H884"/>
      <c r="I884"/>
    </row>
    <row r="885" spans="2:9" x14ac:dyDescent="0.25">
      <c r="B885"/>
      <c r="C885"/>
      <c r="D885"/>
      <c r="E885"/>
      <c r="G885"/>
      <c r="H885"/>
      <c r="I885"/>
    </row>
    <row r="886" spans="2:9" x14ac:dyDescent="0.25">
      <c r="B886"/>
      <c r="C886"/>
      <c r="D886"/>
      <c r="E886"/>
      <c r="G886"/>
      <c r="H886"/>
      <c r="I886"/>
    </row>
    <row r="887" spans="2:9" x14ac:dyDescent="0.25">
      <c r="B887"/>
      <c r="C887"/>
      <c r="D887"/>
      <c r="E887"/>
      <c r="G887"/>
      <c r="H887"/>
      <c r="I887"/>
    </row>
    <row r="888" spans="2:9" x14ac:dyDescent="0.25">
      <c r="B888"/>
      <c r="C888"/>
      <c r="D888"/>
      <c r="E888"/>
      <c r="G888"/>
      <c r="H888"/>
      <c r="I888"/>
    </row>
    <row r="889" spans="2:9" x14ac:dyDescent="0.25">
      <c r="B889"/>
      <c r="C889"/>
      <c r="D889"/>
      <c r="E889"/>
      <c r="G889"/>
      <c r="H889"/>
      <c r="I889"/>
    </row>
    <row r="890" spans="2:9" x14ac:dyDescent="0.25">
      <c r="B890"/>
      <c r="C890"/>
      <c r="D890"/>
      <c r="E890"/>
      <c r="G890"/>
      <c r="H890"/>
      <c r="I890"/>
    </row>
    <row r="891" spans="2:9" x14ac:dyDescent="0.25">
      <c r="B891"/>
      <c r="C891"/>
      <c r="D891"/>
      <c r="E891"/>
      <c r="G891"/>
      <c r="H891"/>
      <c r="I891"/>
    </row>
    <row r="892" spans="2:9" x14ac:dyDescent="0.25">
      <c r="B892"/>
      <c r="C892"/>
      <c r="D892"/>
      <c r="E892"/>
      <c r="G892"/>
      <c r="H892"/>
      <c r="I892"/>
    </row>
    <row r="893" spans="2:9" x14ac:dyDescent="0.25">
      <c r="B893"/>
      <c r="C893"/>
      <c r="D893"/>
      <c r="E893"/>
      <c r="G893"/>
      <c r="H893"/>
      <c r="I893"/>
    </row>
    <row r="894" spans="2:9" x14ac:dyDescent="0.25">
      <c r="B894"/>
      <c r="C894"/>
      <c r="D894"/>
      <c r="E894"/>
      <c r="G894"/>
      <c r="H894"/>
      <c r="I894"/>
    </row>
    <row r="895" spans="2:9" x14ac:dyDescent="0.25">
      <c r="B895"/>
      <c r="C895"/>
      <c r="D895"/>
      <c r="E895"/>
      <c r="G895"/>
      <c r="H895"/>
      <c r="I895"/>
    </row>
    <row r="896" spans="2:9" x14ac:dyDescent="0.25">
      <c r="B896"/>
      <c r="C896"/>
      <c r="D896"/>
      <c r="E896"/>
      <c r="G896"/>
      <c r="H896"/>
      <c r="I896"/>
    </row>
    <row r="897" spans="2:9" x14ac:dyDescent="0.25">
      <c r="B897"/>
      <c r="C897"/>
      <c r="D897"/>
      <c r="E897"/>
      <c r="G897"/>
      <c r="H897"/>
      <c r="I897"/>
    </row>
    <row r="898" spans="2:9" x14ac:dyDescent="0.25">
      <c r="B898"/>
      <c r="C898"/>
      <c r="D898"/>
      <c r="E898"/>
      <c r="G898"/>
      <c r="H898"/>
      <c r="I898"/>
    </row>
    <row r="899" spans="2:9" x14ac:dyDescent="0.25">
      <c r="B899"/>
      <c r="C899"/>
      <c r="D899"/>
      <c r="E899"/>
      <c r="G899"/>
      <c r="H899"/>
      <c r="I899"/>
    </row>
    <row r="900" spans="2:9" x14ac:dyDescent="0.25">
      <c r="B900"/>
      <c r="C900"/>
      <c r="D900"/>
      <c r="E900"/>
      <c r="G900"/>
      <c r="H900"/>
      <c r="I900"/>
    </row>
    <row r="901" spans="2:9" x14ac:dyDescent="0.25">
      <c r="B901"/>
      <c r="C901"/>
      <c r="D901"/>
      <c r="E901"/>
      <c r="G901"/>
      <c r="H901"/>
      <c r="I901"/>
    </row>
    <row r="902" spans="2:9" x14ac:dyDescent="0.25">
      <c r="B902"/>
      <c r="C902"/>
      <c r="D902"/>
      <c r="E902"/>
      <c r="G902"/>
      <c r="H902"/>
      <c r="I902"/>
    </row>
    <row r="903" spans="2:9" x14ac:dyDescent="0.25">
      <c r="B903"/>
      <c r="C903"/>
      <c r="D903"/>
      <c r="E903"/>
      <c r="G903"/>
      <c r="H903"/>
      <c r="I903"/>
    </row>
    <row r="904" spans="2:9" x14ac:dyDescent="0.25">
      <c r="B904"/>
      <c r="C904"/>
      <c r="D904"/>
      <c r="E904"/>
      <c r="G904"/>
      <c r="H904"/>
      <c r="I904"/>
    </row>
    <row r="905" spans="2:9" x14ac:dyDescent="0.25">
      <c r="B905"/>
      <c r="C905"/>
      <c r="D905"/>
      <c r="E905"/>
      <c r="G905"/>
      <c r="H905"/>
      <c r="I905"/>
    </row>
    <row r="906" spans="2:9" x14ac:dyDescent="0.25">
      <c r="B906"/>
      <c r="C906"/>
      <c r="D906"/>
      <c r="E906"/>
      <c r="G906"/>
      <c r="H906"/>
      <c r="I906"/>
    </row>
    <row r="907" spans="2:9" x14ac:dyDescent="0.25">
      <c r="B907"/>
      <c r="C907"/>
      <c r="D907"/>
      <c r="E907"/>
      <c r="G907"/>
      <c r="H907"/>
      <c r="I907"/>
    </row>
    <row r="908" spans="2:9" x14ac:dyDescent="0.25">
      <c r="B908"/>
      <c r="C908"/>
      <c r="D908"/>
      <c r="E908"/>
      <c r="G908"/>
      <c r="H908"/>
      <c r="I908"/>
    </row>
    <row r="909" spans="2:9" x14ac:dyDescent="0.25">
      <c r="B909"/>
      <c r="C909"/>
      <c r="D909"/>
      <c r="E909"/>
      <c r="G909"/>
      <c r="H909"/>
      <c r="I909"/>
    </row>
    <row r="910" spans="2:9" x14ac:dyDescent="0.25">
      <c r="B910"/>
      <c r="C910"/>
      <c r="D910"/>
      <c r="E910"/>
      <c r="G910"/>
      <c r="H910"/>
      <c r="I910"/>
    </row>
    <row r="911" spans="2:9" x14ac:dyDescent="0.25">
      <c r="B911"/>
      <c r="C911"/>
      <c r="D911"/>
      <c r="E911"/>
      <c r="G911"/>
      <c r="H911"/>
      <c r="I911"/>
    </row>
    <row r="912" spans="2:9" x14ac:dyDescent="0.25">
      <c r="B912"/>
      <c r="C912"/>
      <c r="D912"/>
      <c r="E912"/>
      <c r="G912"/>
      <c r="H912"/>
      <c r="I912"/>
    </row>
    <row r="913" spans="2:9" x14ac:dyDescent="0.25">
      <c r="B913"/>
      <c r="C913"/>
      <c r="D913"/>
      <c r="E913"/>
      <c r="G913"/>
      <c r="H913"/>
      <c r="I913"/>
    </row>
    <row r="914" spans="2:9" x14ac:dyDescent="0.25">
      <c r="B914"/>
      <c r="C914"/>
      <c r="D914"/>
      <c r="E914"/>
      <c r="G914"/>
      <c r="H914"/>
      <c r="I914"/>
    </row>
    <row r="915" spans="2:9" x14ac:dyDescent="0.25">
      <c r="B915"/>
      <c r="C915"/>
      <c r="D915"/>
      <c r="E915"/>
      <c r="G915"/>
      <c r="H915"/>
      <c r="I915"/>
    </row>
    <row r="916" spans="2:9" x14ac:dyDescent="0.25">
      <c r="B916"/>
      <c r="C916"/>
      <c r="D916"/>
      <c r="E916"/>
      <c r="G916"/>
      <c r="H916"/>
      <c r="I916"/>
    </row>
    <row r="917" spans="2:9" x14ac:dyDescent="0.25">
      <c r="B917"/>
      <c r="C917"/>
      <c r="D917"/>
      <c r="E917"/>
      <c r="G917"/>
      <c r="H917"/>
      <c r="I917"/>
    </row>
    <row r="918" spans="2:9" x14ac:dyDescent="0.25">
      <c r="B918"/>
      <c r="C918"/>
      <c r="D918"/>
      <c r="E918"/>
      <c r="G918"/>
      <c r="H918"/>
      <c r="I918"/>
    </row>
    <row r="919" spans="2:9" x14ac:dyDescent="0.25">
      <c r="B919"/>
      <c r="C919"/>
      <c r="D919"/>
      <c r="E919"/>
      <c r="G919"/>
      <c r="H919"/>
      <c r="I919"/>
    </row>
    <row r="920" spans="2:9" x14ac:dyDescent="0.25">
      <c r="B920"/>
      <c r="C920"/>
      <c r="D920"/>
      <c r="E920"/>
      <c r="G920"/>
      <c r="H920"/>
      <c r="I920"/>
    </row>
    <row r="921" spans="2:9" x14ac:dyDescent="0.25">
      <c r="B921"/>
      <c r="C921"/>
      <c r="D921"/>
      <c r="E921"/>
      <c r="G921"/>
      <c r="H921"/>
      <c r="I921"/>
    </row>
    <row r="922" spans="2:9" x14ac:dyDescent="0.25">
      <c r="B922"/>
      <c r="C922"/>
      <c r="D922"/>
      <c r="E922"/>
      <c r="G922"/>
      <c r="H922"/>
      <c r="I922"/>
    </row>
    <row r="923" spans="2:9" x14ac:dyDescent="0.25">
      <c r="B923"/>
      <c r="C923"/>
      <c r="D923"/>
      <c r="E923"/>
      <c r="G923"/>
      <c r="H923"/>
      <c r="I923"/>
    </row>
    <row r="924" spans="2:9" x14ac:dyDescent="0.25">
      <c r="B924"/>
      <c r="C924"/>
      <c r="D924"/>
      <c r="E924"/>
      <c r="G924"/>
      <c r="H924"/>
      <c r="I924"/>
    </row>
    <row r="925" spans="2:9" x14ac:dyDescent="0.25">
      <c r="B925"/>
      <c r="C925"/>
      <c r="D925"/>
      <c r="E925"/>
      <c r="G925"/>
      <c r="H925"/>
      <c r="I925"/>
    </row>
    <row r="926" spans="2:9" x14ac:dyDescent="0.25">
      <c r="B926"/>
      <c r="C926"/>
      <c r="D926"/>
      <c r="E926"/>
      <c r="G926"/>
      <c r="H926"/>
      <c r="I926"/>
    </row>
    <row r="927" spans="2:9" x14ac:dyDescent="0.25">
      <c r="B927"/>
      <c r="C927"/>
      <c r="D927"/>
      <c r="E927"/>
      <c r="G927"/>
      <c r="H927"/>
      <c r="I927"/>
    </row>
    <row r="928" spans="2:9" x14ac:dyDescent="0.25">
      <c r="B928"/>
      <c r="C928"/>
      <c r="D928"/>
      <c r="E928"/>
      <c r="G928"/>
      <c r="H928"/>
      <c r="I928"/>
    </row>
    <row r="929" spans="2:9" x14ac:dyDescent="0.25">
      <c r="B929"/>
      <c r="C929"/>
      <c r="D929"/>
      <c r="E929"/>
      <c r="G929"/>
      <c r="H929"/>
      <c r="I929"/>
    </row>
    <row r="930" spans="2:9" x14ac:dyDescent="0.25">
      <c r="B930"/>
      <c r="C930"/>
      <c r="D930"/>
      <c r="E930"/>
      <c r="G930"/>
      <c r="H930"/>
      <c r="I930"/>
    </row>
    <row r="931" spans="2:9" x14ac:dyDescent="0.25">
      <c r="B931"/>
      <c r="C931"/>
      <c r="D931"/>
      <c r="E931"/>
      <c r="G931"/>
      <c r="H931"/>
      <c r="I931"/>
    </row>
    <row r="932" spans="2:9" x14ac:dyDescent="0.25">
      <c r="B932"/>
      <c r="C932"/>
      <c r="D932"/>
      <c r="E932"/>
      <c r="G932"/>
      <c r="H932"/>
      <c r="I932"/>
    </row>
    <row r="933" spans="2:9" x14ac:dyDescent="0.25">
      <c r="B933"/>
      <c r="C933"/>
      <c r="D933"/>
      <c r="E933"/>
      <c r="G933"/>
      <c r="H933"/>
      <c r="I933"/>
    </row>
    <row r="934" spans="2:9" x14ac:dyDescent="0.25">
      <c r="B934"/>
      <c r="C934"/>
      <c r="D934"/>
      <c r="E934"/>
      <c r="G934"/>
      <c r="H934"/>
      <c r="I934"/>
    </row>
    <row r="935" spans="2:9" x14ac:dyDescent="0.25">
      <c r="B935"/>
      <c r="C935"/>
      <c r="D935"/>
      <c r="E935"/>
      <c r="G935"/>
      <c r="H935"/>
      <c r="I935"/>
    </row>
    <row r="936" spans="2:9" x14ac:dyDescent="0.25">
      <c r="B936"/>
      <c r="C936"/>
      <c r="D936"/>
      <c r="E936"/>
      <c r="G936"/>
      <c r="H936"/>
      <c r="I936"/>
    </row>
    <row r="937" spans="2:9" x14ac:dyDescent="0.25">
      <c r="B937"/>
      <c r="C937"/>
      <c r="D937"/>
      <c r="E937"/>
      <c r="G937"/>
      <c r="H937"/>
      <c r="I937"/>
    </row>
    <row r="938" spans="2:9" x14ac:dyDescent="0.25">
      <c r="B938"/>
      <c r="C938"/>
      <c r="D938"/>
      <c r="E938"/>
      <c r="G938"/>
      <c r="H938"/>
      <c r="I938"/>
    </row>
    <row r="939" spans="2:9" x14ac:dyDescent="0.25">
      <c r="B939"/>
      <c r="C939"/>
      <c r="D939"/>
      <c r="E939"/>
      <c r="G939"/>
      <c r="H939"/>
      <c r="I939"/>
    </row>
    <row r="940" spans="2:9" x14ac:dyDescent="0.25">
      <c r="B940"/>
      <c r="C940"/>
      <c r="D940"/>
      <c r="E940"/>
      <c r="G940"/>
      <c r="H940"/>
      <c r="I940"/>
    </row>
    <row r="941" spans="2:9" x14ac:dyDescent="0.25">
      <c r="B941"/>
      <c r="C941"/>
      <c r="D941"/>
      <c r="E941"/>
      <c r="G941"/>
      <c r="H941"/>
      <c r="I941"/>
    </row>
    <row r="942" spans="2:9" x14ac:dyDescent="0.25">
      <c r="B942"/>
      <c r="C942"/>
      <c r="D942"/>
      <c r="E942"/>
      <c r="G942"/>
      <c r="H942"/>
      <c r="I942"/>
    </row>
    <row r="943" spans="2:9" x14ac:dyDescent="0.25">
      <c r="B943"/>
      <c r="C943"/>
      <c r="D943"/>
      <c r="E943"/>
      <c r="G943"/>
      <c r="H943"/>
      <c r="I943"/>
    </row>
    <row r="944" spans="2:9" x14ac:dyDescent="0.25">
      <c r="B944"/>
      <c r="C944"/>
      <c r="D944"/>
      <c r="E944"/>
      <c r="G944"/>
      <c r="H944"/>
      <c r="I944"/>
    </row>
    <row r="945" spans="2:9" x14ac:dyDescent="0.25">
      <c r="B945"/>
      <c r="C945"/>
      <c r="D945"/>
      <c r="E945"/>
      <c r="G945"/>
      <c r="H945"/>
      <c r="I945"/>
    </row>
    <row r="946" spans="2:9" x14ac:dyDescent="0.25">
      <c r="B946"/>
      <c r="C946"/>
      <c r="D946"/>
      <c r="E946"/>
      <c r="G946"/>
      <c r="H946"/>
      <c r="I946"/>
    </row>
    <row r="947" spans="2:9" x14ac:dyDescent="0.25">
      <c r="B947"/>
      <c r="C947"/>
      <c r="D947"/>
      <c r="E947"/>
      <c r="G947"/>
      <c r="H947"/>
      <c r="I947"/>
    </row>
    <row r="948" spans="2:9" x14ac:dyDescent="0.25">
      <c r="B948"/>
      <c r="C948"/>
      <c r="D948"/>
      <c r="E948"/>
      <c r="G948"/>
      <c r="H948"/>
      <c r="I948"/>
    </row>
    <row r="949" spans="2:9" x14ac:dyDescent="0.25">
      <c r="B949"/>
      <c r="C949"/>
      <c r="D949"/>
      <c r="E949"/>
      <c r="G949"/>
      <c r="H949"/>
      <c r="I949"/>
    </row>
    <row r="950" spans="2:9" x14ac:dyDescent="0.25">
      <c r="B950"/>
      <c r="C950"/>
      <c r="D950"/>
      <c r="E950"/>
      <c r="G950"/>
      <c r="H950"/>
      <c r="I950"/>
    </row>
    <row r="951" spans="2:9" x14ac:dyDescent="0.25">
      <c r="B951"/>
      <c r="C951"/>
      <c r="D951"/>
      <c r="E951"/>
      <c r="G951"/>
      <c r="H951"/>
      <c r="I951"/>
    </row>
    <row r="952" spans="2:9" x14ac:dyDescent="0.25">
      <c r="B952"/>
      <c r="C952"/>
      <c r="D952"/>
      <c r="E952"/>
      <c r="G952"/>
      <c r="H952"/>
      <c r="I952"/>
    </row>
    <row r="953" spans="2:9" x14ac:dyDescent="0.25">
      <c r="B953"/>
      <c r="C953"/>
      <c r="D953"/>
      <c r="E953"/>
      <c r="G953"/>
      <c r="H953"/>
      <c r="I953"/>
    </row>
    <row r="954" spans="2:9" x14ac:dyDescent="0.25">
      <c r="B954"/>
      <c r="C954"/>
      <c r="D954"/>
      <c r="E954"/>
      <c r="G954"/>
      <c r="H954"/>
      <c r="I954"/>
    </row>
    <row r="955" spans="2:9" x14ac:dyDescent="0.25">
      <c r="B955"/>
      <c r="C955"/>
      <c r="D955"/>
      <c r="E955"/>
      <c r="G955"/>
      <c r="H955"/>
      <c r="I955"/>
    </row>
    <row r="956" spans="2:9" x14ac:dyDescent="0.25">
      <c r="B956"/>
      <c r="C956"/>
      <c r="D956"/>
      <c r="E956"/>
      <c r="G956"/>
      <c r="H956"/>
      <c r="I956"/>
    </row>
    <row r="957" spans="2:9" x14ac:dyDescent="0.25">
      <c r="B957"/>
      <c r="C957"/>
      <c r="D957"/>
      <c r="E957"/>
      <c r="G957"/>
      <c r="H957"/>
      <c r="I957"/>
    </row>
    <row r="958" spans="2:9" x14ac:dyDescent="0.25">
      <c r="B958"/>
      <c r="C958"/>
      <c r="D958"/>
      <c r="E958"/>
      <c r="G958"/>
      <c r="H958"/>
      <c r="I958"/>
    </row>
    <row r="959" spans="2:9" x14ac:dyDescent="0.25">
      <c r="B959"/>
      <c r="C959"/>
      <c r="D959"/>
      <c r="E959"/>
      <c r="G959"/>
      <c r="H959"/>
      <c r="I959"/>
    </row>
    <row r="960" spans="2:9" x14ac:dyDescent="0.25">
      <c r="B960"/>
      <c r="C960"/>
      <c r="D960"/>
      <c r="E960"/>
      <c r="G960"/>
      <c r="H960"/>
      <c r="I960"/>
    </row>
    <row r="961" spans="2:9" x14ac:dyDescent="0.25">
      <c r="B961"/>
      <c r="C961"/>
      <c r="D961"/>
      <c r="E961"/>
      <c r="G961"/>
      <c r="H961"/>
      <c r="I961"/>
    </row>
    <row r="962" spans="2:9" x14ac:dyDescent="0.25">
      <c r="B962"/>
      <c r="C962"/>
      <c r="D962"/>
      <c r="E962"/>
      <c r="G962"/>
      <c r="H962"/>
      <c r="I962"/>
    </row>
    <row r="963" spans="2:9" x14ac:dyDescent="0.25">
      <c r="B963"/>
      <c r="C963"/>
      <c r="D963"/>
      <c r="E963"/>
      <c r="G963"/>
      <c r="H963"/>
      <c r="I963"/>
    </row>
    <row r="964" spans="2:9" x14ac:dyDescent="0.25">
      <c r="B964"/>
      <c r="C964"/>
      <c r="D964"/>
      <c r="E964"/>
      <c r="G964"/>
      <c r="H964"/>
      <c r="I964"/>
    </row>
    <row r="965" spans="2:9" x14ac:dyDescent="0.25">
      <c r="B965"/>
      <c r="C965"/>
      <c r="D965"/>
      <c r="E965"/>
      <c r="G965"/>
      <c r="H965"/>
      <c r="I965"/>
    </row>
    <row r="966" spans="2:9" x14ac:dyDescent="0.25">
      <c r="B966"/>
      <c r="C966"/>
      <c r="D966"/>
      <c r="E966"/>
      <c r="G966"/>
      <c r="H966"/>
      <c r="I966"/>
    </row>
    <row r="967" spans="2:9" x14ac:dyDescent="0.25">
      <c r="B967"/>
      <c r="C967"/>
      <c r="D967"/>
      <c r="E967"/>
      <c r="G967"/>
      <c r="H967"/>
      <c r="I967"/>
    </row>
    <row r="968" spans="2:9" x14ac:dyDescent="0.25">
      <c r="B968"/>
      <c r="C968"/>
      <c r="D968"/>
      <c r="E968"/>
      <c r="G968"/>
      <c r="H968"/>
      <c r="I968"/>
    </row>
    <row r="969" spans="2:9" x14ac:dyDescent="0.25">
      <c r="B969"/>
      <c r="C969"/>
      <c r="D969"/>
      <c r="E969"/>
      <c r="G969"/>
      <c r="H969"/>
      <c r="I969"/>
    </row>
    <row r="970" spans="2:9" x14ac:dyDescent="0.25">
      <c r="B970"/>
      <c r="C970"/>
      <c r="D970"/>
      <c r="E970"/>
      <c r="G970"/>
      <c r="H970"/>
      <c r="I970"/>
    </row>
    <row r="971" spans="2:9" x14ac:dyDescent="0.25">
      <c r="B971"/>
      <c r="C971"/>
      <c r="D971"/>
      <c r="E971"/>
      <c r="G971"/>
      <c r="H971"/>
      <c r="I971"/>
    </row>
    <row r="972" spans="2:9" x14ac:dyDescent="0.25">
      <c r="B972"/>
      <c r="C972"/>
      <c r="D972"/>
      <c r="E972"/>
      <c r="G972"/>
      <c r="H972"/>
      <c r="I972"/>
    </row>
    <row r="973" spans="2:9" x14ac:dyDescent="0.25">
      <c r="B973"/>
      <c r="C973"/>
      <c r="D973"/>
      <c r="E973"/>
      <c r="G973"/>
      <c r="H973"/>
      <c r="I973"/>
    </row>
    <row r="974" spans="2:9" x14ac:dyDescent="0.25">
      <c r="B974"/>
      <c r="C974"/>
      <c r="D974"/>
      <c r="E974"/>
      <c r="G974"/>
      <c r="H974"/>
      <c r="I974"/>
    </row>
    <row r="975" spans="2:9" x14ac:dyDescent="0.25">
      <c r="B975"/>
      <c r="C975"/>
      <c r="D975"/>
      <c r="E975"/>
      <c r="G975"/>
      <c r="H975"/>
      <c r="I975"/>
    </row>
    <row r="976" spans="2:9" x14ac:dyDescent="0.25">
      <c r="B976"/>
      <c r="C976"/>
      <c r="D976"/>
      <c r="E976"/>
      <c r="G976"/>
      <c r="H976"/>
      <c r="I976"/>
    </row>
    <row r="977" spans="2:9" x14ac:dyDescent="0.25">
      <c r="B977"/>
      <c r="C977"/>
      <c r="D977"/>
      <c r="E977"/>
      <c r="G977"/>
      <c r="H977"/>
      <c r="I977"/>
    </row>
    <row r="978" spans="2:9" x14ac:dyDescent="0.25">
      <c r="B978"/>
      <c r="C978"/>
      <c r="D978"/>
      <c r="E978"/>
      <c r="G978"/>
      <c r="H978"/>
      <c r="I978"/>
    </row>
    <row r="979" spans="2:9" x14ac:dyDescent="0.25">
      <c r="B979"/>
      <c r="C979"/>
      <c r="D979"/>
      <c r="E979"/>
      <c r="G979"/>
      <c r="H979"/>
      <c r="I979"/>
    </row>
    <row r="980" spans="2:9" x14ac:dyDescent="0.25">
      <c r="B980"/>
      <c r="C980"/>
      <c r="D980"/>
      <c r="E980"/>
      <c r="G980"/>
      <c r="H980"/>
      <c r="I980"/>
    </row>
    <row r="981" spans="2:9" x14ac:dyDescent="0.25">
      <c r="B981"/>
      <c r="C981"/>
      <c r="D981"/>
      <c r="E981"/>
      <c r="G981"/>
      <c r="H981"/>
      <c r="I981"/>
    </row>
    <row r="982" spans="2:9" x14ac:dyDescent="0.25">
      <c r="B982"/>
      <c r="C982"/>
      <c r="D982"/>
      <c r="E982"/>
      <c r="G982"/>
      <c r="H982"/>
      <c r="I982"/>
    </row>
    <row r="983" spans="2:9" x14ac:dyDescent="0.25">
      <c r="B983"/>
      <c r="C983"/>
      <c r="D983"/>
      <c r="E983"/>
      <c r="G983"/>
      <c r="H983"/>
      <c r="I983"/>
    </row>
    <row r="984" spans="2:9" x14ac:dyDescent="0.25">
      <c r="B984"/>
      <c r="C984"/>
      <c r="D984"/>
      <c r="E984"/>
      <c r="G984"/>
      <c r="H984"/>
      <c r="I984"/>
    </row>
    <row r="985" spans="2:9" x14ac:dyDescent="0.25">
      <c r="B985"/>
      <c r="C985"/>
      <c r="D985"/>
      <c r="E985"/>
      <c r="G985"/>
      <c r="H985"/>
      <c r="I985"/>
    </row>
    <row r="986" spans="2:9" x14ac:dyDescent="0.25">
      <c r="B986"/>
      <c r="C986"/>
      <c r="D986"/>
      <c r="E986"/>
      <c r="G986"/>
      <c r="H986"/>
      <c r="I986"/>
    </row>
    <row r="987" spans="2:9" x14ac:dyDescent="0.25">
      <c r="B987"/>
      <c r="C987"/>
      <c r="D987"/>
      <c r="E987"/>
      <c r="G987"/>
      <c r="H987"/>
      <c r="I987"/>
    </row>
    <row r="988" spans="2:9" x14ac:dyDescent="0.25">
      <c r="B988"/>
      <c r="C988"/>
      <c r="D988"/>
      <c r="E988"/>
      <c r="G988"/>
      <c r="H988"/>
      <c r="I988"/>
    </row>
    <row r="989" spans="2:9" x14ac:dyDescent="0.25">
      <c r="B989"/>
      <c r="C989"/>
      <c r="D989"/>
      <c r="E989"/>
      <c r="G989"/>
      <c r="H989"/>
      <c r="I989"/>
    </row>
    <row r="990" spans="2:9" x14ac:dyDescent="0.25">
      <c r="B990"/>
      <c r="C990"/>
      <c r="D990"/>
      <c r="E990"/>
      <c r="G990"/>
      <c r="H990"/>
      <c r="I990"/>
    </row>
    <row r="991" spans="2:9" x14ac:dyDescent="0.25">
      <c r="B991"/>
      <c r="C991"/>
      <c r="D991"/>
      <c r="E991"/>
      <c r="G991"/>
      <c r="H991"/>
      <c r="I991"/>
    </row>
    <row r="992" spans="2:9" x14ac:dyDescent="0.25">
      <c r="B992"/>
      <c r="C992"/>
      <c r="D992"/>
      <c r="E992"/>
      <c r="G992"/>
      <c r="H992"/>
      <c r="I992"/>
    </row>
    <row r="993" spans="2:9" x14ac:dyDescent="0.25">
      <c r="B993"/>
      <c r="C993"/>
      <c r="D993"/>
      <c r="E993"/>
      <c r="G993"/>
      <c r="H993"/>
      <c r="I993"/>
    </row>
    <row r="994" spans="2:9" x14ac:dyDescent="0.25">
      <c r="B994"/>
      <c r="C994"/>
      <c r="D994"/>
      <c r="E994"/>
      <c r="G994"/>
      <c r="H994"/>
      <c r="I994"/>
    </row>
    <row r="995" spans="2:9" x14ac:dyDescent="0.25">
      <c r="B995"/>
      <c r="C995"/>
      <c r="D995"/>
      <c r="E995"/>
      <c r="G995"/>
      <c r="H995"/>
      <c r="I995"/>
    </row>
    <row r="996" spans="2:9" x14ac:dyDescent="0.25">
      <c r="B996"/>
      <c r="C996"/>
      <c r="D996"/>
      <c r="E996"/>
      <c r="G996"/>
      <c r="H996"/>
      <c r="I996"/>
    </row>
    <row r="997" spans="2:9" x14ac:dyDescent="0.25">
      <c r="B997"/>
      <c r="C997"/>
      <c r="D997"/>
      <c r="E997"/>
      <c r="G997"/>
      <c r="H997"/>
      <c r="I997"/>
    </row>
    <row r="998" spans="2:9" x14ac:dyDescent="0.25">
      <c r="B998"/>
      <c r="C998"/>
      <c r="D998"/>
      <c r="E998"/>
      <c r="G998"/>
      <c r="H998"/>
      <c r="I998"/>
    </row>
    <row r="999" spans="2:9" x14ac:dyDescent="0.25">
      <c r="B999"/>
      <c r="C999"/>
      <c r="D999"/>
      <c r="E999"/>
      <c r="G999"/>
      <c r="H999"/>
      <c r="I999"/>
    </row>
    <row r="1000" spans="2:9" x14ac:dyDescent="0.25">
      <c r="B1000"/>
      <c r="C1000"/>
      <c r="D1000"/>
      <c r="E1000"/>
      <c r="G1000"/>
      <c r="H1000"/>
      <c r="I1000"/>
    </row>
    <row r="1001" spans="2:9" x14ac:dyDescent="0.25">
      <c r="B1001"/>
      <c r="C1001"/>
      <c r="D1001"/>
      <c r="E1001"/>
      <c r="G1001"/>
      <c r="H1001"/>
      <c r="I1001"/>
    </row>
    <row r="1002" spans="2:9" x14ac:dyDescent="0.25">
      <c r="B1002"/>
      <c r="C1002"/>
      <c r="D1002"/>
      <c r="E1002"/>
      <c r="G1002"/>
      <c r="H1002"/>
      <c r="I1002"/>
    </row>
    <row r="1003" spans="2:9" x14ac:dyDescent="0.25">
      <c r="B1003"/>
      <c r="C1003"/>
      <c r="D1003"/>
      <c r="E1003"/>
      <c r="G1003"/>
      <c r="H1003"/>
      <c r="I1003"/>
    </row>
    <row r="1004" spans="2:9" x14ac:dyDescent="0.25">
      <c r="B1004"/>
      <c r="C1004"/>
      <c r="D1004"/>
      <c r="E1004"/>
      <c r="G1004"/>
      <c r="H1004"/>
      <c r="I1004"/>
    </row>
    <row r="1005" spans="2:9" x14ac:dyDescent="0.25">
      <c r="B1005"/>
      <c r="C1005"/>
      <c r="D1005"/>
      <c r="E1005"/>
      <c r="G1005"/>
      <c r="H1005"/>
      <c r="I1005"/>
    </row>
    <row r="1006" spans="2:9" x14ac:dyDescent="0.25">
      <c r="B1006"/>
      <c r="C1006"/>
      <c r="D1006"/>
      <c r="E1006"/>
      <c r="G1006"/>
      <c r="H1006"/>
      <c r="I1006"/>
    </row>
    <row r="1007" spans="2:9" x14ac:dyDescent="0.25">
      <c r="B1007"/>
      <c r="C1007"/>
      <c r="D1007"/>
      <c r="E1007"/>
      <c r="G1007"/>
      <c r="H1007"/>
      <c r="I1007"/>
    </row>
    <row r="1008" spans="2:9" x14ac:dyDescent="0.25">
      <c r="B1008"/>
      <c r="C1008"/>
      <c r="D1008"/>
      <c r="E1008"/>
      <c r="G1008"/>
      <c r="H1008"/>
      <c r="I1008"/>
    </row>
    <row r="1009" spans="2:9" x14ac:dyDescent="0.25">
      <c r="B1009"/>
      <c r="C1009"/>
      <c r="D1009"/>
      <c r="E1009"/>
      <c r="G1009"/>
      <c r="H1009"/>
      <c r="I1009"/>
    </row>
    <row r="1010" spans="2:9" x14ac:dyDescent="0.25">
      <c r="B1010"/>
      <c r="C1010"/>
      <c r="D1010"/>
      <c r="E1010"/>
      <c r="G1010"/>
      <c r="H1010"/>
      <c r="I1010"/>
    </row>
    <row r="1011" spans="2:9" x14ac:dyDescent="0.25">
      <c r="B1011"/>
      <c r="C1011"/>
      <c r="D1011"/>
      <c r="E1011"/>
      <c r="G1011"/>
      <c r="H1011"/>
      <c r="I1011"/>
    </row>
    <row r="1012" spans="2:9" x14ac:dyDescent="0.25">
      <c r="B1012"/>
      <c r="C1012"/>
      <c r="D1012"/>
      <c r="E1012"/>
      <c r="G1012"/>
      <c r="H1012"/>
      <c r="I1012"/>
    </row>
    <row r="1013" spans="2:9" x14ac:dyDescent="0.25">
      <c r="B1013"/>
      <c r="C1013"/>
      <c r="D1013"/>
      <c r="E1013"/>
      <c r="G1013"/>
      <c r="H1013"/>
      <c r="I1013"/>
    </row>
    <row r="1014" spans="2:9" x14ac:dyDescent="0.25">
      <c r="B1014"/>
      <c r="C1014"/>
      <c r="D1014"/>
      <c r="E1014"/>
      <c r="G1014"/>
      <c r="H1014"/>
      <c r="I1014"/>
    </row>
    <row r="1015" spans="2:9" x14ac:dyDescent="0.25">
      <c r="B1015"/>
      <c r="C1015"/>
      <c r="D1015"/>
      <c r="E1015"/>
      <c r="G1015"/>
      <c r="H1015"/>
      <c r="I1015"/>
    </row>
    <row r="1016" spans="2:9" x14ac:dyDescent="0.25">
      <c r="B1016"/>
      <c r="C1016"/>
      <c r="D1016"/>
      <c r="E1016"/>
      <c r="G1016"/>
      <c r="H1016"/>
      <c r="I1016"/>
    </row>
    <row r="1017" spans="2:9" x14ac:dyDescent="0.25">
      <c r="B1017"/>
      <c r="C1017"/>
      <c r="D1017"/>
      <c r="E1017"/>
      <c r="G1017"/>
      <c r="H1017"/>
      <c r="I1017"/>
    </row>
    <row r="1018" spans="2:9" x14ac:dyDescent="0.25">
      <c r="B1018"/>
      <c r="C1018"/>
      <c r="D1018"/>
      <c r="E1018"/>
      <c r="G1018"/>
      <c r="H1018"/>
      <c r="I1018"/>
    </row>
    <row r="1019" spans="2:9" x14ac:dyDescent="0.25">
      <c r="B1019"/>
      <c r="C1019"/>
      <c r="D1019"/>
      <c r="E1019"/>
      <c r="G1019"/>
      <c r="H1019"/>
      <c r="I1019"/>
    </row>
    <row r="1020" spans="2:9" x14ac:dyDescent="0.25">
      <c r="B1020"/>
      <c r="C1020"/>
      <c r="D1020"/>
      <c r="E1020"/>
      <c r="G1020"/>
      <c r="H1020"/>
      <c r="I1020"/>
    </row>
    <row r="1021" spans="2:9" x14ac:dyDescent="0.25">
      <c r="B1021"/>
      <c r="C1021"/>
      <c r="D1021"/>
      <c r="E1021"/>
      <c r="G1021"/>
      <c r="H1021"/>
      <c r="I1021"/>
    </row>
    <row r="1022" spans="2:9" x14ac:dyDescent="0.25">
      <c r="B1022"/>
      <c r="C1022"/>
      <c r="D1022"/>
      <c r="E1022"/>
      <c r="G1022"/>
      <c r="H1022"/>
      <c r="I1022"/>
    </row>
    <row r="1023" spans="2:9" x14ac:dyDescent="0.25">
      <c r="B1023"/>
      <c r="C1023"/>
      <c r="D1023"/>
      <c r="E1023"/>
      <c r="G1023"/>
      <c r="H1023"/>
      <c r="I1023"/>
    </row>
    <row r="1024" spans="2:9" x14ac:dyDescent="0.25">
      <c r="B1024"/>
      <c r="C1024"/>
      <c r="D1024"/>
      <c r="E1024"/>
      <c r="G1024"/>
      <c r="H1024"/>
      <c r="I1024"/>
    </row>
    <row r="1025" spans="2:9" x14ac:dyDescent="0.25">
      <c r="B1025"/>
      <c r="C1025"/>
      <c r="D1025"/>
      <c r="E1025"/>
      <c r="G1025"/>
      <c r="H1025"/>
      <c r="I1025"/>
    </row>
    <row r="1026" spans="2:9" x14ac:dyDescent="0.25">
      <c r="B1026"/>
      <c r="C1026"/>
      <c r="D1026"/>
      <c r="E1026"/>
      <c r="G1026"/>
      <c r="H1026"/>
      <c r="I1026"/>
    </row>
    <row r="1027" spans="2:9" x14ac:dyDescent="0.25">
      <c r="B1027"/>
      <c r="C1027"/>
      <c r="D1027"/>
      <c r="E1027"/>
      <c r="G1027"/>
      <c r="H1027"/>
      <c r="I1027"/>
    </row>
    <row r="1028" spans="2:9" x14ac:dyDescent="0.25">
      <c r="B1028"/>
      <c r="C1028"/>
      <c r="D1028"/>
      <c r="E1028"/>
      <c r="G1028"/>
      <c r="H1028"/>
      <c r="I1028"/>
    </row>
    <row r="1029" spans="2:9" x14ac:dyDescent="0.25">
      <c r="B1029"/>
      <c r="C1029"/>
      <c r="D1029"/>
      <c r="E1029"/>
      <c r="G1029"/>
      <c r="H1029"/>
      <c r="I1029"/>
    </row>
    <row r="1030" spans="2:9" x14ac:dyDescent="0.25">
      <c r="B1030"/>
      <c r="C1030"/>
      <c r="D1030"/>
      <c r="E1030"/>
      <c r="G1030"/>
      <c r="H1030"/>
      <c r="I1030"/>
    </row>
    <row r="1031" spans="2:9" x14ac:dyDescent="0.25">
      <c r="B1031"/>
      <c r="C1031"/>
      <c r="D1031"/>
      <c r="E1031"/>
      <c r="G1031"/>
      <c r="H1031"/>
      <c r="I1031"/>
    </row>
    <row r="1032" spans="2:9" x14ac:dyDescent="0.25">
      <c r="B1032"/>
      <c r="C1032"/>
      <c r="D1032"/>
      <c r="E1032"/>
      <c r="G1032"/>
      <c r="H1032"/>
      <c r="I1032"/>
    </row>
    <row r="1033" spans="2:9" x14ac:dyDescent="0.25">
      <c r="B1033"/>
      <c r="C1033"/>
      <c r="D1033"/>
      <c r="E1033"/>
      <c r="G1033"/>
      <c r="H1033"/>
      <c r="I1033"/>
    </row>
    <row r="1034" spans="2:9" x14ac:dyDescent="0.25">
      <c r="B1034"/>
      <c r="C1034"/>
      <c r="D1034"/>
      <c r="E1034"/>
      <c r="G1034"/>
      <c r="H1034"/>
      <c r="I1034"/>
    </row>
    <row r="1035" spans="2:9" x14ac:dyDescent="0.25">
      <c r="B1035"/>
      <c r="C1035"/>
      <c r="D1035"/>
      <c r="E1035"/>
      <c r="G1035"/>
      <c r="H1035"/>
      <c r="I1035"/>
    </row>
    <row r="1036" spans="2:9" x14ac:dyDescent="0.25">
      <c r="B1036"/>
      <c r="C1036"/>
      <c r="D1036"/>
      <c r="E1036"/>
      <c r="G1036"/>
      <c r="H1036"/>
      <c r="I1036"/>
    </row>
    <row r="1037" spans="2:9" x14ac:dyDescent="0.25">
      <c r="B1037"/>
      <c r="C1037"/>
      <c r="D1037"/>
      <c r="E1037"/>
      <c r="G1037"/>
      <c r="H1037"/>
      <c r="I1037"/>
    </row>
    <row r="1038" spans="2:9" x14ac:dyDescent="0.25">
      <c r="B1038"/>
      <c r="C1038"/>
      <c r="D1038"/>
      <c r="E1038"/>
      <c r="G1038"/>
      <c r="H1038"/>
      <c r="I1038"/>
    </row>
    <row r="1039" spans="2:9" x14ac:dyDescent="0.25">
      <c r="B1039"/>
      <c r="C1039"/>
      <c r="D1039"/>
      <c r="E1039"/>
      <c r="G1039"/>
      <c r="H1039"/>
      <c r="I1039"/>
    </row>
    <row r="1040" spans="2:9" x14ac:dyDescent="0.25">
      <c r="B1040"/>
      <c r="C1040"/>
      <c r="D1040"/>
      <c r="E1040"/>
      <c r="G1040"/>
      <c r="H1040"/>
      <c r="I1040"/>
    </row>
    <row r="1041" spans="2:9" x14ac:dyDescent="0.25">
      <c r="B1041"/>
      <c r="C1041"/>
      <c r="D1041"/>
      <c r="E1041"/>
      <c r="G1041"/>
      <c r="H1041"/>
      <c r="I1041"/>
    </row>
    <row r="1042" spans="2:9" x14ac:dyDescent="0.25">
      <c r="B1042"/>
      <c r="C1042"/>
      <c r="D1042"/>
      <c r="E1042"/>
      <c r="G1042"/>
      <c r="H1042"/>
      <c r="I1042"/>
    </row>
    <row r="1043" spans="2:9" x14ac:dyDescent="0.25">
      <c r="B1043"/>
      <c r="C1043"/>
      <c r="D1043"/>
      <c r="E1043"/>
      <c r="G1043"/>
      <c r="H1043"/>
      <c r="I1043"/>
    </row>
    <row r="1044" spans="2:9" x14ac:dyDescent="0.25">
      <c r="B1044"/>
      <c r="C1044"/>
      <c r="D1044"/>
      <c r="E1044"/>
      <c r="G1044"/>
      <c r="H1044"/>
      <c r="I1044"/>
    </row>
    <row r="1045" spans="2:9" x14ac:dyDescent="0.25">
      <c r="B1045"/>
      <c r="C1045"/>
      <c r="D1045"/>
      <c r="E1045"/>
      <c r="G1045"/>
      <c r="H1045"/>
      <c r="I1045"/>
    </row>
    <row r="1046" spans="2:9" x14ac:dyDescent="0.25">
      <c r="B1046"/>
      <c r="C1046"/>
      <c r="D1046"/>
      <c r="E1046"/>
      <c r="G1046"/>
      <c r="H1046"/>
      <c r="I1046"/>
    </row>
    <row r="1047" spans="2:9" x14ac:dyDescent="0.25">
      <c r="B1047"/>
      <c r="C1047"/>
      <c r="D1047"/>
      <c r="E1047"/>
      <c r="G1047"/>
      <c r="H1047"/>
      <c r="I1047"/>
    </row>
    <row r="1048" spans="2:9" x14ac:dyDescent="0.25">
      <c r="B1048"/>
      <c r="C1048"/>
      <c r="D1048"/>
      <c r="E1048"/>
      <c r="G1048"/>
      <c r="H1048"/>
      <c r="I1048"/>
    </row>
    <row r="1049" spans="2:9" x14ac:dyDescent="0.25">
      <c r="B1049"/>
      <c r="C1049"/>
      <c r="D1049"/>
      <c r="E1049"/>
      <c r="G1049"/>
      <c r="H1049"/>
      <c r="I1049"/>
    </row>
    <row r="1050" spans="2:9" x14ac:dyDescent="0.25">
      <c r="B1050"/>
      <c r="C1050"/>
      <c r="D1050"/>
      <c r="E1050"/>
      <c r="G1050"/>
      <c r="H1050"/>
      <c r="I1050"/>
    </row>
    <row r="1051" spans="2:9" x14ac:dyDescent="0.25">
      <c r="B1051"/>
      <c r="C1051"/>
      <c r="D1051"/>
      <c r="E1051"/>
      <c r="G1051"/>
      <c r="H1051"/>
      <c r="I1051"/>
    </row>
    <row r="1052" spans="2:9" x14ac:dyDescent="0.25">
      <c r="B1052"/>
      <c r="C1052"/>
      <c r="D1052"/>
      <c r="E1052"/>
      <c r="G1052"/>
      <c r="H1052"/>
      <c r="I1052"/>
    </row>
    <row r="1053" spans="2:9" x14ac:dyDescent="0.25">
      <c r="B1053"/>
      <c r="C1053"/>
      <c r="D1053"/>
      <c r="E1053"/>
      <c r="G1053"/>
      <c r="H1053"/>
      <c r="I1053"/>
    </row>
    <row r="1054" spans="2:9" x14ac:dyDescent="0.25">
      <c r="B1054"/>
      <c r="C1054"/>
      <c r="D1054"/>
      <c r="E1054"/>
      <c r="G1054"/>
      <c r="H1054"/>
      <c r="I1054"/>
    </row>
    <row r="1055" spans="2:9" x14ac:dyDescent="0.25">
      <c r="B1055"/>
      <c r="C1055"/>
      <c r="D1055"/>
      <c r="E1055"/>
      <c r="G1055"/>
      <c r="H1055"/>
      <c r="I1055"/>
    </row>
    <row r="1056" spans="2:9" x14ac:dyDescent="0.25">
      <c r="B1056"/>
      <c r="C1056"/>
      <c r="D1056"/>
      <c r="E1056"/>
      <c r="G1056"/>
      <c r="H1056"/>
      <c r="I1056"/>
    </row>
    <row r="1057" spans="2:9" x14ac:dyDescent="0.25">
      <c r="B1057"/>
      <c r="C1057"/>
      <c r="D1057"/>
      <c r="E1057"/>
      <c r="G1057"/>
      <c r="H1057"/>
      <c r="I1057"/>
    </row>
    <row r="1058" spans="2:9" x14ac:dyDescent="0.25">
      <c r="B1058"/>
      <c r="C1058"/>
      <c r="D1058"/>
      <c r="E1058"/>
      <c r="G1058"/>
      <c r="H1058"/>
      <c r="I1058"/>
    </row>
    <row r="1059" spans="2:9" x14ac:dyDescent="0.25">
      <c r="B1059"/>
      <c r="C1059"/>
      <c r="D1059"/>
      <c r="E1059"/>
      <c r="G1059"/>
      <c r="H1059"/>
      <c r="I1059"/>
    </row>
    <row r="1060" spans="2:9" x14ac:dyDescent="0.25">
      <c r="B1060"/>
      <c r="C1060"/>
      <c r="D1060"/>
      <c r="E1060"/>
      <c r="G1060"/>
      <c r="H1060"/>
      <c r="I1060"/>
    </row>
    <row r="1061" spans="2:9" x14ac:dyDescent="0.25">
      <c r="B1061"/>
      <c r="C1061"/>
      <c r="D1061"/>
      <c r="E1061"/>
      <c r="G1061"/>
      <c r="H1061"/>
      <c r="I1061"/>
    </row>
    <row r="1062" spans="2:9" x14ac:dyDescent="0.25">
      <c r="B1062"/>
      <c r="C1062"/>
      <c r="D1062"/>
      <c r="E1062"/>
      <c r="G1062"/>
      <c r="H1062"/>
      <c r="I1062"/>
    </row>
    <row r="1063" spans="2:9" x14ac:dyDescent="0.25">
      <c r="B1063"/>
      <c r="C1063"/>
      <c r="D1063"/>
      <c r="E1063"/>
      <c r="G1063"/>
      <c r="H1063"/>
      <c r="I1063"/>
    </row>
    <row r="1064" spans="2:9" x14ac:dyDescent="0.25">
      <c r="B1064"/>
      <c r="C1064"/>
      <c r="D1064"/>
      <c r="E1064"/>
      <c r="G1064"/>
      <c r="H1064"/>
      <c r="I1064"/>
    </row>
    <row r="1065" spans="2:9" x14ac:dyDescent="0.25">
      <c r="B1065"/>
      <c r="C1065"/>
      <c r="D1065"/>
      <c r="E1065"/>
      <c r="G1065"/>
      <c r="H1065"/>
      <c r="I1065"/>
    </row>
    <row r="1066" spans="2:9" x14ac:dyDescent="0.25">
      <c r="B1066"/>
      <c r="C1066"/>
      <c r="D1066"/>
      <c r="E1066"/>
      <c r="G1066"/>
      <c r="H1066"/>
      <c r="I1066"/>
    </row>
    <row r="1067" spans="2:9" x14ac:dyDescent="0.25">
      <c r="B1067"/>
      <c r="C1067"/>
      <c r="D1067"/>
      <c r="E1067"/>
      <c r="G1067"/>
      <c r="H1067"/>
      <c r="I1067"/>
    </row>
    <row r="1068" spans="2:9" x14ac:dyDescent="0.25">
      <c r="B1068"/>
      <c r="C1068"/>
      <c r="D1068"/>
      <c r="E1068"/>
      <c r="G1068"/>
      <c r="H1068"/>
      <c r="I1068"/>
    </row>
    <row r="1069" spans="2:9" x14ac:dyDescent="0.25">
      <c r="B1069"/>
      <c r="C1069"/>
      <c r="D1069"/>
      <c r="E1069"/>
      <c r="G1069"/>
      <c r="H1069"/>
      <c r="I1069"/>
    </row>
    <row r="1070" spans="2:9" x14ac:dyDescent="0.25">
      <c r="B1070"/>
      <c r="C1070"/>
      <c r="D1070"/>
      <c r="E1070"/>
      <c r="G1070"/>
      <c r="H1070"/>
      <c r="I1070"/>
    </row>
    <row r="1071" spans="2:9" x14ac:dyDescent="0.25">
      <c r="B1071"/>
      <c r="C1071"/>
      <c r="D1071"/>
      <c r="E1071"/>
      <c r="G1071"/>
      <c r="H1071"/>
      <c r="I1071"/>
    </row>
    <row r="1072" spans="2:9" x14ac:dyDescent="0.25">
      <c r="B1072"/>
      <c r="C1072"/>
      <c r="D1072"/>
      <c r="E1072"/>
      <c r="G1072"/>
      <c r="H1072"/>
      <c r="I1072"/>
    </row>
    <row r="1073" spans="2:9" x14ac:dyDescent="0.25">
      <c r="B1073"/>
      <c r="C1073"/>
      <c r="D1073"/>
      <c r="E1073"/>
      <c r="G1073"/>
      <c r="H1073"/>
      <c r="I1073"/>
    </row>
    <row r="1074" spans="2:9" x14ac:dyDescent="0.25">
      <c r="B1074"/>
      <c r="C1074"/>
      <c r="D1074"/>
      <c r="E1074"/>
      <c r="G1074"/>
      <c r="H1074"/>
      <c r="I1074"/>
    </row>
    <row r="1075" spans="2:9" x14ac:dyDescent="0.25">
      <c r="B1075"/>
      <c r="C1075"/>
      <c r="D1075"/>
      <c r="E1075"/>
      <c r="G1075"/>
      <c r="H1075"/>
      <c r="I1075"/>
    </row>
    <row r="1076" spans="2:9" x14ac:dyDescent="0.25">
      <c r="B1076"/>
      <c r="C1076"/>
      <c r="D1076"/>
      <c r="E1076"/>
      <c r="G1076"/>
      <c r="H1076"/>
      <c r="I1076"/>
    </row>
    <row r="1077" spans="2:9" x14ac:dyDescent="0.25">
      <c r="B1077"/>
      <c r="C1077"/>
      <c r="D1077"/>
      <c r="E1077"/>
      <c r="G1077"/>
      <c r="H1077"/>
      <c r="I1077"/>
    </row>
    <row r="1078" spans="2:9" x14ac:dyDescent="0.25">
      <c r="B1078"/>
      <c r="C1078"/>
      <c r="D1078"/>
      <c r="E1078"/>
      <c r="G1078"/>
      <c r="H1078"/>
      <c r="I1078"/>
    </row>
    <row r="1079" spans="2:9" x14ac:dyDescent="0.25">
      <c r="B1079"/>
      <c r="C1079"/>
      <c r="D1079"/>
      <c r="E1079"/>
      <c r="G1079"/>
      <c r="H1079"/>
      <c r="I1079"/>
    </row>
    <row r="1080" spans="2:9" x14ac:dyDescent="0.25">
      <c r="B1080"/>
      <c r="C1080"/>
      <c r="D1080"/>
      <c r="E1080"/>
      <c r="G1080"/>
      <c r="H1080"/>
      <c r="I1080"/>
    </row>
    <row r="1081" spans="2:9" x14ac:dyDescent="0.25">
      <c r="B1081"/>
      <c r="C1081"/>
      <c r="D1081"/>
      <c r="E1081"/>
      <c r="G1081"/>
      <c r="H1081"/>
      <c r="I1081"/>
    </row>
    <row r="1082" spans="2:9" x14ac:dyDescent="0.25">
      <c r="B1082"/>
      <c r="C1082"/>
      <c r="D1082"/>
      <c r="E1082"/>
      <c r="G1082"/>
      <c r="H1082"/>
      <c r="I1082"/>
    </row>
    <row r="1083" spans="2:9" x14ac:dyDescent="0.25">
      <c r="B1083"/>
      <c r="C1083"/>
      <c r="D1083"/>
      <c r="E1083"/>
      <c r="G1083"/>
      <c r="H1083"/>
      <c r="I1083"/>
    </row>
    <row r="1084" spans="2:9" x14ac:dyDescent="0.25">
      <c r="B1084"/>
      <c r="C1084"/>
      <c r="D1084"/>
      <c r="E1084"/>
      <c r="G1084"/>
      <c r="H1084"/>
      <c r="I1084"/>
    </row>
    <row r="1085" spans="2:9" x14ac:dyDescent="0.25">
      <c r="B1085"/>
      <c r="C1085"/>
      <c r="D1085"/>
      <c r="E1085"/>
      <c r="G1085"/>
      <c r="H1085"/>
      <c r="I1085"/>
    </row>
    <row r="1086" spans="2:9" x14ac:dyDescent="0.25">
      <c r="B1086"/>
      <c r="C1086"/>
      <c r="D1086"/>
      <c r="E1086"/>
      <c r="G1086"/>
      <c r="H1086"/>
      <c r="I1086"/>
    </row>
    <row r="1087" spans="2:9" x14ac:dyDescent="0.25">
      <c r="B1087"/>
      <c r="C1087"/>
      <c r="D1087"/>
      <c r="E1087"/>
      <c r="G1087"/>
      <c r="H1087"/>
      <c r="I1087"/>
    </row>
    <row r="1088" spans="2:9" x14ac:dyDescent="0.25">
      <c r="B1088"/>
      <c r="C1088"/>
      <c r="D1088"/>
      <c r="E1088"/>
      <c r="G1088"/>
      <c r="H1088"/>
      <c r="I1088"/>
    </row>
    <row r="1089" spans="2:9" x14ac:dyDescent="0.25">
      <c r="B1089"/>
      <c r="C1089"/>
      <c r="D1089"/>
      <c r="E1089"/>
      <c r="G1089"/>
      <c r="H1089"/>
      <c r="I1089"/>
    </row>
    <row r="1090" spans="2:9" x14ac:dyDescent="0.25">
      <c r="B1090"/>
      <c r="C1090"/>
      <c r="D1090"/>
      <c r="E1090"/>
      <c r="G1090"/>
      <c r="H1090"/>
      <c r="I1090"/>
    </row>
    <row r="1091" spans="2:9" x14ac:dyDescent="0.25">
      <c r="B1091"/>
      <c r="C1091"/>
      <c r="D1091"/>
      <c r="E1091"/>
      <c r="G1091"/>
      <c r="H1091"/>
      <c r="I1091"/>
    </row>
    <row r="1092" spans="2:9" x14ac:dyDescent="0.25">
      <c r="B1092"/>
      <c r="C1092"/>
      <c r="D1092"/>
      <c r="E1092"/>
      <c r="G1092"/>
      <c r="H1092"/>
      <c r="I1092"/>
    </row>
    <row r="1093" spans="2:9" x14ac:dyDescent="0.25">
      <c r="B1093"/>
      <c r="C1093"/>
      <c r="D1093"/>
      <c r="E1093"/>
      <c r="G1093"/>
      <c r="H1093"/>
      <c r="I1093"/>
    </row>
    <row r="1094" spans="2:9" x14ac:dyDescent="0.25">
      <c r="B1094"/>
      <c r="C1094"/>
      <c r="D1094"/>
      <c r="E1094"/>
      <c r="G1094"/>
      <c r="H1094"/>
      <c r="I1094"/>
    </row>
    <row r="1095" spans="2:9" x14ac:dyDescent="0.25">
      <c r="B1095"/>
      <c r="C1095"/>
      <c r="D1095"/>
      <c r="E1095"/>
      <c r="G1095"/>
      <c r="H1095"/>
      <c r="I1095"/>
    </row>
    <row r="1096" spans="2:9" x14ac:dyDescent="0.25">
      <c r="B1096"/>
      <c r="C1096"/>
      <c r="D1096"/>
      <c r="E1096"/>
      <c r="G1096"/>
      <c r="H1096"/>
      <c r="I1096"/>
    </row>
    <row r="1097" spans="2:9" x14ac:dyDescent="0.25">
      <c r="B1097"/>
      <c r="C1097"/>
      <c r="D1097"/>
      <c r="E1097"/>
      <c r="G1097"/>
      <c r="H1097"/>
      <c r="I1097"/>
    </row>
    <row r="1098" spans="2:9" x14ac:dyDescent="0.25">
      <c r="B1098"/>
      <c r="C1098"/>
      <c r="D1098"/>
      <c r="E1098"/>
      <c r="G1098"/>
      <c r="H1098"/>
      <c r="I1098"/>
    </row>
    <row r="1099" spans="2:9" x14ac:dyDescent="0.25">
      <c r="B1099"/>
      <c r="C1099"/>
      <c r="D1099"/>
      <c r="E1099"/>
      <c r="G1099"/>
      <c r="H1099"/>
      <c r="I1099"/>
    </row>
    <row r="1100" spans="2:9" x14ac:dyDescent="0.25">
      <c r="B1100"/>
      <c r="C1100"/>
      <c r="D1100"/>
      <c r="E1100"/>
      <c r="G1100"/>
      <c r="H1100"/>
      <c r="I1100"/>
    </row>
    <row r="1101" spans="2:9" x14ac:dyDescent="0.25">
      <c r="B1101"/>
      <c r="C1101"/>
      <c r="D1101"/>
      <c r="E1101"/>
      <c r="G1101"/>
      <c r="H1101"/>
      <c r="I1101"/>
    </row>
    <row r="1102" spans="2:9" x14ac:dyDescent="0.25">
      <c r="B1102"/>
      <c r="C1102"/>
      <c r="D1102"/>
      <c r="E1102"/>
      <c r="G1102"/>
      <c r="H1102"/>
      <c r="I1102"/>
    </row>
    <row r="1103" spans="2:9" x14ac:dyDescent="0.25">
      <c r="B1103"/>
      <c r="C1103"/>
      <c r="D1103"/>
      <c r="E1103"/>
      <c r="G1103"/>
      <c r="H1103"/>
      <c r="I1103"/>
    </row>
    <row r="1104" spans="2:9" x14ac:dyDescent="0.25">
      <c r="B1104"/>
      <c r="C1104"/>
      <c r="D1104"/>
      <c r="E1104"/>
      <c r="G1104"/>
      <c r="H1104"/>
      <c r="I1104"/>
    </row>
    <row r="1105" spans="2:9" x14ac:dyDescent="0.25">
      <c r="B1105"/>
      <c r="C1105"/>
      <c r="D1105"/>
      <c r="E1105"/>
      <c r="G1105"/>
      <c r="H1105"/>
      <c r="I1105"/>
    </row>
    <row r="1106" spans="2:9" x14ac:dyDescent="0.25">
      <c r="B1106"/>
      <c r="C1106"/>
      <c r="D1106"/>
      <c r="E1106"/>
      <c r="G1106"/>
      <c r="H1106"/>
      <c r="I1106"/>
    </row>
    <row r="1107" spans="2:9" x14ac:dyDescent="0.25">
      <c r="B1107"/>
      <c r="C1107"/>
      <c r="D1107"/>
      <c r="E1107"/>
      <c r="G1107"/>
      <c r="H1107"/>
      <c r="I1107"/>
    </row>
    <row r="1108" spans="2:9" x14ac:dyDescent="0.25">
      <c r="B1108"/>
      <c r="C1108"/>
      <c r="D1108"/>
      <c r="E1108"/>
      <c r="G1108"/>
      <c r="H1108"/>
      <c r="I1108"/>
    </row>
    <row r="1109" spans="2:9" x14ac:dyDescent="0.25">
      <c r="B1109"/>
      <c r="C1109"/>
      <c r="D1109"/>
      <c r="E1109"/>
      <c r="G1109"/>
      <c r="H1109"/>
      <c r="I1109"/>
    </row>
    <row r="1110" spans="2:9" x14ac:dyDescent="0.25">
      <c r="B1110"/>
      <c r="C1110"/>
      <c r="D1110"/>
      <c r="E1110"/>
      <c r="G1110"/>
      <c r="H1110"/>
      <c r="I1110"/>
    </row>
    <row r="1111" spans="2:9" x14ac:dyDescent="0.25">
      <c r="B1111"/>
      <c r="C1111"/>
      <c r="D1111"/>
      <c r="E1111"/>
      <c r="G1111"/>
      <c r="H1111"/>
      <c r="I1111"/>
    </row>
    <row r="1112" spans="2:9" x14ac:dyDescent="0.25">
      <c r="B1112"/>
      <c r="C1112"/>
      <c r="D1112"/>
      <c r="E1112"/>
      <c r="G1112"/>
      <c r="H1112"/>
      <c r="I1112"/>
    </row>
    <row r="1113" spans="2:9" x14ac:dyDescent="0.25">
      <c r="B1113"/>
      <c r="C1113"/>
      <c r="D1113"/>
      <c r="E1113"/>
      <c r="G1113"/>
      <c r="H1113"/>
      <c r="I1113"/>
    </row>
    <row r="1114" spans="2:9" x14ac:dyDescent="0.25">
      <c r="B1114"/>
      <c r="C1114"/>
      <c r="D1114"/>
      <c r="E1114"/>
      <c r="G1114"/>
      <c r="H1114"/>
      <c r="I1114"/>
    </row>
    <row r="1115" spans="2:9" x14ac:dyDescent="0.25">
      <c r="B1115"/>
      <c r="C1115"/>
      <c r="D1115"/>
      <c r="E1115"/>
      <c r="G1115"/>
      <c r="H1115"/>
      <c r="I1115"/>
    </row>
    <row r="1116" spans="2:9" x14ac:dyDescent="0.25">
      <c r="B1116"/>
      <c r="C1116"/>
      <c r="D1116"/>
      <c r="E1116"/>
      <c r="G1116"/>
      <c r="H1116"/>
      <c r="I1116"/>
    </row>
    <row r="1117" spans="2:9" x14ac:dyDescent="0.25">
      <c r="B1117"/>
      <c r="C1117"/>
      <c r="D1117"/>
      <c r="E1117"/>
      <c r="G1117"/>
      <c r="H1117"/>
      <c r="I1117"/>
    </row>
    <row r="1118" spans="2:9" x14ac:dyDescent="0.25">
      <c r="B1118"/>
      <c r="C1118"/>
      <c r="D1118"/>
      <c r="E1118"/>
      <c r="G1118"/>
      <c r="H1118"/>
      <c r="I1118"/>
    </row>
    <row r="1119" spans="2:9" x14ac:dyDescent="0.25">
      <c r="B1119"/>
      <c r="C1119"/>
      <c r="D1119"/>
      <c r="E1119"/>
      <c r="G1119"/>
      <c r="H1119"/>
      <c r="I1119"/>
    </row>
    <row r="1120" spans="2:9" x14ac:dyDescent="0.25">
      <c r="B1120"/>
      <c r="C1120"/>
      <c r="D1120"/>
      <c r="E1120"/>
      <c r="G1120"/>
      <c r="H1120"/>
      <c r="I1120"/>
    </row>
    <row r="1121" spans="2:9" x14ac:dyDescent="0.25">
      <c r="B1121"/>
      <c r="C1121"/>
      <c r="D1121"/>
      <c r="E1121"/>
      <c r="G1121"/>
      <c r="H1121"/>
      <c r="I1121"/>
    </row>
    <row r="1122" spans="2:9" x14ac:dyDescent="0.25">
      <c r="B1122"/>
      <c r="C1122"/>
      <c r="D1122"/>
      <c r="E1122"/>
      <c r="G1122"/>
      <c r="H1122"/>
      <c r="I1122"/>
    </row>
    <row r="1123" spans="2:9" x14ac:dyDescent="0.25">
      <c r="B1123"/>
      <c r="C1123"/>
      <c r="D1123"/>
      <c r="E1123"/>
      <c r="G1123"/>
      <c r="H1123"/>
      <c r="I1123"/>
    </row>
    <row r="1124" spans="2:9" x14ac:dyDescent="0.25">
      <c r="B1124"/>
      <c r="C1124"/>
      <c r="D1124"/>
      <c r="E1124"/>
      <c r="G1124"/>
      <c r="H1124"/>
      <c r="I1124"/>
    </row>
    <row r="1125" spans="2:9" x14ac:dyDescent="0.25">
      <c r="B1125"/>
      <c r="C1125"/>
      <c r="D1125"/>
      <c r="E1125"/>
      <c r="G1125"/>
      <c r="H1125"/>
      <c r="I1125"/>
    </row>
    <row r="1126" spans="2:9" x14ac:dyDescent="0.25">
      <c r="B1126"/>
      <c r="C1126"/>
      <c r="D1126"/>
      <c r="E1126"/>
      <c r="G1126"/>
      <c r="H1126"/>
      <c r="I1126"/>
    </row>
    <row r="1127" spans="2:9" x14ac:dyDescent="0.25">
      <c r="B1127"/>
      <c r="C1127"/>
      <c r="D1127"/>
      <c r="E1127"/>
      <c r="G1127"/>
      <c r="H1127"/>
      <c r="I1127"/>
    </row>
    <row r="1128" spans="2:9" x14ac:dyDescent="0.25">
      <c r="B1128"/>
      <c r="C1128"/>
      <c r="D1128"/>
      <c r="E1128"/>
      <c r="G1128"/>
      <c r="H1128"/>
      <c r="I1128"/>
    </row>
    <row r="1129" spans="2:9" x14ac:dyDescent="0.25">
      <c r="B1129"/>
      <c r="C1129"/>
      <c r="D1129"/>
      <c r="E1129"/>
      <c r="G1129"/>
      <c r="H1129"/>
      <c r="I1129"/>
    </row>
    <row r="1130" spans="2:9" x14ac:dyDescent="0.25">
      <c r="B1130"/>
      <c r="C1130"/>
      <c r="D1130"/>
      <c r="E1130"/>
      <c r="G1130"/>
      <c r="H1130"/>
      <c r="I1130"/>
    </row>
    <row r="1131" spans="2:9" x14ac:dyDescent="0.25">
      <c r="B1131"/>
      <c r="C1131"/>
      <c r="D1131"/>
      <c r="E1131"/>
      <c r="G1131"/>
      <c r="H1131"/>
      <c r="I1131"/>
    </row>
    <row r="1132" spans="2:9" x14ac:dyDescent="0.25">
      <c r="B1132"/>
      <c r="C1132"/>
      <c r="D1132"/>
      <c r="E1132"/>
      <c r="G1132"/>
      <c r="H1132"/>
      <c r="I1132"/>
    </row>
    <row r="1133" spans="2:9" x14ac:dyDescent="0.25">
      <c r="B1133"/>
      <c r="C1133"/>
      <c r="D1133"/>
      <c r="E1133"/>
      <c r="G1133"/>
      <c r="H1133"/>
      <c r="I1133"/>
    </row>
    <row r="1134" spans="2:9" x14ac:dyDescent="0.25">
      <c r="B1134"/>
      <c r="C1134"/>
      <c r="D1134"/>
      <c r="E1134"/>
      <c r="G1134"/>
      <c r="H1134"/>
      <c r="I1134"/>
    </row>
    <row r="1135" spans="2:9" x14ac:dyDescent="0.25">
      <c r="B1135"/>
      <c r="C1135"/>
      <c r="D1135"/>
      <c r="E1135"/>
      <c r="G1135"/>
      <c r="H1135"/>
      <c r="I1135"/>
    </row>
    <row r="1136" spans="2:9" x14ac:dyDescent="0.25">
      <c r="B1136"/>
      <c r="C1136"/>
      <c r="D1136"/>
      <c r="E1136"/>
      <c r="G1136"/>
      <c r="H1136"/>
      <c r="I1136"/>
    </row>
    <row r="1137" spans="2:9" x14ac:dyDescent="0.25">
      <c r="B1137"/>
      <c r="C1137"/>
      <c r="D1137"/>
      <c r="E1137"/>
      <c r="G1137"/>
      <c r="H1137"/>
      <c r="I1137"/>
    </row>
    <row r="1138" spans="2:9" x14ac:dyDescent="0.25">
      <c r="B1138"/>
      <c r="C1138"/>
      <c r="D1138"/>
      <c r="E1138"/>
      <c r="G1138"/>
      <c r="H1138"/>
      <c r="I1138"/>
    </row>
    <row r="1139" spans="2:9" x14ac:dyDescent="0.25">
      <c r="B1139"/>
      <c r="C1139"/>
      <c r="D1139"/>
      <c r="E1139"/>
      <c r="G1139"/>
      <c r="H1139"/>
      <c r="I1139"/>
    </row>
    <row r="1140" spans="2:9" x14ac:dyDescent="0.25">
      <c r="B1140"/>
      <c r="C1140"/>
      <c r="D1140"/>
      <c r="E1140"/>
      <c r="G1140"/>
      <c r="H1140"/>
      <c r="I1140"/>
    </row>
    <row r="1141" spans="2:9" x14ac:dyDescent="0.25">
      <c r="B1141"/>
      <c r="C1141"/>
      <c r="D1141"/>
      <c r="E1141"/>
      <c r="G1141"/>
      <c r="H1141"/>
      <c r="I1141"/>
    </row>
    <row r="1142" spans="2:9" x14ac:dyDescent="0.25">
      <c r="B1142"/>
      <c r="C1142"/>
      <c r="D1142"/>
      <c r="E1142"/>
      <c r="G1142"/>
      <c r="H1142"/>
      <c r="I1142"/>
    </row>
    <row r="1143" spans="2:9" x14ac:dyDescent="0.25">
      <c r="B1143"/>
      <c r="C1143"/>
      <c r="D1143"/>
      <c r="E1143"/>
      <c r="G1143"/>
      <c r="H1143"/>
      <c r="I1143"/>
    </row>
    <row r="1144" spans="2:9" x14ac:dyDescent="0.25">
      <c r="B1144"/>
      <c r="C1144"/>
      <c r="D1144"/>
      <c r="E1144"/>
      <c r="G1144"/>
      <c r="H1144"/>
      <c r="I1144"/>
    </row>
    <row r="1145" spans="2:9" x14ac:dyDescent="0.25">
      <c r="B1145"/>
      <c r="C1145"/>
      <c r="D1145"/>
      <c r="E1145"/>
      <c r="G1145"/>
      <c r="H1145"/>
      <c r="I1145"/>
    </row>
    <row r="1146" spans="2:9" x14ac:dyDescent="0.25">
      <c r="B1146"/>
      <c r="C1146"/>
      <c r="D1146"/>
      <c r="E1146"/>
      <c r="G1146"/>
      <c r="H1146"/>
      <c r="I1146"/>
    </row>
    <row r="1147" spans="2:9" x14ac:dyDescent="0.25">
      <c r="B1147"/>
      <c r="C1147"/>
      <c r="D1147"/>
      <c r="E1147"/>
      <c r="G1147"/>
      <c r="H1147"/>
      <c r="I1147"/>
    </row>
    <row r="1148" spans="2:9" x14ac:dyDescent="0.25">
      <c r="B1148"/>
      <c r="C1148"/>
      <c r="D1148"/>
      <c r="E1148"/>
      <c r="G1148"/>
      <c r="H1148"/>
      <c r="I1148"/>
    </row>
    <row r="1149" spans="2:9" x14ac:dyDescent="0.25">
      <c r="B1149"/>
      <c r="C1149"/>
      <c r="D1149"/>
      <c r="E1149"/>
      <c r="G1149"/>
      <c r="H1149"/>
      <c r="I1149"/>
    </row>
    <row r="1150" spans="2:9" x14ac:dyDescent="0.25">
      <c r="B1150"/>
      <c r="C1150"/>
      <c r="D1150"/>
      <c r="E1150"/>
      <c r="G1150"/>
      <c r="H1150"/>
      <c r="I1150"/>
    </row>
    <row r="1151" spans="2:9" x14ac:dyDescent="0.25">
      <c r="B1151"/>
      <c r="C1151"/>
      <c r="D1151"/>
      <c r="E1151"/>
      <c r="G1151"/>
      <c r="H1151"/>
      <c r="I1151"/>
    </row>
    <row r="1152" spans="2:9" x14ac:dyDescent="0.25">
      <c r="B1152"/>
      <c r="C1152"/>
      <c r="D1152"/>
      <c r="E1152"/>
      <c r="G1152"/>
      <c r="H1152"/>
      <c r="I1152"/>
    </row>
    <row r="1153" spans="2:9" x14ac:dyDescent="0.25">
      <c r="B1153"/>
      <c r="C1153"/>
      <c r="D1153"/>
      <c r="E1153"/>
      <c r="G1153"/>
      <c r="H1153"/>
      <c r="I1153"/>
    </row>
    <row r="1154" spans="2:9" x14ac:dyDescent="0.25">
      <c r="B1154"/>
      <c r="C1154"/>
      <c r="D1154"/>
      <c r="E1154"/>
      <c r="G1154"/>
      <c r="H1154"/>
      <c r="I1154"/>
    </row>
    <row r="1155" spans="2:9" x14ac:dyDescent="0.25">
      <c r="B1155"/>
      <c r="C1155"/>
      <c r="D1155"/>
      <c r="E1155"/>
      <c r="G1155"/>
      <c r="H1155"/>
      <c r="I1155"/>
    </row>
    <row r="1156" spans="2:9" x14ac:dyDescent="0.25">
      <c r="B1156"/>
      <c r="C1156"/>
      <c r="D1156"/>
      <c r="E1156"/>
      <c r="G1156"/>
      <c r="H1156"/>
      <c r="I1156"/>
    </row>
    <row r="1157" spans="2:9" x14ac:dyDescent="0.25">
      <c r="B1157"/>
      <c r="C1157"/>
      <c r="D1157"/>
      <c r="E1157"/>
      <c r="G1157"/>
      <c r="H1157"/>
      <c r="I1157"/>
    </row>
    <row r="1158" spans="2:9" x14ac:dyDescent="0.25">
      <c r="B1158"/>
      <c r="C1158"/>
      <c r="D1158"/>
      <c r="E1158"/>
      <c r="G1158"/>
      <c r="H1158"/>
      <c r="I1158"/>
    </row>
    <row r="1159" spans="2:9" x14ac:dyDescent="0.25">
      <c r="B1159"/>
      <c r="C1159"/>
      <c r="D1159"/>
      <c r="E1159"/>
      <c r="G1159"/>
      <c r="H1159"/>
      <c r="I1159"/>
    </row>
    <row r="1160" spans="2:9" x14ac:dyDescent="0.25">
      <c r="B1160"/>
      <c r="C1160"/>
      <c r="D1160"/>
      <c r="E1160"/>
      <c r="G1160"/>
      <c r="H1160"/>
      <c r="I1160"/>
    </row>
    <row r="1161" spans="2:9" x14ac:dyDescent="0.25">
      <c r="B1161"/>
      <c r="C1161"/>
      <c r="D1161"/>
      <c r="E1161"/>
      <c r="G1161"/>
      <c r="H1161"/>
      <c r="I1161"/>
    </row>
    <row r="1162" spans="2:9" x14ac:dyDescent="0.25">
      <c r="B1162"/>
      <c r="C1162"/>
      <c r="D1162"/>
      <c r="E1162"/>
      <c r="G1162"/>
      <c r="H1162"/>
      <c r="I1162"/>
    </row>
    <row r="1163" spans="2:9" x14ac:dyDescent="0.25">
      <c r="B1163"/>
      <c r="C1163"/>
      <c r="D1163"/>
      <c r="E1163"/>
      <c r="G1163"/>
      <c r="H1163"/>
      <c r="I1163"/>
    </row>
    <row r="1164" spans="2:9" x14ac:dyDescent="0.25">
      <c r="B1164"/>
      <c r="C1164"/>
      <c r="D1164"/>
      <c r="E1164"/>
      <c r="G1164"/>
      <c r="H1164"/>
      <c r="I1164"/>
    </row>
    <row r="1165" spans="2:9" x14ac:dyDescent="0.25">
      <c r="B1165"/>
      <c r="C1165"/>
      <c r="D1165"/>
      <c r="E1165"/>
      <c r="G1165"/>
      <c r="H1165"/>
      <c r="I1165"/>
    </row>
    <row r="1166" spans="2:9" x14ac:dyDescent="0.25">
      <c r="B1166"/>
      <c r="C1166"/>
      <c r="D1166"/>
      <c r="E1166"/>
      <c r="G1166"/>
      <c r="H1166"/>
      <c r="I1166"/>
    </row>
    <row r="1167" spans="2:9" x14ac:dyDescent="0.25">
      <c r="B1167"/>
      <c r="C1167"/>
      <c r="D1167"/>
      <c r="E1167"/>
      <c r="G1167"/>
      <c r="H1167"/>
      <c r="I1167"/>
    </row>
    <row r="1168" spans="2:9" x14ac:dyDescent="0.25">
      <c r="B1168"/>
      <c r="C1168"/>
      <c r="D1168"/>
      <c r="E1168"/>
      <c r="G1168"/>
      <c r="H1168"/>
      <c r="I1168"/>
    </row>
    <row r="1169" spans="2:9" x14ac:dyDescent="0.25">
      <c r="B1169"/>
      <c r="C1169"/>
      <c r="D1169"/>
      <c r="E1169"/>
      <c r="G1169"/>
      <c r="H1169"/>
      <c r="I1169"/>
    </row>
    <row r="1170" spans="2:9" x14ac:dyDescent="0.25">
      <c r="B1170"/>
      <c r="C1170"/>
      <c r="D1170"/>
      <c r="E1170"/>
      <c r="G1170"/>
      <c r="H1170"/>
      <c r="I1170"/>
    </row>
    <row r="1171" spans="2:9" x14ac:dyDescent="0.25">
      <c r="B1171"/>
      <c r="C1171"/>
      <c r="D1171"/>
      <c r="E1171"/>
      <c r="G1171"/>
      <c r="H1171"/>
      <c r="I1171"/>
    </row>
    <row r="1172" spans="2:9" x14ac:dyDescent="0.25">
      <c r="B1172"/>
      <c r="C1172"/>
      <c r="D1172"/>
      <c r="E1172"/>
      <c r="G1172"/>
      <c r="H1172"/>
      <c r="I1172"/>
    </row>
    <row r="1173" spans="2:9" x14ac:dyDescent="0.25">
      <c r="B1173"/>
      <c r="C1173"/>
      <c r="D1173"/>
      <c r="E1173"/>
      <c r="G1173"/>
      <c r="H1173"/>
      <c r="I1173"/>
    </row>
    <row r="1174" spans="2:9" x14ac:dyDescent="0.25">
      <c r="B1174"/>
      <c r="C1174"/>
      <c r="D1174"/>
      <c r="E1174"/>
      <c r="G1174"/>
      <c r="H1174"/>
      <c r="I1174"/>
    </row>
    <row r="1175" spans="2:9" x14ac:dyDescent="0.25">
      <c r="B1175"/>
      <c r="C1175"/>
      <c r="D1175"/>
      <c r="E1175"/>
      <c r="G1175"/>
      <c r="H1175"/>
      <c r="I1175"/>
    </row>
    <row r="1176" spans="2:9" x14ac:dyDescent="0.25">
      <c r="B1176"/>
      <c r="C1176"/>
      <c r="D1176"/>
      <c r="E1176"/>
      <c r="G1176"/>
      <c r="H1176"/>
      <c r="I1176"/>
    </row>
    <row r="1177" spans="2:9" x14ac:dyDescent="0.25">
      <c r="B1177"/>
      <c r="C1177"/>
      <c r="D1177"/>
      <c r="E1177"/>
      <c r="G1177"/>
      <c r="H1177"/>
      <c r="I1177"/>
    </row>
    <row r="1178" spans="2:9" x14ac:dyDescent="0.25">
      <c r="B1178"/>
      <c r="C1178"/>
      <c r="D1178"/>
      <c r="E1178"/>
      <c r="G1178"/>
      <c r="H1178"/>
      <c r="I1178"/>
    </row>
    <row r="1179" spans="2:9" x14ac:dyDescent="0.25">
      <c r="B1179"/>
      <c r="C1179"/>
      <c r="D1179"/>
      <c r="E1179"/>
      <c r="G1179"/>
      <c r="H1179"/>
      <c r="I1179"/>
    </row>
    <row r="1180" spans="2:9" x14ac:dyDescent="0.25">
      <c r="B1180"/>
      <c r="C1180"/>
      <c r="D1180"/>
      <c r="E1180"/>
      <c r="G1180"/>
      <c r="H1180"/>
      <c r="I1180"/>
    </row>
    <row r="1181" spans="2:9" x14ac:dyDescent="0.25">
      <c r="B1181"/>
      <c r="C1181"/>
      <c r="D1181"/>
      <c r="E1181"/>
      <c r="G1181"/>
      <c r="H1181"/>
      <c r="I1181"/>
    </row>
    <row r="1182" spans="2:9" x14ac:dyDescent="0.25">
      <c r="B1182"/>
      <c r="C1182"/>
      <c r="D1182"/>
      <c r="E1182"/>
      <c r="G1182"/>
      <c r="H1182"/>
      <c r="I1182"/>
    </row>
    <row r="1183" spans="2:9" x14ac:dyDescent="0.25">
      <c r="B1183"/>
      <c r="C1183"/>
      <c r="D1183"/>
      <c r="E1183"/>
      <c r="G1183"/>
      <c r="H1183"/>
      <c r="I1183"/>
    </row>
    <row r="1184" spans="2:9" x14ac:dyDescent="0.25">
      <c r="B1184"/>
      <c r="C1184"/>
      <c r="D1184"/>
      <c r="E1184"/>
      <c r="G1184"/>
      <c r="H1184"/>
      <c r="I1184"/>
    </row>
    <row r="1185" spans="2:9" x14ac:dyDescent="0.25">
      <c r="B1185"/>
      <c r="C1185"/>
      <c r="D1185"/>
      <c r="E1185"/>
      <c r="G1185"/>
      <c r="H1185"/>
      <c r="I1185"/>
    </row>
    <row r="1186" spans="2:9" x14ac:dyDescent="0.25">
      <c r="B1186"/>
      <c r="C1186"/>
      <c r="D1186"/>
      <c r="E1186"/>
      <c r="G1186"/>
      <c r="H1186"/>
      <c r="I1186"/>
    </row>
    <row r="1187" spans="2:9" x14ac:dyDescent="0.25">
      <c r="B1187"/>
      <c r="C1187"/>
      <c r="D1187"/>
      <c r="E1187"/>
      <c r="G1187"/>
      <c r="H1187"/>
      <c r="I1187"/>
    </row>
    <row r="1188" spans="2:9" x14ac:dyDescent="0.25">
      <c r="B1188"/>
      <c r="C1188"/>
      <c r="D1188"/>
      <c r="E1188"/>
      <c r="G1188"/>
      <c r="H1188"/>
      <c r="I1188"/>
    </row>
    <row r="1189" spans="2:9" x14ac:dyDescent="0.25">
      <c r="B1189"/>
      <c r="C1189"/>
      <c r="D1189"/>
      <c r="E1189"/>
      <c r="G1189"/>
      <c r="H1189"/>
      <c r="I1189"/>
    </row>
    <row r="1190" spans="2:9" x14ac:dyDescent="0.25">
      <c r="B1190"/>
      <c r="C1190"/>
      <c r="D1190"/>
      <c r="E1190"/>
      <c r="G1190"/>
      <c r="H1190"/>
      <c r="I1190"/>
    </row>
    <row r="1191" spans="2:9" x14ac:dyDescent="0.25">
      <c r="B1191"/>
      <c r="C1191"/>
      <c r="D1191"/>
      <c r="E1191"/>
      <c r="G1191"/>
      <c r="H1191"/>
      <c r="I1191"/>
    </row>
    <row r="1192" spans="2:9" x14ac:dyDescent="0.25">
      <c r="B1192"/>
      <c r="C1192"/>
      <c r="D1192"/>
      <c r="E1192"/>
      <c r="G1192"/>
      <c r="H1192"/>
      <c r="I1192"/>
    </row>
    <row r="1193" spans="2:9" x14ac:dyDescent="0.25">
      <c r="B1193"/>
      <c r="C1193"/>
      <c r="D1193"/>
      <c r="E1193"/>
      <c r="G1193"/>
      <c r="H1193"/>
      <c r="I1193"/>
    </row>
    <row r="1194" spans="2:9" x14ac:dyDescent="0.25">
      <c r="B1194"/>
      <c r="C1194"/>
      <c r="D1194"/>
      <c r="E1194"/>
      <c r="G1194"/>
      <c r="H1194"/>
      <c r="I1194"/>
    </row>
    <row r="1195" spans="2:9" x14ac:dyDescent="0.25">
      <c r="B1195"/>
      <c r="C1195"/>
      <c r="D1195"/>
      <c r="E1195"/>
      <c r="G1195"/>
      <c r="H1195"/>
      <c r="I1195"/>
    </row>
    <row r="1196" spans="2:9" x14ac:dyDescent="0.25">
      <c r="B1196"/>
      <c r="C1196"/>
      <c r="D1196"/>
      <c r="E1196"/>
      <c r="G1196"/>
      <c r="H1196"/>
      <c r="I1196"/>
    </row>
    <row r="1197" spans="2:9" x14ac:dyDescent="0.25">
      <c r="B1197"/>
      <c r="C1197"/>
      <c r="D1197"/>
      <c r="E1197"/>
      <c r="G1197"/>
      <c r="H1197"/>
      <c r="I1197"/>
    </row>
    <row r="1198" spans="2:9" x14ac:dyDescent="0.25">
      <c r="B1198"/>
      <c r="C1198"/>
      <c r="D1198"/>
      <c r="E1198"/>
      <c r="G1198"/>
      <c r="H1198"/>
      <c r="I1198"/>
    </row>
    <row r="1199" spans="2:9" x14ac:dyDescent="0.25">
      <c r="B1199"/>
      <c r="C1199"/>
      <c r="D1199"/>
      <c r="E1199"/>
      <c r="G1199"/>
      <c r="H1199"/>
      <c r="I1199"/>
    </row>
    <row r="1200" spans="2:9" x14ac:dyDescent="0.25">
      <c r="B1200"/>
      <c r="C1200"/>
      <c r="D1200"/>
      <c r="E1200"/>
      <c r="G1200"/>
      <c r="H1200"/>
      <c r="I1200"/>
    </row>
    <row r="1201" spans="2:9" x14ac:dyDescent="0.25">
      <c r="B1201"/>
      <c r="C1201"/>
      <c r="D1201"/>
      <c r="E1201"/>
      <c r="G1201"/>
      <c r="H1201"/>
      <c r="I1201"/>
    </row>
    <row r="1202" spans="2:9" x14ac:dyDescent="0.25">
      <c r="B1202"/>
      <c r="C1202"/>
      <c r="D1202"/>
      <c r="E1202"/>
      <c r="G1202"/>
      <c r="H1202"/>
      <c r="I1202"/>
    </row>
    <row r="1203" spans="2:9" x14ac:dyDescent="0.25">
      <c r="B1203"/>
      <c r="C1203"/>
      <c r="D1203"/>
      <c r="E1203"/>
      <c r="G1203"/>
      <c r="H1203"/>
      <c r="I1203"/>
    </row>
    <row r="1204" spans="2:9" x14ac:dyDescent="0.25">
      <c r="B1204"/>
      <c r="C1204"/>
      <c r="D1204"/>
      <c r="E1204"/>
      <c r="G1204"/>
      <c r="H1204"/>
      <c r="I1204"/>
    </row>
    <row r="1205" spans="2:9" x14ac:dyDescent="0.25">
      <c r="B1205"/>
      <c r="C1205"/>
      <c r="D1205"/>
      <c r="E1205"/>
      <c r="G1205"/>
      <c r="H1205"/>
      <c r="I1205"/>
    </row>
    <row r="1206" spans="2:9" x14ac:dyDescent="0.25">
      <c r="B1206"/>
      <c r="C1206"/>
      <c r="D1206"/>
      <c r="E1206"/>
      <c r="G1206"/>
      <c r="H1206"/>
      <c r="I1206"/>
    </row>
    <row r="1207" spans="2:9" x14ac:dyDescent="0.25">
      <c r="B1207"/>
      <c r="C1207"/>
      <c r="D1207"/>
      <c r="E1207"/>
      <c r="G1207"/>
      <c r="H1207"/>
      <c r="I1207"/>
    </row>
    <row r="1208" spans="2:9" x14ac:dyDescent="0.25">
      <c r="B1208"/>
      <c r="C1208"/>
      <c r="D1208"/>
      <c r="E1208"/>
      <c r="G1208"/>
      <c r="H1208"/>
      <c r="I1208"/>
    </row>
    <row r="1209" spans="2:9" x14ac:dyDescent="0.25">
      <c r="B1209"/>
      <c r="C1209"/>
      <c r="D1209"/>
      <c r="E1209"/>
      <c r="G1209"/>
      <c r="H1209"/>
      <c r="I1209"/>
    </row>
    <row r="1210" spans="2:9" x14ac:dyDescent="0.25">
      <c r="B1210"/>
      <c r="C1210"/>
      <c r="D1210"/>
      <c r="E1210"/>
      <c r="G1210"/>
      <c r="H1210"/>
      <c r="I1210"/>
    </row>
    <row r="1211" spans="2:9" x14ac:dyDescent="0.25">
      <c r="B1211"/>
      <c r="C1211"/>
      <c r="D1211"/>
      <c r="E1211"/>
      <c r="G1211"/>
      <c r="H1211"/>
      <c r="I1211"/>
    </row>
    <row r="1212" spans="2:9" x14ac:dyDescent="0.25">
      <c r="B1212"/>
      <c r="C1212"/>
      <c r="D1212"/>
      <c r="E1212"/>
      <c r="G1212"/>
      <c r="H1212"/>
      <c r="I1212"/>
    </row>
    <row r="1213" spans="2:9" x14ac:dyDescent="0.25">
      <c r="B1213"/>
      <c r="C1213"/>
      <c r="D1213"/>
      <c r="E1213"/>
      <c r="G1213"/>
      <c r="H1213"/>
      <c r="I1213"/>
    </row>
    <row r="1214" spans="2:9" x14ac:dyDescent="0.25">
      <c r="B1214"/>
      <c r="C1214"/>
      <c r="D1214"/>
      <c r="E1214"/>
      <c r="G1214"/>
      <c r="H1214"/>
      <c r="I1214"/>
    </row>
    <row r="1215" spans="2:9" x14ac:dyDescent="0.25">
      <c r="B1215"/>
      <c r="C1215"/>
      <c r="D1215"/>
      <c r="E1215"/>
      <c r="G1215"/>
      <c r="H1215"/>
      <c r="I1215"/>
    </row>
    <row r="1216" spans="2:9" x14ac:dyDescent="0.25">
      <c r="B1216"/>
      <c r="C1216"/>
      <c r="D1216"/>
      <c r="E1216"/>
      <c r="G1216"/>
      <c r="H1216"/>
      <c r="I1216"/>
    </row>
    <row r="1217" spans="2:9" x14ac:dyDescent="0.25">
      <c r="B1217"/>
      <c r="C1217"/>
      <c r="D1217"/>
      <c r="E1217"/>
      <c r="G1217"/>
      <c r="H1217"/>
      <c r="I1217"/>
    </row>
    <row r="1218" spans="2:9" x14ac:dyDescent="0.25">
      <c r="B1218"/>
      <c r="C1218"/>
      <c r="D1218"/>
      <c r="E1218"/>
      <c r="G1218"/>
      <c r="H1218"/>
      <c r="I1218"/>
    </row>
    <row r="1219" spans="2:9" x14ac:dyDescent="0.25">
      <c r="B1219"/>
      <c r="C1219"/>
      <c r="D1219"/>
      <c r="E1219"/>
      <c r="G1219"/>
      <c r="H1219"/>
      <c r="I1219"/>
    </row>
    <row r="1220" spans="2:9" x14ac:dyDescent="0.25">
      <c r="B1220"/>
      <c r="C1220"/>
      <c r="D1220"/>
      <c r="E1220"/>
      <c r="G1220"/>
      <c r="H1220"/>
      <c r="I1220"/>
    </row>
    <row r="1221" spans="2:9" x14ac:dyDescent="0.25">
      <c r="B1221"/>
      <c r="C1221"/>
      <c r="D1221"/>
      <c r="E1221"/>
      <c r="G1221"/>
      <c r="H1221"/>
      <c r="I1221"/>
    </row>
    <row r="1222" spans="2:9" x14ac:dyDescent="0.25">
      <c r="B1222"/>
      <c r="C1222"/>
      <c r="D1222"/>
      <c r="E1222"/>
      <c r="G1222"/>
      <c r="H1222"/>
      <c r="I1222"/>
    </row>
    <row r="1223" spans="2:9" x14ac:dyDescent="0.25">
      <c r="B1223"/>
      <c r="C1223"/>
      <c r="D1223"/>
      <c r="E1223"/>
      <c r="G1223"/>
      <c r="H1223"/>
      <c r="I1223"/>
    </row>
    <row r="1224" spans="2:9" x14ac:dyDescent="0.25">
      <c r="B1224"/>
      <c r="C1224"/>
      <c r="D1224"/>
      <c r="E1224"/>
      <c r="G1224"/>
      <c r="H1224"/>
      <c r="I1224"/>
    </row>
    <row r="1225" spans="2:9" x14ac:dyDescent="0.25">
      <c r="B1225"/>
      <c r="C1225"/>
      <c r="D1225"/>
      <c r="E1225"/>
      <c r="G1225"/>
      <c r="H1225"/>
      <c r="I1225"/>
    </row>
    <row r="1226" spans="2:9" x14ac:dyDescent="0.25">
      <c r="B1226"/>
      <c r="C1226"/>
      <c r="D1226"/>
      <c r="E1226"/>
      <c r="G1226"/>
      <c r="H1226"/>
      <c r="I1226"/>
    </row>
    <row r="1227" spans="2:9" x14ac:dyDescent="0.25">
      <c r="B1227"/>
      <c r="C1227"/>
      <c r="D1227"/>
      <c r="E1227"/>
      <c r="G1227"/>
      <c r="H1227"/>
      <c r="I1227"/>
    </row>
    <row r="1228" spans="2:9" x14ac:dyDescent="0.25">
      <c r="B1228"/>
      <c r="C1228"/>
      <c r="D1228"/>
      <c r="E1228"/>
      <c r="G1228"/>
      <c r="H1228"/>
      <c r="I1228"/>
    </row>
    <row r="1229" spans="2:9" x14ac:dyDescent="0.25">
      <c r="B1229"/>
      <c r="C1229"/>
      <c r="D1229"/>
      <c r="E1229"/>
      <c r="G1229"/>
      <c r="H1229"/>
      <c r="I1229"/>
    </row>
    <row r="1230" spans="2:9" x14ac:dyDescent="0.25">
      <c r="B1230"/>
      <c r="C1230"/>
      <c r="D1230"/>
      <c r="E1230"/>
      <c r="G1230"/>
      <c r="H1230"/>
      <c r="I1230"/>
    </row>
    <row r="1231" spans="2:9" x14ac:dyDescent="0.25">
      <c r="B1231"/>
      <c r="C1231"/>
      <c r="D1231"/>
      <c r="E1231"/>
      <c r="G1231"/>
      <c r="H1231"/>
      <c r="I1231"/>
    </row>
    <row r="1232" spans="2:9" x14ac:dyDescent="0.25">
      <c r="B1232"/>
      <c r="C1232"/>
      <c r="D1232"/>
      <c r="E1232"/>
      <c r="G1232"/>
      <c r="H1232"/>
      <c r="I1232"/>
    </row>
    <row r="1233" spans="2:9" x14ac:dyDescent="0.25">
      <c r="B1233"/>
      <c r="C1233"/>
      <c r="D1233"/>
      <c r="E1233"/>
      <c r="G1233"/>
      <c r="H1233"/>
      <c r="I1233"/>
    </row>
    <row r="1234" spans="2:9" x14ac:dyDescent="0.25">
      <c r="B1234"/>
      <c r="C1234"/>
      <c r="D1234"/>
      <c r="E1234"/>
      <c r="G1234"/>
      <c r="H1234"/>
      <c r="I1234"/>
    </row>
    <row r="1235" spans="2:9" x14ac:dyDescent="0.25">
      <c r="B1235"/>
      <c r="C1235"/>
      <c r="D1235"/>
      <c r="E1235"/>
      <c r="G1235"/>
      <c r="H1235"/>
      <c r="I1235"/>
    </row>
    <row r="1236" spans="2:9" x14ac:dyDescent="0.25">
      <c r="B1236"/>
      <c r="C1236"/>
      <c r="D1236"/>
      <c r="E1236"/>
      <c r="G1236"/>
      <c r="H1236"/>
      <c r="I1236"/>
    </row>
    <row r="1237" spans="2:9" x14ac:dyDescent="0.25">
      <c r="B1237"/>
      <c r="C1237"/>
      <c r="D1237"/>
      <c r="E1237"/>
      <c r="G1237"/>
      <c r="H1237"/>
      <c r="I1237"/>
    </row>
    <row r="1238" spans="2:9" x14ac:dyDescent="0.25">
      <c r="B1238"/>
      <c r="C1238"/>
      <c r="D1238"/>
      <c r="E1238"/>
      <c r="G1238"/>
      <c r="H1238"/>
      <c r="I1238"/>
    </row>
    <row r="1239" spans="2:9" x14ac:dyDescent="0.25">
      <c r="B1239"/>
      <c r="C1239"/>
      <c r="D1239"/>
      <c r="E1239"/>
      <c r="G1239"/>
      <c r="H1239"/>
      <c r="I1239"/>
    </row>
    <row r="1240" spans="2:9" x14ac:dyDescent="0.25">
      <c r="B1240"/>
      <c r="C1240"/>
      <c r="D1240"/>
      <c r="E1240"/>
      <c r="G1240"/>
      <c r="H1240"/>
      <c r="I1240"/>
    </row>
    <row r="1241" spans="2:9" x14ac:dyDescent="0.25">
      <c r="B1241"/>
      <c r="C1241"/>
      <c r="D1241"/>
      <c r="E1241"/>
      <c r="G1241"/>
      <c r="H1241"/>
      <c r="I1241"/>
    </row>
    <row r="1242" spans="2:9" x14ac:dyDescent="0.25">
      <c r="B1242"/>
      <c r="C1242"/>
      <c r="D1242"/>
      <c r="E1242"/>
      <c r="G1242"/>
      <c r="H1242"/>
      <c r="I1242"/>
    </row>
    <row r="1243" spans="2:9" x14ac:dyDescent="0.25">
      <c r="B1243"/>
      <c r="C1243"/>
      <c r="D1243"/>
      <c r="E1243"/>
      <c r="G1243"/>
      <c r="H1243"/>
      <c r="I1243"/>
    </row>
    <row r="1244" spans="2:9" x14ac:dyDescent="0.25">
      <c r="B1244"/>
      <c r="C1244"/>
      <c r="D1244"/>
      <c r="E1244"/>
      <c r="G1244"/>
      <c r="H1244"/>
      <c r="I1244"/>
    </row>
    <row r="1245" spans="2:9" x14ac:dyDescent="0.25">
      <c r="B1245"/>
      <c r="C1245"/>
      <c r="D1245"/>
      <c r="E1245"/>
      <c r="G1245"/>
      <c r="H1245"/>
      <c r="I1245"/>
    </row>
    <row r="1246" spans="2:9" x14ac:dyDescent="0.25">
      <c r="B1246"/>
      <c r="C1246"/>
      <c r="D1246"/>
      <c r="E1246"/>
      <c r="G1246"/>
      <c r="H1246"/>
      <c r="I1246"/>
    </row>
    <row r="1247" spans="2:9" x14ac:dyDescent="0.25">
      <c r="B1247"/>
      <c r="C1247"/>
      <c r="D1247"/>
      <c r="E1247"/>
      <c r="G1247"/>
      <c r="H1247"/>
      <c r="I1247"/>
    </row>
    <row r="1248" spans="2:9" x14ac:dyDescent="0.25">
      <c r="B1248"/>
      <c r="C1248"/>
      <c r="D1248"/>
      <c r="E1248"/>
      <c r="G1248"/>
      <c r="H1248"/>
      <c r="I1248"/>
    </row>
    <row r="1249" spans="2:9" x14ac:dyDescent="0.25">
      <c r="B1249"/>
      <c r="C1249"/>
      <c r="D1249"/>
      <c r="E1249"/>
      <c r="G1249"/>
      <c r="H1249"/>
      <c r="I1249"/>
    </row>
    <row r="1250" spans="2:9" x14ac:dyDescent="0.25">
      <c r="B1250"/>
      <c r="C1250"/>
      <c r="D1250"/>
      <c r="E1250"/>
      <c r="G1250"/>
      <c r="H1250"/>
      <c r="I1250"/>
    </row>
    <row r="1251" spans="2:9" x14ac:dyDescent="0.25">
      <c r="B1251"/>
      <c r="C1251"/>
      <c r="D1251"/>
      <c r="E1251"/>
      <c r="G1251"/>
      <c r="H1251"/>
      <c r="I1251"/>
    </row>
    <row r="1252" spans="2:9" x14ac:dyDescent="0.25">
      <c r="B1252"/>
      <c r="C1252"/>
      <c r="D1252"/>
      <c r="E1252"/>
      <c r="G1252"/>
      <c r="H1252"/>
      <c r="I1252"/>
    </row>
    <row r="1253" spans="2:9" x14ac:dyDescent="0.25">
      <c r="B1253"/>
      <c r="C1253"/>
      <c r="D1253"/>
      <c r="E1253"/>
      <c r="G1253"/>
      <c r="H1253"/>
      <c r="I1253"/>
    </row>
    <row r="1254" spans="2:9" x14ac:dyDescent="0.25">
      <c r="B1254"/>
      <c r="C1254"/>
      <c r="D1254"/>
      <c r="E1254"/>
      <c r="G1254"/>
      <c r="H1254"/>
      <c r="I1254"/>
    </row>
    <row r="1255" spans="2:9" x14ac:dyDescent="0.25">
      <c r="B1255"/>
      <c r="C1255"/>
      <c r="D1255"/>
      <c r="E1255"/>
      <c r="G1255"/>
      <c r="H1255"/>
      <c r="I1255"/>
    </row>
    <row r="1256" spans="2:9" x14ac:dyDescent="0.25">
      <c r="B1256"/>
      <c r="C1256"/>
      <c r="D1256"/>
      <c r="E1256"/>
      <c r="G1256"/>
      <c r="H1256"/>
      <c r="I1256"/>
    </row>
    <row r="1257" spans="2:9" x14ac:dyDescent="0.25">
      <c r="B1257"/>
      <c r="C1257"/>
      <c r="D1257"/>
      <c r="E1257"/>
      <c r="G1257"/>
      <c r="H1257"/>
      <c r="I1257"/>
    </row>
    <row r="1258" spans="2:9" x14ac:dyDescent="0.25">
      <c r="B1258"/>
      <c r="C1258"/>
      <c r="D1258"/>
      <c r="E1258"/>
      <c r="G1258"/>
      <c r="H1258"/>
      <c r="I1258"/>
    </row>
    <row r="1259" spans="2:9" x14ac:dyDescent="0.25">
      <c r="B1259"/>
      <c r="C1259"/>
      <c r="D1259"/>
      <c r="E1259"/>
      <c r="G1259"/>
      <c r="H1259"/>
      <c r="I1259"/>
    </row>
    <row r="1260" spans="2:9" x14ac:dyDescent="0.25">
      <c r="B1260"/>
      <c r="C1260"/>
      <c r="D1260"/>
      <c r="E1260"/>
      <c r="G1260"/>
      <c r="H1260"/>
      <c r="I1260"/>
    </row>
    <row r="1261" spans="2:9" x14ac:dyDescent="0.25">
      <c r="B1261"/>
      <c r="C1261"/>
      <c r="D1261"/>
      <c r="E1261"/>
      <c r="G1261"/>
      <c r="H1261"/>
      <c r="I1261"/>
    </row>
    <row r="1262" spans="2:9" x14ac:dyDescent="0.25">
      <c r="B1262"/>
      <c r="C1262"/>
      <c r="D1262"/>
      <c r="E1262"/>
    </row>
    <row r="1263" spans="2:9" x14ac:dyDescent="0.25">
      <c r="B1263"/>
      <c r="C1263"/>
      <c r="D1263"/>
      <c r="E1263"/>
    </row>
    <row r="1264" spans="2:9" x14ac:dyDescent="0.25">
      <c r="B1264"/>
      <c r="C1264"/>
      <c r="D1264"/>
      <c r="E1264"/>
    </row>
    <row r="1265" spans="2:5" x14ac:dyDescent="0.25">
      <c r="B1265"/>
      <c r="C1265"/>
      <c r="D1265"/>
      <c r="E1265"/>
    </row>
    <row r="1266" spans="2:5" x14ac:dyDescent="0.25">
      <c r="B1266"/>
      <c r="C1266"/>
      <c r="D1266"/>
      <c r="E1266"/>
    </row>
    <row r="1267" spans="2:5" x14ac:dyDescent="0.25">
      <c r="B1267"/>
      <c r="C1267"/>
      <c r="D1267"/>
      <c r="E1267"/>
    </row>
    <row r="1268" spans="2:5" x14ac:dyDescent="0.25">
      <c r="B1268"/>
      <c r="C1268"/>
      <c r="D1268"/>
      <c r="E1268"/>
    </row>
    <row r="1269" spans="2:5" x14ac:dyDescent="0.25">
      <c r="B1269"/>
      <c r="C1269"/>
      <c r="D1269"/>
      <c r="E1269"/>
    </row>
    <row r="1270" spans="2:5" x14ac:dyDescent="0.25">
      <c r="B1270"/>
      <c r="C1270"/>
      <c r="D1270"/>
      <c r="E1270"/>
    </row>
    <row r="1271" spans="2:5" x14ac:dyDescent="0.25">
      <c r="B1271"/>
      <c r="C1271"/>
      <c r="D1271"/>
      <c r="E1271"/>
    </row>
    <row r="1272" spans="2:5" x14ac:dyDescent="0.25">
      <c r="B1272"/>
      <c r="C1272"/>
      <c r="D1272"/>
      <c r="E1272"/>
    </row>
    <row r="1273" spans="2:5" x14ac:dyDescent="0.25">
      <c r="B1273"/>
      <c r="C1273"/>
      <c r="D1273"/>
      <c r="E1273"/>
    </row>
    <row r="1274" spans="2:5" x14ac:dyDescent="0.25">
      <c r="B1274"/>
      <c r="C1274"/>
      <c r="D1274"/>
      <c r="E1274"/>
    </row>
    <row r="1275" spans="2:5" x14ac:dyDescent="0.25">
      <c r="B1275"/>
      <c r="C1275"/>
      <c r="D1275"/>
      <c r="E1275"/>
    </row>
    <row r="1276" spans="2:5" x14ac:dyDescent="0.25">
      <c r="B1276"/>
      <c r="C1276"/>
      <c r="D1276"/>
      <c r="E1276"/>
    </row>
    <row r="1277" spans="2:5" x14ac:dyDescent="0.25">
      <c r="B1277"/>
      <c r="C1277"/>
      <c r="D1277"/>
      <c r="E1277"/>
    </row>
    <row r="1278" spans="2:5" x14ac:dyDescent="0.25">
      <c r="B1278"/>
      <c r="C1278"/>
      <c r="D1278"/>
      <c r="E1278"/>
    </row>
    <row r="1279" spans="2:5" x14ac:dyDescent="0.25">
      <c r="B1279"/>
      <c r="C1279"/>
      <c r="D1279"/>
      <c r="E1279"/>
    </row>
    <row r="1280" spans="2:5" x14ac:dyDescent="0.25">
      <c r="B1280"/>
      <c r="C1280"/>
      <c r="D1280"/>
      <c r="E1280"/>
    </row>
    <row r="1281" spans="2:5" x14ac:dyDescent="0.25">
      <c r="B1281"/>
      <c r="C1281"/>
      <c r="D1281"/>
      <c r="E1281"/>
    </row>
    <row r="1282" spans="2:5" x14ac:dyDescent="0.25">
      <c r="B1282"/>
      <c r="C1282"/>
      <c r="D1282"/>
      <c r="E1282"/>
    </row>
    <row r="1283" spans="2:5" x14ac:dyDescent="0.25">
      <c r="B1283"/>
      <c r="C1283"/>
      <c r="D1283"/>
      <c r="E1283"/>
    </row>
    <row r="1284" spans="2:5" x14ac:dyDescent="0.25">
      <c r="B1284"/>
      <c r="C1284"/>
      <c r="D1284"/>
      <c r="E1284"/>
    </row>
    <row r="1285" spans="2:5" x14ac:dyDescent="0.25">
      <c r="B1285"/>
      <c r="C1285"/>
      <c r="D1285"/>
      <c r="E1285"/>
    </row>
    <row r="1286" spans="2:5" x14ac:dyDescent="0.25">
      <c r="B1286"/>
      <c r="C1286"/>
      <c r="D1286"/>
      <c r="E1286"/>
    </row>
    <row r="1287" spans="2:5" x14ac:dyDescent="0.25">
      <c r="B1287"/>
      <c r="C1287"/>
      <c r="D1287"/>
      <c r="E1287"/>
    </row>
    <row r="1288" spans="2:5" x14ac:dyDescent="0.25">
      <c r="B1288"/>
      <c r="C1288"/>
      <c r="D1288"/>
      <c r="E1288"/>
    </row>
    <row r="1289" spans="2:5" x14ac:dyDescent="0.25">
      <c r="B1289"/>
      <c r="C1289"/>
      <c r="D1289"/>
      <c r="E1289"/>
    </row>
    <row r="1290" spans="2:5" x14ac:dyDescent="0.25">
      <c r="B1290"/>
      <c r="C1290"/>
      <c r="D1290"/>
      <c r="E1290"/>
    </row>
    <row r="1291" spans="2:5" x14ac:dyDescent="0.25">
      <c r="B1291"/>
      <c r="C1291"/>
      <c r="D1291"/>
      <c r="E1291"/>
    </row>
    <row r="1292" spans="2:5" x14ac:dyDescent="0.25">
      <c r="B1292"/>
      <c r="C1292"/>
      <c r="D1292"/>
      <c r="E1292"/>
    </row>
    <row r="1293" spans="2:5" x14ac:dyDescent="0.25">
      <c r="B1293"/>
      <c r="C1293"/>
      <c r="D1293"/>
      <c r="E1293"/>
    </row>
    <row r="1294" spans="2:5" x14ac:dyDescent="0.25">
      <c r="B1294"/>
      <c r="C1294"/>
      <c r="D1294"/>
      <c r="E1294"/>
    </row>
    <row r="1295" spans="2:5" x14ac:dyDescent="0.25">
      <c r="B1295"/>
      <c r="C1295"/>
      <c r="D1295"/>
      <c r="E1295"/>
    </row>
    <row r="1296" spans="2:5" x14ac:dyDescent="0.25">
      <c r="B1296"/>
      <c r="C1296"/>
      <c r="D1296"/>
      <c r="E1296"/>
    </row>
    <row r="1297" spans="2:5" x14ac:dyDescent="0.25">
      <c r="B1297"/>
      <c r="C1297"/>
      <c r="D1297"/>
      <c r="E1297"/>
    </row>
    <row r="1298" spans="2:5" x14ac:dyDescent="0.25">
      <c r="B1298"/>
      <c r="C1298"/>
      <c r="D1298"/>
      <c r="E1298"/>
    </row>
    <row r="1299" spans="2:5" x14ac:dyDescent="0.25">
      <c r="B1299"/>
      <c r="C1299"/>
      <c r="D1299"/>
      <c r="E1299"/>
    </row>
    <row r="1300" spans="2:5" x14ac:dyDescent="0.25">
      <c r="B1300"/>
      <c r="C1300"/>
      <c r="D1300"/>
      <c r="E1300"/>
    </row>
    <row r="1301" spans="2:5" x14ac:dyDescent="0.25">
      <c r="B1301"/>
      <c r="C1301"/>
      <c r="D1301"/>
      <c r="E1301"/>
    </row>
    <row r="1302" spans="2:5" x14ac:dyDescent="0.25">
      <c r="B1302"/>
      <c r="C1302"/>
      <c r="D1302"/>
      <c r="E1302"/>
    </row>
  </sheetData>
  <mergeCells count="1">
    <mergeCell ref="AL8:AN8"/>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99A20-5402-487B-8381-299A70FF6206}">
  <dimension ref="B2:K41"/>
  <sheetViews>
    <sheetView topLeftCell="A10" workbookViewId="0">
      <selection activeCell="C14" sqref="C14:C40"/>
    </sheetView>
  </sheetViews>
  <sheetFormatPr defaultRowHeight="15" x14ac:dyDescent="0.25"/>
  <cols>
    <col min="2" max="2" width="21.5703125" bestFit="1" customWidth="1"/>
    <col min="3" max="3" width="9.85546875" bestFit="1" customWidth="1"/>
    <col min="4" max="4" width="30" style="57" bestFit="1" customWidth="1"/>
    <col min="5" max="5" width="8.42578125" bestFit="1" customWidth="1"/>
    <col min="6" max="6" width="15.140625" bestFit="1" customWidth="1"/>
    <col min="7" max="7" width="7.85546875" bestFit="1" customWidth="1"/>
    <col min="8" max="9" width="10.5703125" bestFit="1" customWidth="1"/>
    <col min="10" max="10" width="8.7109375" bestFit="1" customWidth="1"/>
    <col min="11" max="11" width="18.42578125" bestFit="1" customWidth="1"/>
  </cols>
  <sheetData>
    <row r="2" spans="2:11" x14ac:dyDescent="0.25">
      <c r="B2" s="37"/>
      <c r="C2" s="37"/>
      <c r="D2" s="80"/>
      <c r="E2" s="37"/>
      <c r="F2" s="37"/>
      <c r="G2" s="37"/>
    </row>
    <row r="3" spans="2:11" x14ac:dyDescent="0.25">
      <c r="B3" s="37"/>
      <c r="C3" s="37"/>
      <c r="D3" s="80"/>
      <c r="E3" s="37"/>
      <c r="F3" s="37"/>
      <c r="G3" s="37"/>
    </row>
    <row r="4" spans="2:11" x14ac:dyDescent="0.25">
      <c r="B4" s="37"/>
      <c r="C4" s="37"/>
      <c r="D4" s="80"/>
      <c r="E4" s="37"/>
      <c r="F4" s="37"/>
      <c r="G4" s="37"/>
    </row>
    <row r="5" spans="2:11" x14ac:dyDescent="0.25">
      <c r="B5" s="37"/>
      <c r="C5" s="37"/>
      <c r="D5" s="80"/>
      <c r="E5" s="37"/>
      <c r="F5" s="37"/>
      <c r="G5" s="37"/>
    </row>
    <row r="6" spans="2:11" x14ac:dyDescent="0.25">
      <c r="B6" s="37"/>
      <c r="C6" s="37"/>
      <c r="D6" s="80"/>
      <c r="E6" s="37"/>
      <c r="F6" s="37"/>
      <c r="G6" s="37"/>
    </row>
    <row r="7" spans="2:11" x14ac:dyDescent="0.25">
      <c r="B7" s="37"/>
      <c r="C7" s="37"/>
      <c r="D7" s="80"/>
      <c r="E7" s="37"/>
      <c r="F7" s="37"/>
      <c r="G7" s="37"/>
    </row>
    <row r="8" spans="2:11" x14ac:dyDescent="0.25">
      <c r="B8" s="37"/>
      <c r="C8" s="37"/>
      <c r="D8" s="80"/>
      <c r="E8" s="37"/>
      <c r="F8" s="37"/>
      <c r="G8" s="37"/>
    </row>
    <row r="9" spans="2:11" x14ac:dyDescent="0.25">
      <c r="B9" s="37"/>
      <c r="C9" s="37"/>
      <c r="D9" s="80"/>
      <c r="E9" s="37"/>
      <c r="F9" s="37"/>
      <c r="G9" s="37"/>
    </row>
    <row r="10" spans="2:11" x14ac:dyDescent="0.25">
      <c r="B10" s="37"/>
      <c r="C10" s="37"/>
      <c r="D10" s="80"/>
      <c r="E10" s="37"/>
      <c r="F10" s="37"/>
      <c r="G10" s="37"/>
    </row>
    <row r="11" spans="2:11" x14ac:dyDescent="0.25">
      <c r="B11" s="66" t="s">
        <v>634</v>
      </c>
      <c r="C11" t="s">
        <v>639</v>
      </c>
      <c r="D11" s="80"/>
      <c r="E11" s="37"/>
      <c r="F11" s="37"/>
      <c r="G11" s="37"/>
    </row>
    <row r="12" spans="2:11" x14ac:dyDescent="0.25">
      <c r="B12" s="37"/>
      <c r="C12" s="37"/>
      <c r="D12" s="80"/>
      <c r="E12" s="37"/>
      <c r="F12" s="37"/>
      <c r="G12" s="37"/>
    </row>
    <row r="13" spans="2:11" ht="45" x14ac:dyDescent="0.25">
      <c r="B13" s="64" t="s">
        <v>505</v>
      </c>
      <c r="C13" s="56" t="s">
        <v>14</v>
      </c>
      <c r="D13" s="57" t="s">
        <v>963</v>
      </c>
      <c r="E13" t="s">
        <v>964</v>
      </c>
      <c r="F13" t="s">
        <v>965</v>
      </c>
      <c r="G13" s="65" t="s">
        <v>647</v>
      </c>
      <c r="H13" s="65" t="s">
        <v>648</v>
      </c>
      <c r="I13" s="65" t="s">
        <v>649</v>
      </c>
      <c r="J13" s="165" t="s">
        <v>650</v>
      </c>
      <c r="K13" s="65" t="s">
        <v>651</v>
      </c>
    </row>
    <row r="14" spans="2:11" x14ac:dyDescent="0.25">
      <c r="B14" t="s">
        <v>739</v>
      </c>
      <c r="C14" t="s">
        <v>508</v>
      </c>
      <c r="D14" s="79">
        <v>45460.885289351849</v>
      </c>
      <c r="E14" s="164">
        <v>0.65480000000000005</v>
      </c>
      <c r="F14" s="60">
        <v>151.03848503359802</v>
      </c>
      <c r="G14" s="67">
        <v>10.880314916895452</v>
      </c>
      <c r="H14" s="60">
        <v>98.899999999999991</v>
      </c>
      <c r="I14" s="60">
        <v>86.109999999999985</v>
      </c>
      <c r="J14" s="71">
        <v>-12.790000000000001</v>
      </c>
      <c r="K14" s="68">
        <v>-0.12932254802831145</v>
      </c>
    </row>
    <row r="15" spans="2:11" x14ac:dyDescent="0.25">
      <c r="B15" t="s">
        <v>739</v>
      </c>
      <c r="C15" t="s">
        <v>532</v>
      </c>
      <c r="D15" s="79">
        <v>45518.844282407408</v>
      </c>
      <c r="E15" s="164">
        <v>1.7987</v>
      </c>
      <c r="F15" s="60">
        <v>52.676933340746096</v>
      </c>
      <c r="G15" s="67">
        <v>8.9800200083478625</v>
      </c>
      <c r="H15" s="60">
        <v>94.75</v>
      </c>
      <c r="I15" s="60">
        <v>104.22</v>
      </c>
      <c r="J15" s="71">
        <v>9.4699999999999989</v>
      </c>
      <c r="K15" s="68">
        <v>9.9947229551451175E-2</v>
      </c>
    </row>
    <row r="16" spans="2:11" x14ac:dyDescent="0.25">
      <c r="B16" t="s">
        <v>739</v>
      </c>
      <c r="C16" t="s">
        <v>535</v>
      </c>
      <c r="D16" s="79">
        <v>45693.855011574073</v>
      </c>
      <c r="E16" s="164">
        <v>4</v>
      </c>
      <c r="F16" s="60">
        <v>20.95</v>
      </c>
      <c r="G16" s="67">
        <v>3.241963225560927</v>
      </c>
      <c r="H16" s="60">
        <v>83.8</v>
      </c>
      <c r="I16" s="60">
        <v>87.6</v>
      </c>
      <c r="J16" s="71">
        <v>3.8000000000000003</v>
      </c>
      <c r="K16" s="68">
        <v>4.5346062052505971E-2</v>
      </c>
    </row>
    <row r="17" spans="2:11" x14ac:dyDescent="0.25">
      <c r="B17" t="s">
        <v>739</v>
      </c>
      <c r="C17" t="s">
        <v>531</v>
      </c>
      <c r="D17" s="79">
        <v>45544.651631944442</v>
      </c>
      <c r="E17" s="164">
        <v>0.4</v>
      </c>
      <c r="F17" s="60">
        <v>135.97499999999999</v>
      </c>
      <c r="G17" s="67">
        <v>8.1338773846395362</v>
      </c>
      <c r="H17" s="60">
        <v>54.39</v>
      </c>
      <c r="I17" s="60">
        <v>54.95</v>
      </c>
      <c r="J17" s="71">
        <v>0.56000000000000005</v>
      </c>
      <c r="K17" s="68">
        <v>1.0296010296010297E-2</v>
      </c>
    </row>
    <row r="18" spans="2:11" x14ac:dyDescent="0.25">
      <c r="B18" t="s">
        <v>739</v>
      </c>
      <c r="C18" t="s">
        <v>541</v>
      </c>
      <c r="D18" s="79">
        <v>45580.70648148148</v>
      </c>
      <c r="E18" s="164">
        <v>0.34860000000000002</v>
      </c>
      <c r="F18" s="60">
        <v>131.92771084337346</v>
      </c>
      <c r="G18" s="67">
        <v>6.9517512985740861</v>
      </c>
      <c r="H18" s="60">
        <v>45.989999999999995</v>
      </c>
      <c r="I18" s="60">
        <v>48.37</v>
      </c>
      <c r="J18" s="71">
        <v>2.38</v>
      </c>
      <c r="K18" s="68">
        <v>5.1750380517503809E-2</v>
      </c>
    </row>
    <row r="19" spans="2:11" x14ac:dyDescent="0.25">
      <c r="B19" t="s">
        <v>739</v>
      </c>
      <c r="C19" t="s">
        <v>536</v>
      </c>
      <c r="D19" s="79">
        <v>45708.681354166663</v>
      </c>
      <c r="E19" s="164">
        <v>0.81210000000000004</v>
      </c>
      <c r="F19" s="60">
        <v>36.916635882280502</v>
      </c>
      <c r="G19" s="67">
        <v>2.7558538979969032</v>
      </c>
      <c r="H19" s="60">
        <v>29.98</v>
      </c>
      <c r="I19" s="60">
        <v>28.67</v>
      </c>
      <c r="J19" s="71">
        <v>-1.31</v>
      </c>
      <c r="K19" s="68">
        <v>-4.3695797198132089E-2</v>
      </c>
    </row>
    <row r="20" spans="2:11" x14ac:dyDescent="0.25">
      <c r="B20" t="s">
        <v>854</v>
      </c>
      <c r="C20" t="s">
        <v>543</v>
      </c>
      <c r="D20" s="79">
        <v>45743.773900462962</v>
      </c>
      <c r="E20" s="164">
        <v>2</v>
      </c>
      <c r="F20" s="60">
        <v>73.5</v>
      </c>
      <c r="G20" s="67">
        <v>1.6052786862462392</v>
      </c>
      <c r="H20" s="60">
        <v>147</v>
      </c>
      <c r="I20" s="60">
        <v>144.84</v>
      </c>
      <c r="J20" s="71">
        <v>-2.16</v>
      </c>
      <c r="K20" s="68">
        <v>-1.4693877551020409E-2</v>
      </c>
    </row>
    <row r="21" spans="2:11" x14ac:dyDescent="0.25">
      <c r="B21" t="s">
        <v>854</v>
      </c>
      <c r="C21" t="s">
        <v>534</v>
      </c>
      <c r="D21" s="79">
        <v>45686.832719907405</v>
      </c>
      <c r="E21" s="164">
        <v>3</v>
      </c>
      <c r="F21" s="60">
        <v>44.946666666666665</v>
      </c>
      <c r="G21" s="67">
        <v>3.4722023979215844</v>
      </c>
      <c r="H21" s="60">
        <v>134.84</v>
      </c>
      <c r="I21" s="60">
        <v>143.07</v>
      </c>
      <c r="J21" s="71">
        <v>8.23</v>
      </c>
      <c r="K21" s="68">
        <v>6.1035301097597153E-2</v>
      </c>
    </row>
    <row r="22" spans="2:11" x14ac:dyDescent="0.25">
      <c r="B22" t="s">
        <v>854</v>
      </c>
      <c r="C22" t="s">
        <v>60</v>
      </c>
      <c r="D22" s="79">
        <v>45482.712939814817</v>
      </c>
      <c r="E22" s="164">
        <v>2</v>
      </c>
      <c r="F22" s="60">
        <v>20.924999999999997</v>
      </c>
      <c r="G22" s="67">
        <v>10.164654095705119</v>
      </c>
      <c r="H22" s="60">
        <v>41.849999999999994</v>
      </c>
      <c r="I22" s="60">
        <v>40.649999999999991</v>
      </c>
      <c r="J22" s="71">
        <v>-1.2</v>
      </c>
      <c r="K22" s="68">
        <v>-2.8673835125448032E-2</v>
      </c>
    </row>
    <row r="23" spans="2:11" x14ac:dyDescent="0.25">
      <c r="B23" t="s">
        <v>854</v>
      </c>
      <c r="C23" t="s">
        <v>59</v>
      </c>
      <c r="D23" s="79">
        <v>45484.678773148145</v>
      </c>
      <c r="E23" s="164">
        <v>2</v>
      </c>
      <c r="F23" s="60">
        <v>17.504999999999999</v>
      </c>
      <c r="G23" s="67">
        <v>10.100200727459359</v>
      </c>
      <c r="H23" s="60">
        <v>35.01</v>
      </c>
      <c r="I23" s="60">
        <v>35.739999999999995</v>
      </c>
      <c r="J23" s="71">
        <v>0.73</v>
      </c>
      <c r="K23" s="68">
        <v>2.085118537560697E-2</v>
      </c>
    </row>
    <row r="24" spans="2:11" x14ac:dyDescent="0.25">
      <c r="B24" t="s">
        <v>962</v>
      </c>
      <c r="C24" t="s">
        <v>538</v>
      </c>
      <c r="D24" s="79">
        <v>45632.876666666663</v>
      </c>
      <c r="E24" s="164">
        <v>5.7971000000000013</v>
      </c>
      <c r="F24" s="60">
        <v>18.968104742026181</v>
      </c>
      <c r="G24" s="67">
        <v>5.2412532673052272</v>
      </c>
      <c r="H24" s="60">
        <v>109.96</v>
      </c>
      <c r="I24" s="60">
        <v>102.83999999999999</v>
      </c>
      <c r="J24" s="71">
        <v>-7.1199999999999992</v>
      </c>
      <c r="K24" s="68">
        <v>-6.4750818479447067E-2</v>
      </c>
    </row>
    <row r="25" spans="2:11" x14ac:dyDescent="0.25">
      <c r="B25" t="s">
        <v>962</v>
      </c>
      <c r="C25" t="s">
        <v>542</v>
      </c>
      <c r="D25" s="79">
        <v>45663.737500000003</v>
      </c>
      <c r="E25" s="164">
        <v>2.2045000000000003</v>
      </c>
      <c r="F25" s="60">
        <v>36.289408029031527</v>
      </c>
      <c r="G25" s="67">
        <v>4.2294227163019666</v>
      </c>
      <c r="H25" s="60">
        <v>80.000000000000014</v>
      </c>
      <c r="I25" s="60">
        <v>78.640000000000015</v>
      </c>
      <c r="J25" s="71">
        <v>-1.3600000000000003</v>
      </c>
      <c r="K25" s="68">
        <v>-1.7000000000000001E-2</v>
      </c>
    </row>
    <row r="26" spans="2:11" x14ac:dyDescent="0.25">
      <c r="B26" t="s">
        <v>962</v>
      </c>
      <c r="C26" t="s">
        <v>516</v>
      </c>
      <c r="D26" s="79">
        <v>45511.860497685186</v>
      </c>
      <c r="E26" s="164">
        <v>0.74609999999999999</v>
      </c>
      <c r="F26" s="60">
        <v>73.689853906982975</v>
      </c>
      <c r="G26" s="67">
        <v>9.2089968378100728</v>
      </c>
      <c r="H26" s="60">
        <v>54.98</v>
      </c>
      <c r="I26" s="60">
        <v>55.62</v>
      </c>
      <c r="J26" s="71">
        <v>0.64000000000000012</v>
      </c>
      <c r="K26" s="68">
        <v>1.1640596580574758E-2</v>
      </c>
    </row>
    <row r="27" spans="2:11" x14ac:dyDescent="0.25">
      <c r="B27" t="s">
        <v>962</v>
      </c>
      <c r="C27" t="s">
        <v>537</v>
      </c>
      <c r="D27" s="79">
        <v>45727.871678240743</v>
      </c>
      <c r="E27" s="164">
        <v>0.29670000000000002</v>
      </c>
      <c r="F27" s="60">
        <v>129.18773171553755</v>
      </c>
      <c r="G27" s="67">
        <v>2.1266629356396152</v>
      </c>
      <c r="H27" s="60">
        <v>38.33</v>
      </c>
      <c r="I27" s="60">
        <v>55.14</v>
      </c>
      <c r="J27" s="71">
        <v>16.810000000000002</v>
      </c>
      <c r="K27" s="68">
        <v>0.43855987477171937</v>
      </c>
    </row>
    <row r="28" spans="2:11" x14ac:dyDescent="0.25">
      <c r="B28" t="s">
        <v>962</v>
      </c>
      <c r="C28" t="s">
        <v>533</v>
      </c>
      <c r="D28" s="79">
        <v>45708.680231481485</v>
      </c>
      <c r="E28" s="164">
        <v>0.4612</v>
      </c>
      <c r="F28" s="60">
        <v>43.365134431916736</v>
      </c>
      <c r="G28" s="67">
        <v>2.755890791590438</v>
      </c>
      <c r="H28" s="60">
        <v>20</v>
      </c>
      <c r="I28" s="60">
        <v>20.010000000000002</v>
      </c>
      <c r="J28" s="71">
        <v>1.0000000000000009E-2</v>
      </c>
      <c r="K28" s="68">
        <v>5.0000000000000044E-4</v>
      </c>
    </row>
    <row r="29" spans="2:11" x14ac:dyDescent="0.25">
      <c r="B29" t="s">
        <v>958</v>
      </c>
      <c r="C29" t="s">
        <v>513</v>
      </c>
      <c r="D29" s="79">
        <v>45484.671180555553</v>
      </c>
      <c r="E29" s="164">
        <v>1.0547</v>
      </c>
      <c r="F29" s="60">
        <v>173.42372238551249</v>
      </c>
      <c r="G29" s="67">
        <v>10.100449584472445</v>
      </c>
      <c r="H29" s="60">
        <v>182.91000000000003</v>
      </c>
      <c r="I29" s="60">
        <v>204.87000000000003</v>
      </c>
      <c r="J29" s="71">
        <v>21.96</v>
      </c>
      <c r="K29" s="68">
        <v>0.12005904543217975</v>
      </c>
    </row>
    <row r="30" spans="2:11" x14ac:dyDescent="0.25">
      <c r="B30" t="s">
        <v>958</v>
      </c>
      <c r="C30" t="s">
        <v>517</v>
      </c>
      <c r="D30" s="79">
        <v>45695.857928240737</v>
      </c>
      <c r="E30" s="164">
        <v>0.1782</v>
      </c>
      <c r="F30" s="60">
        <v>168.23793490460159</v>
      </c>
      <c r="G30" s="67">
        <v>3.1762941442790238</v>
      </c>
      <c r="H30" s="60">
        <v>29.98</v>
      </c>
      <c r="I30" s="60">
        <v>29.21</v>
      </c>
      <c r="J30" s="71">
        <v>-0.77</v>
      </c>
      <c r="K30" s="68">
        <v>-2.5683789192795198E-2</v>
      </c>
    </row>
    <row r="31" spans="2:11" x14ac:dyDescent="0.25">
      <c r="B31" t="s">
        <v>958</v>
      </c>
      <c r="C31" t="s">
        <v>521</v>
      </c>
      <c r="D31" s="79">
        <v>45597.610868055555</v>
      </c>
      <c r="E31" s="164">
        <v>0.05</v>
      </c>
      <c r="F31" s="60">
        <v>408.8</v>
      </c>
      <c r="G31" s="67">
        <v>6.3975089537805196</v>
      </c>
      <c r="H31" s="60">
        <v>20.440000000000001</v>
      </c>
      <c r="I31" s="60">
        <v>22.64</v>
      </c>
      <c r="J31" s="71">
        <v>2.2000000000000002</v>
      </c>
      <c r="K31" s="68">
        <v>0.1076320939334638</v>
      </c>
    </row>
    <row r="32" spans="2:11" x14ac:dyDescent="0.25">
      <c r="B32" t="s">
        <v>958</v>
      </c>
      <c r="C32" t="s">
        <v>528</v>
      </c>
      <c r="D32" s="79">
        <v>45582.739965277775</v>
      </c>
      <c r="E32" s="164">
        <v>1E-4</v>
      </c>
      <c r="F32" s="60">
        <v>200</v>
      </c>
      <c r="G32" s="67">
        <v>6.8850795594265888</v>
      </c>
      <c r="H32" s="60">
        <v>0.02</v>
      </c>
      <c r="I32" s="60">
        <v>0.02</v>
      </c>
      <c r="J32" s="71">
        <v>0</v>
      </c>
      <c r="K32" s="68">
        <v>0</v>
      </c>
    </row>
    <row r="33" spans="2:11" x14ac:dyDescent="0.25">
      <c r="B33" t="s">
        <v>959</v>
      </c>
      <c r="C33" t="s">
        <v>529</v>
      </c>
      <c r="D33" s="79">
        <v>45623.749513888892</v>
      </c>
      <c r="E33" s="164">
        <v>3.9380999999999999</v>
      </c>
      <c r="F33" s="60">
        <v>16.667936314466367</v>
      </c>
      <c r="G33" s="67">
        <v>5.5405044038395959</v>
      </c>
      <c r="H33" s="60">
        <v>65.64</v>
      </c>
      <c r="I33" s="60">
        <v>83.09</v>
      </c>
      <c r="J33" s="71">
        <v>17.45</v>
      </c>
      <c r="K33" s="68">
        <v>0.26584399756246191</v>
      </c>
    </row>
    <row r="34" spans="2:11" x14ac:dyDescent="0.25">
      <c r="B34" t="s">
        <v>959</v>
      </c>
      <c r="C34" t="s">
        <v>539</v>
      </c>
      <c r="D34" s="79">
        <v>45764.854513888888</v>
      </c>
      <c r="E34" s="164">
        <v>2.5552000000000001</v>
      </c>
      <c r="F34" s="60">
        <v>15.654351909830932</v>
      </c>
      <c r="G34" s="67">
        <v>0.91411082878051375</v>
      </c>
      <c r="H34" s="60">
        <v>40</v>
      </c>
      <c r="I34" s="60">
        <v>44.28</v>
      </c>
      <c r="J34" s="71">
        <v>4.2799999999999994</v>
      </c>
      <c r="K34" s="68">
        <v>0.10699999999999998</v>
      </c>
    </row>
    <row r="35" spans="2:11" x14ac:dyDescent="0.25">
      <c r="B35" t="s">
        <v>959</v>
      </c>
      <c r="C35" t="s">
        <v>530</v>
      </c>
      <c r="D35" s="79">
        <v>45645.901435185187</v>
      </c>
      <c r="E35" s="164">
        <v>5.9399999999999994E-2</v>
      </c>
      <c r="F35" s="60">
        <v>512.79461279461282</v>
      </c>
      <c r="G35" s="67">
        <v>4.8142116780494923</v>
      </c>
      <c r="H35" s="60">
        <v>30.46</v>
      </c>
      <c r="I35" s="60">
        <v>34.590000000000003</v>
      </c>
      <c r="J35" s="71">
        <v>4.1300000000000008</v>
      </c>
      <c r="K35" s="68">
        <v>0.13558765594221933</v>
      </c>
    </row>
    <row r="36" spans="2:11" x14ac:dyDescent="0.25">
      <c r="B36" t="s">
        <v>959</v>
      </c>
      <c r="C36" t="s">
        <v>58</v>
      </c>
      <c r="D36" s="79">
        <v>45785.669722222221</v>
      </c>
      <c r="E36" s="164">
        <v>1.7256</v>
      </c>
      <c r="F36" s="60">
        <v>14.487714418173388</v>
      </c>
      <c r="G36" s="67">
        <v>0.23164507475768437</v>
      </c>
      <c r="H36" s="60">
        <v>25</v>
      </c>
      <c r="I36" s="60">
        <v>25.62</v>
      </c>
      <c r="J36" s="71">
        <v>0.62</v>
      </c>
      <c r="K36" s="68">
        <v>2.4799999999999999E-2</v>
      </c>
    </row>
    <row r="37" spans="2:11" x14ac:dyDescent="0.25">
      <c r="B37" t="s">
        <v>959</v>
      </c>
      <c r="C37" t="s">
        <v>961</v>
      </c>
      <c r="D37" s="79">
        <v>45789.648599537039</v>
      </c>
      <c r="E37" s="164">
        <v>0.47570000000000001</v>
      </c>
      <c r="F37" s="60">
        <v>42.022282951439976</v>
      </c>
      <c r="G37" s="67">
        <v>0.10119022009870396</v>
      </c>
      <c r="H37" s="60">
        <v>19.989999999999998</v>
      </c>
      <c r="I37" s="60">
        <v>20.049999999999997</v>
      </c>
      <c r="J37" s="71">
        <v>0.06</v>
      </c>
      <c r="K37" s="68">
        <v>3.0015007503751876E-3</v>
      </c>
    </row>
    <row r="38" spans="2:11" x14ac:dyDescent="0.25">
      <c r="B38" t="s">
        <v>959</v>
      </c>
      <c r="C38" t="s">
        <v>523</v>
      </c>
      <c r="D38" s="79">
        <v>45751.745011574072</v>
      </c>
      <c r="E38" s="164">
        <v>1.9199999999999998E-2</v>
      </c>
      <c r="F38" s="60">
        <v>324.47916666666674</v>
      </c>
      <c r="G38" s="67">
        <v>1.3439307137970722</v>
      </c>
      <c r="H38" s="60">
        <v>6.23</v>
      </c>
      <c r="I38" s="60">
        <v>6.95</v>
      </c>
      <c r="J38" s="71">
        <v>0.72</v>
      </c>
      <c r="K38" s="68">
        <v>0.11556982343499196</v>
      </c>
    </row>
    <row r="39" spans="2:11" x14ac:dyDescent="0.25">
      <c r="B39" t="s">
        <v>960</v>
      </c>
      <c r="C39" t="s">
        <v>540</v>
      </c>
      <c r="D39" s="79">
        <v>45687.852719907409</v>
      </c>
      <c r="E39" s="164">
        <v>0.9708</v>
      </c>
      <c r="F39" s="60">
        <v>30.902348578491967</v>
      </c>
      <c r="G39" s="67">
        <v>3.4387599389051129</v>
      </c>
      <c r="H39" s="60">
        <v>30</v>
      </c>
      <c r="I39" s="60">
        <v>27.42</v>
      </c>
      <c r="J39" s="71">
        <v>-2.58</v>
      </c>
      <c r="K39" s="68">
        <v>-8.6000000000000007E-2</v>
      </c>
    </row>
    <row r="40" spans="2:11" x14ac:dyDescent="0.25">
      <c r="B40" t="s">
        <v>740</v>
      </c>
      <c r="C40" t="s">
        <v>527</v>
      </c>
      <c r="D40" s="79">
        <v>45645.900763888887</v>
      </c>
      <c r="E40" s="164">
        <v>2.9999999999999997E-4</v>
      </c>
      <c r="F40" s="60">
        <v>133.33333333333334</v>
      </c>
      <c r="G40" s="67">
        <v>4.8142336870068458</v>
      </c>
      <c r="H40" s="60">
        <v>0.04</v>
      </c>
      <c r="I40" s="60">
        <v>0.04</v>
      </c>
      <c r="J40" s="71">
        <v>0</v>
      </c>
      <c r="K40" s="68">
        <v>0</v>
      </c>
    </row>
    <row r="41" spans="2:11" x14ac:dyDescent="0.25">
      <c r="B41" s="78" t="s">
        <v>661</v>
      </c>
      <c r="C41" s="78"/>
      <c r="D41" s="81">
        <v>45460.885289351849</v>
      </c>
      <c r="E41" s="166">
        <v>37.547099999999986</v>
      </c>
      <c r="F41" s="62">
        <v>40.49553760476843</v>
      </c>
      <c r="G41" s="72">
        <v>10.880314916895452</v>
      </c>
      <c r="H41" s="62">
        <v>1520.4900000000002</v>
      </c>
      <c r="I41" s="62">
        <v>1585.2500000000002</v>
      </c>
      <c r="J41" s="73">
        <v>64.760000000000005</v>
      </c>
      <c r="K41" s="74">
        <v>4.2591532992653683E-2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B170"/>
  <sheetViews>
    <sheetView showGridLines="0" workbookViewId="0">
      <pane ySplit="4" topLeftCell="A5" activePane="bottomLeft" state="frozen"/>
      <selection pane="bottomLeft" activeCell="M9" sqref="M9:O9"/>
    </sheetView>
  </sheetViews>
  <sheetFormatPr defaultRowHeight="15" x14ac:dyDescent="0.25"/>
  <cols>
    <col min="1" max="1" width="2" style="106" customWidth="1"/>
    <col min="2" max="2" width="13.85546875" style="106" customWidth="1"/>
    <col min="3" max="7" width="11" style="106" customWidth="1"/>
    <col min="8" max="8" width="8" style="106" customWidth="1"/>
    <col min="9" max="9" width="10.7109375" style="106" customWidth="1"/>
    <col min="10" max="10" width="17.140625" style="106" customWidth="1"/>
    <col min="11" max="11" width="12" style="106" customWidth="1"/>
    <col min="12" max="12" width="17.5703125" style="106" customWidth="1"/>
    <col min="13" max="13" width="13.5703125" style="106" customWidth="1"/>
    <col min="14" max="15" width="13.42578125" style="106" customWidth="1"/>
    <col min="16" max="16" width="10.85546875" style="106" customWidth="1"/>
    <col min="17" max="17" width="11.7109375" style="106" customWidth="1"/>
    <col min="18" max="18" width="11" style="106" customWidth="1"/>
    <col min="19" max="19" width="10.85546875" style="106" customWidth="1"/>
    <col min="20" max="20" width="11.28515625" style="106" customWidth="1"/>
    <col min="21" max="21" width="19" style="106" customWidth="1"/>
    <col min="22" max="22" width="17" style="106" customWidth="1"/>
    <col min="23" max="23" width="13.42578125" style="106" customWidth="1"/>
    <col min="24" max="24" width="17" style="106" customWidth="1"/>
    <col min="25" max="25" width="28" style="106" customWidth="1"/>
    <col min="26" max="26" width="10.28515625" style="106" customWidth="1"/>
    <col min="27" max="27" width="3.42578125" style="106" customWidth="1"/>
    <col min="28" max="28" width="0" style="106" hidden="1" customWidth="1"/>
    <col min="29" max="29" width="2.5703125" style="106" customWidth="1"/>
    <col min="30" max="16384" width="9.140625" style="106"/>
  </cols>
  <sheetData>
    <row r="1" spans="2:28" ht="11.45" customHeight="1" x14ac:dyDescent="0.25">
      <c r="Z1" s="107"/>
    </row>
    <row r="2" spans="2:28" ht="20.45" customHeight="1" x14ac:dyDescent="0.25">
      <c r="B2" s="107"/>
      <c r="Z2" s="107"/>
    </row>
    <row r="3" spans="2:28" ht="12.2" customHeight="1" x14ac:dyDescent="0.25">
      <c r="B3" s="107"/>
    </row>
    <row r="4" spans="2:28" ht="2.25" customHeight="1" x14ac:dyDescent="0.25"/>
    <row r="5" spans="2:28" ht="2.25" customHeight="1" x14ac:dyDescent="0.25"/>
    <row r="6" spans="2:28" x14ac:dyDescent="0.25">
      <c r="B6" s="108" t="s">
        <v>0</v>
      </c>
      <c r="C6" s="108" t="s">
        <v>0</v>
      </c>
      <c r="D6" s="108"/>
      <c r="E6" s="108"/>
      <c r="F6" s="108"/>
      <c r="G6" s="108"/>
      <c r="H6" s="108" t="s">
        <v>0</v>
      </c>
      <c r="I6" s="108" t="s">
        <v>0</v>
      </c>
      <c r="J6" s="109" t="s">
        <v>1</v>
      </c>
      <c r="K6" s="107"/>
      <c r="L6" s="107"/>
      <c r="M6" s="110" t="s">
        <v>2</v>
      </c>
      <c r="N6" s="107"/>
      <c r="O6" s="107"/>
      <c r="P6" s="110" t="s">
        <v>3</v>
      </c>
      <c r="Q6" s="107"/>
      <c r="R6" s="107"/>
      <c r="S6" s="111" t="s">
        <v>0</v>
      </c>
      <c r="T6" s="111" t="s">
        <v>0</v>
      </c>
      <c r="U6" s="111" t="s">
        <v>0</v>
      </c>
      <c r="V6" s="111" t="s">
        <v>0</v>
      </c>
      <c r="W6" s="111" t="s">
        <v>0</v>
      </c>
      <c r="X6" s="111" t="s">
        <v>0</v>
      </c>
      <c r="Y6" s="112">
        <v>45793.0632250579</v>
      </c>
      <c r="Z6" s="107"/>
      <c r="AA6" s="107"/>
    </row>
    <row r="7" spans="2:28" x14ac:dyDescent="0.25">
      <c r="B7" s="108" t="s">
        <v>0</v>
      </c>
      <c r="C7" s="108" t="s">
        <v>0</v>
      </c>
      <c r="D7" s="108"/>
      <c r="E7" s="108"/>
      <c r="F7" s="108"/>
      <c r="G7" s="108"/>
      <c r="H7" s="108" t="s">
        <v>0</v>
      </c>
      <c r="I7" s="108" t="s">
        <v>0</v>
      </c>
      <c r="J7" s="113" t="s">
        <v>4</v>
      </c>
      <c r="K7" s="107"/>
      <c r="L7" s="107"/>
      <c r="M7" s="114" t="s">
        <v>5</v>
      </c>
      <c r="N7" s="107"/>
      <c r="O7" s="107"/>
      <c r="P7" s="114" t="s">
        <v>6</v>
      </c>
      <c r="Q7" s="107"/>
      <c r="R7" s="107"/>
      <c r="S7" s="111" t="s">
        <v>0</v>
      </c>
      <c r="T7" s="111" t="s">
        <v>0</v>
      </c>
      <c r="U7" s="111" t="s">
        <v>0</v>
      </c>
      <c r="V7" s="111" t="s">
        <v>0</v>
      </c>
      <c r="W7" s="111" t="s">
        <v>0</v>
      </c>
      <c r="X7" s="111" t="s">
        <v>0</v>
      </c>
      <c r="Y7" s="115" t="s">
        <v>0</v>
      </c>
      <c r="Z7" s="107"/>
      <c r="AA7" s="107"/>
    </row>
    <row r="8" spans="2:28" x14ac:dyDescent="0.25">
      <c r="B8" s="108" t="s">
        <v>0</v>
      </c>
      <c r="C8" s="108" t="s">
        <v>0</v>
      </c>
      <c r="D8" s="108"/>
      <c r="E8" s="108"/>
      <c r="F8" s="108"/>
      <c r="G8" s="108"/>
      <c r="H8" s="108" t="s">
        <v>0</v>
      </c>
      <c r="I8" s="108" t="s">
        <v>0</v>
      </c>
      <c r="J8" s="116" t="s">
        <v>7</v>
      </c>
      <c r="K8" s="107"/>
      <c r="L8" s="107"/>
      <c r="M8" s="117" t="s">
        <v>8</v>
      </c>
      <c r="N8" s="107"/>
      <c r="O8" s="107"/>
      <c r="P8" s="117" t="s">
        <v>9</v>
      </c>
      <c r="Q8" s="107"/>
      <c r="R8" s="107"/>
      <c r="S8" s="117" t="s">
        <v>10</v>
      </c>
      <c r="T8" s="107"/>
      <c r="U8" s="107"/>
      <c r="V8" s="117" t="s">
        <v>11</v>
      </c>
      <c r="W8" s="107"/>
      <c r="X8" s="107"/>
      <c r="Y8" s="115" t="s">
        <v>0</v>
      </c>
      <c r="Z8" s="107"/>
      <c r="AA8" s="107"/>
    </row>
    <row r="9" spans="2:28" x14ac:dyDescent="0.25">
      <c r="B9" s="108" t="s">
        <v>0</v>
      </c>
      <c r="C9" s="108" t="s">
        <v>0</v>
      </c>
      <c r="D9" s="108"/>
      <c r="E9" s="108"/>
      <c r="F9" s="108"/>
      <c r="G9" s="108"/>
      <c r="H9" s="108" t="s">
        <v>0</v>
      </c>
      <c r="I9" s="108" t="s">
        <v>0</v>
      </c>
      <c r="J9" s="118">
        <v>85.05</v>
      </c>
      <c r="K9" s="107"/>
      <c r="L9" s="107"/>
      <c r="M9" s="114">
        <v>1605.25</v>
      </c>
      <c r="N9" s="107"/>
      <c r="O9" s="107"/>
      <c r="P9" s="114">
        <v>0</v>
      </c>
      <c r="Q9" s="107"/>
      <c r="R9" s="107"/>
      <c r="S9" s="114">
        <v>85.05</v>
      </c>
      <c r="T9" s="107"/>
      <c r="U9" s="107"/>
      <c r="V9" s="119">
        <v>0</v>
      </c>
      <c r="W9" s="107"/>
      <c r="X9" s="107"/>
      <c r="Y9" s="115" t="s">
        <v>0</v>
      </c>
      <c r="Z9" s="107"/>
      <c r="AA9" s="107"/>
    </row>
    <row r="10" spans="2:28" ht="43.15" customHeight="1" x14ac:dyDescent="0.25">
      <c r="B10" s="120" t="s">
        <v>966</v>
      </c>
      <c r="C10" s="107"/>
      <c r="D10" s="107"/>
      <c r="E10" s="107"/>
      <c r="F10" s="107"/>
      <c r="G10" s="107"/>
      <c r="H10" s="107"/>
      <c r="I10" s="107"/>
      <c r="J10" s="107"/>
      <c r="K10" s="107"/>
      <c r="L10" s="121" t="s">
        <v>0</v>
      </c>
      <c r="M10" s="122" t="s">
        <v>0</v>
      </c>
      <c r="N10" s="122" t="s">
        <v>0</v>
      </c>
      <c r="O10" s="122" t="s">
        <v>0</v>
      </c>
      <c r="P10" s="122" t="s">
        <v>0</v>
      </c>
      <c r="Q10" s="122" t="s">
        <v>0</v>
      </c>
      <c r="R10" s="122" t="s">
        <v>0</v>
      </c>
      <c r="S10" s="122" t="s">
        <v>0</v>
      </c>
      <c r="T10" s="122" t="s">
        <v>0</v>
      </c>
      <c r="U10" s="122" t="s">
        <v>0</v>
      </c>
      <c r="V10" s="122" t="s">
        <v>0</v>
      </c>
      <c r="W10" s="122" t="s">
        <v>0</v>
      </c>
      <c r="X10" s="122" t="s">
        <v>0</v>
      </c>
      <c r="Y10" s="107"/>
      <c r="Z10" s="107"/>
      <c r="AA10" s="107"/>
      <c r="AB10" s="107"/>
    </row>
    <row r="11" spans="2:28" x14ac:dyDescent="0.25">
      <c r="B11" s="123" t="s">
        <v>967</v>
      </c>
      <c r="C11" s="107"/>
      <c r="D11" s="107"/>
      <c r="E11" s="107"/>
      <c r="F11" s="107"/>
      <c r="G11" s="107"/>
      <c r="H11" s="107"/>
      <c r="I11" s="107"/>
      <c r="J11" s="122" t="s">
        <v>0</v>
      </c>
      <c r="K11" s="122" t="s">
        <v>0</v>
      </c>
      <c r="L11" s="122" t="s">
        <v>0</v>
      </c>
      <c r="M11" s="122" t="s">
        <v>0</v>
      </c>
      <c r="N11" s="122" t="s">
        <v>0</v>
      </c>
      <c r="O11" s="122" t="s">
        <v>0</v>
      </c>
      <c r="P11" s="122" t="s">
        <v>0</v>
      </c>
      <c r="Q11" s="122" t="s">
        <v>0</v>
      </c>
      <c r="R11" s="122" t="s">
        <v>0</v>
      </c>
      <c r="S11" s="122" t="s">
        <v>0</v>
      </c>
      <c r="T11" s="122" t="s">
        <v>0</v>
      </c>
      <c r="U11" s="122" t="s">
        <v>0</v>
      </c>
      <c r="V11" s="122" t="s">
        <v>0</v>
      </c>
      <c r="W11" s="122" t="s">
        <v>0</v>
      </c>
      <c r="X11" s="122" t="s">
        <v>0</v>
      </c>
      <c r="Y11" s="124" t="s">
        <v>0</v>
      </c>
      <c r="Z11" s="107"/>
      <c r="AA11" s="107"/>
    </row>
    <row r="12" spans="2:28" x14ac:dyDescent="0.25">
      <c r="B12" s="125" t="s">
        <v>968</v>
      </c>
      <c r="C12" s="107"/>
      <c r="D12" s="107"/>
      <c r="E12" s="107"/>
      <c r="F12" s="107"/>
      <c r="G12" s="107"/>
      <c r="H12" s="107"/>
      <c r="I12" s="107"/>
      <c r="J12" s="107"/>
      <c r="K12" s="107"/>
      <c r="L12" s="122" t="s">
        <v>0</v>
      </c>
      <c r="M12" s="122" t="s">
        <v>0</v>
      </c>
      <c r="N12" s="122" t="s">
        <v>0</v>
      </c>
      <c r="O12" s="122" t="s">
        <v>0</v>
      </c>
      <c r="P12" s="122" t="s">
        <v>0</v>
      </c>
      <c r="Q12" s="122" t="s">
        <v>0</v>
      </c>
      <c r="R12" s="122" t="s">
        <v>0</v>
      </c>
      <c r="S12" s="122" t="s">
        <v>0</v>
      </c>
      <c r="T12" s="122" t="s">
        <v>0</v>
      </c>
      <c r="U12" s="122" t="s">
        <v>0</v>
      </c>
      <c r="V12" s="122" t="s">
        <v>0</v>
      </c>
      <c r="W12" s="122" t="s">
        <v>0</v>
      </c>
      <c r="X12" s="122" t="s">
        <v>0</v>
      </c>
      <c r="Y12" s="124" t="s">
        <v>0</v>
      </c>
      <c r="Z12" s="107"/>
      <c r="AA12" s="107"/>
    </row>
    <row r="13" spans="2:28" ht="22.5" x14ac:dyDescent="0.25">
      <c r="B13" s="126" t="s">
        <v>13</v>
      </c>
      <c r="C13" s="127" t="s">
        <v>14</v>
      </c>
      <c r="D13" s="14" t="s">
        <v>505</v>
      </c>
      <c r="E13" s="14" t="s">
        <v>506</v>
      </c>
      <c r="F13" s="14" t="s">
        <v>15</v>
      </c>
      <c r="G13" s="14" t="s">
        <v>634</v>
      </c>
      <c r="H13" s="127" t="s">
        <v>15</v>
      </c>
      <c r="I13" s="127" t="s">
        <v>16</v>
      </c>
      <c r="J13" s="127" t="s">
        <v>17</v>
      </c>
      <c r="K13" s="127" t="s">
        <v>18</v>
      </c>
      <c r="L13" s="127" t="s">
        <v>19</v>
      </c>
      <c r="M13" s="127" t="s">
        <v>20</v>
      </c>
      <c r="N13" s="127" t="s">
        <v>21</v>
      </c>
      <c r="O13" s="127" t="s">
        <v>22</v>
      </c>
      <c r="P13" s="127" t="s">
        <v>23</v>
      </c>
      <c r="Q13" s="127" t="s">
        <v>24</v>
      </c>
      <c r="R13" s="127" t="s">
        <v>25</v>
      </c>
      <c r="S13" s="127" t="s">
        <v>26</v>
      </c>
      <c r="T13" s="127" t="s">
        <v>9</v>
      </c>
      <c r="U13" s="128" t="s">
        <v>27</v>
      </c>
      <c r="V13" s="128" t="s">
        <v>28</v>
      </c>
      <c r="W13" s="128" t="s">
        <v>29</v>
      </c>
      <c r="X13" s="128" t="s">
        <v>30</v>
      </c>
      <c r="Y13" s="129" t="s">
        <v>31</v>
      </c>
      <c r="Z13" s="107"/>
      <c r="AA13" s="107"/>
    </row>
    <row r="14" spans="2:28" ht="21" x14ac:dyDescent="0.25">
      <c r="B14" s="130">
        <v>1345716305</v>
      </c>
      <c r="C14" s="131" t="s">
        <v>507</v>
      </c>
      <c r="D14" s="17" t="str">
        <f>IFERROR(INDEX([1]Positions!$A:$A,MATCH(C14,[1]Positions!$C:$C,0)),"Other")</f>
        <v>Technology</v>
      </c>
      <c r="E14" s="17">
        <f>(L14-J14)/30.5</f>
        <v>0.12621083826548993</v>
      </c>
      <c r="F14" s="17" t="str">
        <f>IF(ISBLANK(T14),"Stock Holding","SWAP Contract")</f>
        <v>Stock Holding</v>
      </c>
      <c r="G14" s="17" t="b">
        <f t="shared" ref="G14:G77" si="0">ISNUMBER(I14)</f>
        <v>1</v>
      </c>
      <c r="H14" s="130" t="s">
        <v>32</v>
      </c>
      <c r="I14" s="132">
        <v>1.7100000000000001E-2</v>
      </c>
      <c r="J14" s="133">
        <v>45448.645870578701</v>
      </c>
      <c r="K14" s="132">
        <v>1184.19</v>
      </c>
      <c r="L14" s="133">
        <v>45452.495301145798</v>
      </c>
      <c r="M14" s="132">
        <v>1184.19</v>
      </c>
      <c r="N14" s="130" t="s">
        <v>33</v>
      </c>
      <c r="O14" s="130" t="s">
        <v>34</v>
      </c>
      <c r="P14" s="134">
        <v>20.25</v>
      </c>
      <c r="Q14" s="134">
        <v>20.25</v>
      </c>
      <c r="R14" s="130"/>
      <c r="S14" s="130"/>
      <c r="T14" s="130"/>
      <c r="U14" s="135">
        <v>0</v>
      </c>
      <c r="V14" s="135">
        <v>0</v>
      </c>
      <c r="W14" s="135">
        <v>0</v>
      </c>
      <c r="X14" s="136">
        <v>0</v>
      </c>
      <c r="Y14" s="137" t="s">
        <v>35</v>
      </c>
      <c r="Z14" s="138"/>
      <c r="AA14" s="138"/>
    </row>
    <row r="15" spans="2:28" ht="21" x14ac:dyDescent="0.25">
      <c r="B15" s="139">
        <v>1393281432</v>
      </c>
      <c r="C15" s="140" t="s">
        <v>49</v>
      </c>
      <c r="D15" s="17" t="str">
        <f>IFERROR(INDEX([1]Positions!$A:$A,MATCH(C15,[1]Positions!$C:$C,0)),"Other")</f>
        <v>MISC</v>
      </c>
      <c r="E15" s="17">
        <f t="shared" ref="E15:E78" si="1">(L15-J15)/30.5</f>
        <v>7.9373330293895043E-3</v>
      </c>
      <c r="F15" s="17" t="str">
        <f t="shared" ref="F15:F78" si="2">IF(ISBLANK(T15),"Stock Holding","SWAP Contract")</f>
        <v>Stock Holding</v>
      </c>
      <c r="G15" s="17" t="b">
        <f t="shared" si="0"/>
        <v>1</v>
      </c>
      <c r="H15" s="139" t="s">
        <v>32</v>
      </c>
      <c r="I15" s="141">
        <v>0.63200000000000001</v>
      </c>
      <c r="J15" s="142">
        <v>45496.375665532403</v>
      </c>
      <c r="K15" s="141">
        <v>5.9809999999999999</v>
      </c>
      <c r="L15" s="142">
        <v>45496.6177541898</v>
      </c>
      <c r="M15" s="141">
        <v>5.9669999999999996</v>
      </c>
      <c r="N15" s="139" t="s">
        <v>40</v>
      </c>
      <c r="O15" s="139" t="s">
        <v>40</v>
      </c>
      <c r="P15" s="143">
        <v>3.78</v>
      </c>
      <c r="Q15" s="143">
        <v>3.77</v>
      </c>
      <c r="R15" s="139"/>
      <c r="S15" s="139"/>
      <c r="T15" s="139"/>
      <c r="U15" s="144">
        <v>0</v>
      </c>
      <c r="V15" s="144">
        <v>0</v>
      </c>
      <c r="W15" s="144">
        <v>0</v>
      </c>
      <c r="X15" s="145">
        <v>-0.01</v>
      </c>
      <c r="Y15" s="146" t="s">
        <v>0</v>
      </c>
      <c r="Z15" s="138"/>
      <c r="AA15" s="138"/>
    </row>
    <row r="16" spans="2:28" ht="21" x14ac:dyDescent="0.25">
      <c r="B16" s="130">
        <v>1393281260</v>
      </c>
      <c r="C16" s="131" t="s">
        <v>50</v>
      </c>
      <c r="D16" s="17" t="str">
        <f>IFERROR(INDEX([1]Positions!$A:$A,MATCH(C16,[1]Positions!$C:$C,0)),"Other")</f>
        <v>MISC</v>
      </c>
      <c r="E16" s="17">
        <f t="shared" si="1"/>
        <v>7.9381754722056882E-3</v>
      </c>
      <c r="F16" s="17" t="str">
        <f t="shared" si="2"/>
        <v>Stock Holding</v>
      </c>
      <c r="G16" s="17" t="b">
        <f t="shared" si="0"/>
        <v>1</v>
      </c>
      <c r="H16" s="130" t="s">
        <v>32</v>
      </c>
      <c r="I16" s="132">
        <v>0.56120000000000003</v>
      </c>
      <c r="J16" s="133">
        <v>45496.375640161998</v>
      </c>
      <c r="K16" s="132">
        <v>5.8120000000000003</v>
      </c>
      <c r="L16" s="133">
        <v>45496.6177545139</v>
      </c>
      <c r="M16" s="132">
        <v>5.81</v>
      </c>
      <c r="N16" s="130" t="s">
        <v>40</v>
      </c>
      <c r="O16" s="130" t="s">
        <v>40</v>
      </c>
      <c r="P16" s="134">
        <v>3.26</v>
      </c>
      <c r="Q16" s="134">
        <v>3.26</v>
      </c>
      <c r="R16" s="130"/>
      <c r="S16" s="130"/>
      <c r="T16" s="130"/>
      <c r="U16" s="135">
        <v>0</v>
      </c>
      <c r="V16" s="135">
        <v>0</v>
      </c>
      <c r="W16" s="135">
        <v>0</v>
      </c>
      <c r="X16" s="136">
        <v>0</v>
      </c>
      <c r="Y16" s="137" t="s">
        <v>0</v>
      </c>
      <c r="Z16" s="138"/>
      <c r="AA16" s="138"/>
    </row>
    <row r="17" spans="2:27" ht="21" x14ac:dyDescent="0.25">
      <c r="B17" s="139">
        <v>1342063955</v>
      </c>
      <c r="C17" s="140" t="s">
        <v>36</v>
      </c>
      <c r="D17" s="17" t="str">
        <f>IFERROR(INDEX([1]Positions!$A:$A,MATCH(C17,[1]Positions!$C:$C,0)),"Other")</f>
        <v>MISC</v>
      </c>
      <c r="E17" s="17">
        <f t="shared" si="1"/>
        <v>0.23895908318355977</v>
      </c>
      <c r="F17" s="17" t="str">
        <f t="shared" si="2"/>
        <v>Stock Holding</v>
      </c>
      <c r="G17" s="17" t="b">
        <f t="shared" si="0"/>
        <v>1</v>
      </c>
      <c r="H17" s="139" t="s">
        <v>32</v>
      </c>
      <c r="I17" s="141">
        <v>0.41389999999999999</v>
      </c>
      <c r="J17" s="142">
        <v>45446.375348333298</v>
      </c>
      <c r="K17" s="141">
        <v>33.545000000000002</v>
      </c>
      <c r="L17" s="142">
        <v>45453.663600370397</v>
      </c>
      <c r="M17" s="141">
        <v>32.604999999999997</v>
      </c>
      <c r="N17" s="139" t="s">
        <v>33</v>
      </c>
      <c r="O17" s="139" t="s">
        <v>33</v>
      </c>
      <c r="P17" s="143">
        <v>15.15</v>
      </c>
      <c r="Q17" s="143">
        <v>14.42</v>
      </c>
      <c r="R17" s="139"/>
      <c r="S17" s="139"/>
      <c r="T17" s="139"/>
      <c r="U17" s="144">
        <v>0</v>
      </c>
      <c r="V17" s="144">
        <v>0</v>
      </c>
      <c r="W17" s="144">
        <v>0</v>
      </c>
      <c r="X17" s="145">
        <v>-0.73</v>
      </c>
      <c r="Y17" s="146"/>
      <c r="Z17" s="138"/>
      <c r="AA17" s="138"/>
    </row>
    <row r="18" spans="2:27" ht="21" x14ac:dyDescent="0.25">
      <c r="B18" s="130">
        <v>1393281260</v>
      </c>
      <c r="C18" s="131" t="s">
        <v>50</v>
      </c>
      <c r="D18" s="17" t="str">
        <f>IFERROR(INDEX([1]Positions!$A:$A,MATCH(C18,[1]Positions!$C:$C,0)),"Other")</f>
        <v>MISC</v>
      </c>
      <c r="E18" s="17">
        <f t="shared" si="1"/>
        <v>4.1921144127836221E-2</v>
      </c>
      <c r="F18" s="17" t="str">
        <f t="shared" si="2"/>
        <v>Stock Holding</v>
      </c>
      <c r="G18" s="17" t="b">
        <f t="shared" si="0"/>
        <v>1</v>
      </c>
      <c r="H18" s="130" t="s">
        <v>32</v>
      </c>
      <c r="I18" s="132">
        <v>0.55500000000000005</v>
      </c>
      <c r="J18" s="133">
        <v>45496.375640161998</v>
      </c>
      <c r="K18" s="132">
        <v>5.8120000000000003</v>
      </c>
      <c r="L18" s="133">
        <v>45497.654235057897</v>
      </c>
      <c r="M18" s="132">
        <v>5.8010000000000002</v>
      </c>
      <c r="N18" s="130" t="s">
        <v>40</v>
      </c>
      <c r="O18" s="130" t="s">
        <v>40</v>
      </c>
      <c r="P18" s="134">
        <v>3.23</v>
      </c>
      <c r="Q18" s="134">
        <v>3.22</v>
      </c>
      <c r="R18" s="130"/>
      <c r="S18" s="130"/>
      <c r="T18" s="130"/>
      <c r="U18" s="135">
        <v>0</v>
      </c>
      <c r="V18" s="135">
        <v>0</v>
      </c>
      <c r="W18" s="135">
        <v>0</v>
      </c>
      <c r="X18" s="147">
        <v>-0.01</v>
      </c>
      <c r="Y18" s="137" t="s">
        <v>0</v>
      </c>
      <c r="Z18" s="138"/>
      <c r="AA18" s="138"/>
    </row>
    <row r="19" spans="2:27" ht="21" x14ac:dyDescent="0.25">
      <c r="B19" s="139">
        <v>1393281432</v>
      </c>
      <c r="C19" s="140" t="s">
        <v>49</v>
      </c>
      <c r="D19" s="17" t="str">
        <f>IFERROR(INDEX([1]Positions!$A:$A,MATCH(C19,[1]Positions!$C:$C,0)),"Other")</f>
        <v>MISC</v>
      </c>
      <c r="E19" s="17">
        <f t="shared" si="1"/>
        <v>4.1920327111271395E-2</v>
      </c>
      <c r="F19" s="17" t="str">
        <f t="shared" si="2"/>
        <v>Stock Holding</v>
      </c>
      <c r="G19" s="17" t="b">
        <f t="shared" si="0"/>
        <v>1</v>
      </c>
      <c r="H19" s="139" t="s">
        <v>32</v>
      </c>
      <c r="I19" s="141">
        <v>0.43440000000000001</v>
      </c>
      <c r="J19" s="142">
        <v>45496.375665532403</v>
      </c>
      <c r="K19" s="141">
        <v>5.9809999999999999</v>
      </c>
      <c r="L19" s="142">
        <v>45497.654235509297</v>
      </c>
      <c r="M19" s="141">
        <v>5.968</v>
      </c>
      <c r="N19" s="139" t="s">
        <v>40</v>
      </c>
      <c r="O19" s="139" t="s">
        <v>40</v>
      </c>
      <c r="P19" s="143">
        <v>2.6</v>
      </c>
      <c r="Q19" s="143">
        <v>2.59</v>
      </c>
      <c r="R19" s="139"/>
      <c r="S19" s="139"/>
      <c r="T19" s="139"/>
      <c r="U19" s="144">
        <v>0</v>
      </c>
      <c r="V19" s="144">
        <v>0</v>
      </c>
      <c r="W19" s="144">
        <v>0</v>
      </c>
      <c r="X19" s="145">
        <v>-0.01</v>
      </c>
      <c r="Y19" s="146" t="s">
        <v>0</v>
      </c>
      <c r="Z19" s="138"/>
      <c r="AA19" s="138"/>
    </row>
    <row r="20" spans="2:27" ht="21" x14ac:dyDescent="0.25">
      <c r="B20" s="130">
        <v>1393281260</v>
      </c>
      <c r="C20" s="131" t="s">
        <v>50</v>
      </c>
      <c r="D20" s="17" t="str">
        <f>IFERROR(INDEX([1]Positions!$A:$A,MATCH(C20,[1]Positions!$C:$C,0)),"Other")</f>
        <v>MISC</v>
      </c>
      <c r="E20" s="17">
        <f t="shared" si="1"/>
        <v>4.1921401413092696E-2</v>
      </c>
      <c r="F20" s="17" t="str">
        <f t="shared" si="2"/>
        <v>Stock Holding</v>
      </c>
      <c r="G20" s="17" t="b">
        <f t="shared" si="0"/>
        <v>1</v>
      </c>
      <c r="H20" s="130" t="s">
        <v>32</v>
      </c>
      <c r="I20" s="132">
        <v>1</v>
      </c>
      <c r="J20" s="133">
        <v>45496.375640161998</v>
      </c>
      <c r="K20" s="132">
        <v>5.8120000000000003</v>
      </c>
      <c r="L20" s="133">
        <v>45497.654242905097</v>
      </c>
      <c r="M20" s="132">
        <v>5.8140000000000001</v>
      </c>
      <c r="N20" s="130" t="s">
        <v>40</v>
      </c>
      <c r="O20" s="130" t="s">
        <v>40</v>
      </c>
      <c r="P20" s="134">
        <v>5.81</v>
      </c>
      <c r="Q20" s="134">
        <v>5.81</v>
      </c>
      <c r="R20" s="130"/>
      <c r="S20" s="130"/>
      <c r="T20" s="130"/>
      <c r="U20" s="135">
        <v>0</v>
      </c>
      <c r="V20" s="135">
        <v>0</v>
      </c>
      <c r="W20" s="135">
        <v>0</v>
      </c>
      <c r="X20" s="136">
        <v>0</v>
      </c>
      <c r="Y20" s="137" t="s">
        <v>0</v>
      </c>
      <c r="Z20" s="138"/>
      <c r="AA20" s="138"/>
    </row>
    <row r="21" spans="2:27" ht="21" x14ac:dyDescent="0.25">
      <c r="B21" s="139">
        <v>1393281432</v>
      </c>
      <c r="C21" s="140" t="s">
        <v>49</v>
      </c>
      <c r="D21" s="17" t="str">
        <f>IFERROR(INDEX([1]Positions!$A:$A,MATCH(C21,[1]Positions!$C:$C,0)),"Other")</f>
        <v>MISC</v>
      </c>
      <c r="E21" s="17">
        <f t="shared" si="1"/>
        <v>4.1920624999949696E-2</v>
      </c>
      <c r="F21" s="17" t="str">
        <f t="shared" si="2"/>
        <v>Stock Holding</v>
      </c>
      <c r="G21" s="17" t="b">
        <f t="shared" si="0"/>
        <v>1</v>
      </c>
      <c r="H21" s="139" t="s">
        <v>32</v>
      </c>
      <c r="I21" s="141">
        <v>1</v>
      </c>
      <c r="J21" s="142">
        <v>45496.375665532403</v>
      </c>
      <c r="K21" s="141">
        <v>5.9809999999999999</v>
      </c>
      <c r="L21" s="142">
        <v>45497.654244594902</v>
      </c>
      <c r="M21" s="141">
        <v>5.9779999999999998</v>
      </c>
      <c r="N21" s="139" t="s">
        <v>40</v>
      </c>
      <c r="O21" s="139" t="s">
        <v>40</v>
      </c>
      <c r="P21" s="143">
        <v>5.98</v>
      </c>
      <c r="Q21" s="143">
        <v>5.98</v>
      </c>
      <c r="R21" s="139"/>
      <c r="S21" s="139"/>
      <c r="T21" s="139"/>
      <c r="U21" s="144">
        <v>0</v>
      </c>
      <c r="V21" s="144">
        <v>0</v>
      </c>
      <c r="W21" s="144">
        <v>0</v>
      </c>
      <c r="X21" s="148">
        <v>0</v>
      </c>
      <c r="Y21" s="146" t="s">
        <v>0</v>
      </c>
      <c r="Z21" s="138"/>
      <c r="AA21" s="138"/>
    </row>
    <row r="22" spans="2:27" ht="21" x14ac:dyDescent="0.25">
      <c r="B22" s="130">
        <v>1350877137</v>
      </c>
      <c r="C22" s="131" t="s">
        <v>37</v>
      </c>
      <c r="D22" s="17" t="str">
        <f>IFERROR(INDEX([1]Positions!$A:$A,MATCH(C22,[1]Positions!$C:$C,0)),"Other")</f>
        <v>Other</v>
      </c>
      <c r="E22" s="17">
        <f t="shared" si="1"/>
        <v>1.3678240662318516E-4</v>
      </c>
      <c r="F22" s="17" t="str">
        <f t="shared" si="2"/>
        <v>SWAP Contract</v>
      </c>
      <c r="G22" s="17" t="b">
        <f t="shared" si="0"/>
        <v>1</v>
      </c>
      <c r="H22" s="130" t="s">
        <v>32</v>
      </c>
      <c r="I22" s="132">
        <v>0.01</v>
      </c>
      <c r="J22" s="133">
        <v>45453.9055522454</v>
      </c>
      <c r="K22" s="132">
        <v>38900</v>
      </c>
      <c r="L22" s="133">
        <v>45453.909724108802</v>
      </c>
      <c r="M22" s="132">
        <v>38869</v>
      </c>
      <c r="N22" s="130" t="s">
        <v>33</v>
      </c>
      <c r="O22" s="130" t="s">
        <v>38</v>
      </c>
      <c r="P22" s="130"/>
      <c r="Q22" s="130"/>
      <c r="R22" s="132">
        <v>38874</v>
      </c>
      <c r="S22" s="132">
        <v>38933</v>
      </c>
      <c r="T22" s="130">
        <v>9.73</v>
      </c>
      <c r="U22" s="135">
        <v>0</v>
      </c>
      <c r="V22" s="135">
        <v>0</v>
      </c>
      <c r="W22" s="135">
        <v>0</v>
      </c>
      <c r="X22" s="147">
        <v>-1.55</v>
      </c>
      <c r="Y22" s="137" t="s">
        <v>39</v>
      </c>
      <c r="Z22" s="138"/>
      <c r="AA22" s="138"/>
    </row>
    <row r="23" spans="2:27" ht="21" x14ac:dyDescent="0.25">
      <c r="B23" s="139">
        <v>1393281260</v>
      </c>
      <c r="C23" s="140" t="s">
        <v>50</v>
      </c>
      <c r="D23" s="17" t="str">
        <f>IFERROR(INDEX([1]Positions!$A:$A,MATCH(C23,[1]Positions!$C:$C,0)),"Other")</f>
        <v>MISC</v>
      </c>
      <c r="E23" s="17">
        <f t="shared" si="1"/>
        <v>0.27081714405250723</v>
      </c>
      <c r="F23" s="17" t="str">
        <f t="shared" si="2"/>
        <v>Stock Holding</v>
      </c>
      <c r="G23" s="17" t="b">
        <f t="shared" si="0"/>
        <v>1</v>
      </c>
      <c r="H23" s="139" t="s">
        <v>32</v>
      </c>
      <c r="I23" s="141">
        <v>0.42059999999999997</v>
      </c>
      <c r="J23" s="142">
        <v>45496.375640161998</v>
      </c>
      <c r="K23" s="141">
        <v>5.8120000000000003</v>
      </c>
      <c r="L23" s="142">
        <v>45504.635563055599</v>
      </c>
      <c r="M23" s="141">
        <v>5.8259999999999996</v>
      </c>
      <c r="N23" s="139" t="s">
        <v>40</v>
      </c>
      <c r="O23" s="139" t="s">
        <v>40</v>
      </c>
      <c r="P23" s="143">
        <v>2.44</v>
      </c>
      <c r="Q23" s="143">
        <v>2.4500000000000002</v>
      </c>
      <c r="R23" s="139"/>
      <c r="S23" s="139"/>
      <c r="T23" s="139"/>
      <c r="U23" s="144">
        <v>0</v>
      </c>
      <c r="V23" s="144">
        <v>0</v>
      </c>
      <c r="W23" s="144">
        <v>0</v>
      </c>
      <c r="X23" s="148">
        <v>0.01</v>
      </c>
      <c r="Y23" s="146" t="s">
        <v>0</v>
      </c>
      <c r="Z23" s="138"/>
      <c r="AA23" s="138"/>
    </row>
    <row r="24" spans="2:27" ht="21" x14ac:dyDescent="0.25">
      <c r="B24" s="130">
        <v>1393281432</v>
      </c>
      <c r="C24" s="131" t="s">
        <v>49</v>
      </c>
      <c r="D24" s="17" t="str">
        <f>IFERROR(INDEX([1]Positions!$A:$A,MATCH(C24,[1]Positions!$C:$C,0)),"Other")</f>
        <v>MISC</v>
      </c>
      <c r="E24" s="17">
        <f t="shared" si="1"/>
        <v>0.27081632475725559</v>
      </c>
      <c r="F24" s="17" t="str">
        <f t="shared" si="2"/>
        <v>Stock Holding</v>
      </c>
      <c r="G24" s="17" t="b">
        <f t="shared" si="0"/>
        <v>1</v>
      </c>
      <c r="H24" s="130" t="s">
        <v>32</v>
      </c>
      <c r="I24" s="132">
        <v>0.40329999999999999</v>
      </c>
      <c r="J24" s="133">
        <v>45496.375665532403</v>
      </c>
      <c r="K24" s="132">
        <v>5.9809999999999999</v>
      </c>
      <c r="L24" s="133">
        <v>45504.6355634375</v>
      </c>
      <c r="M24" s="132">
        <v>5.98</v>
      </c>
      <c r="N24" s="130" t="s">
        <v>40</v>
      </c>
      <c r="O24" s="130" t="s">
        <v>40</v>
      </c>
      <c r="P24" s="134">
        <v>2.41</v>
      </c>
      <c r="Q24" s="134">
        <v>2.41</v>
      </c>
      <c r="R24" s="130"/>
      <c r="S24" s="130"/>
      <c r="T24" s="130"/>
      <c r="U24" s="135">
        <v>0</v>
      </c>
      <c r="V24" s="135">
        <v>0</v>
      </c>
      <c r="W24" s="135">
        <v>0</v>
      </c>
      <c r="X24" s="136">
        <v>0</v>
      </c>
      <c r="Y24" s="137" t="s">
        <v>0</v>
      </c>
      <c r="Z24" s="138"/>
      <c r="AA24" s="138"/>
    </row>
    <row r="25" spans="2:27" ht="21" x14ac:dyDescent="0.25">
      <c r="B25" s="139">
        <v>1357581812</v>
      </c>
      <c r="C25" s="140" t="s">
        <v>508</v>
      </c>
      <c r="D25" s="17" t="str">
        <f>IFERROR(INDEX([1]Positions!$A:$A,MATCH(C25,[1]Positions!$C:$C,0)),"Other")</f>
        <v>Consumer Defensive</v>
      </c>
      <c r="E25" s="17">
        <f t="shared" si="1"/>
        <v>3.0362018065328601E-3</v>
      </c>
      <c r="F25" s="17" t="str">
        <f t="shared" si="2"/>
        <v>Stock Holding</v>
      </c>
      <c r="G25" s="17" t="b">
        <f t="shared" si="0"/>
        <v>1</v>
      </c>
      <c r="H25" s="139" t="s">
        <v>32</v>
      </c>
      <c r="I25" s="141">
        <v>0.123</v>
      </c>
      <c r="J25" s="142">
        <v>45460.6458710648</v>
      </c>
      <c r="K25" s="141">
        <v>1.65</v>
      </c>
      <c r="L25" s="142">
        <v>45460.7384752199</v>
      </c>
      <c r="M25" s="141">
        <v>165.24</v>
      </c>
      <c r="N25" s="139" t="s">
        <v>33</v>
      </c>
      <c r="O25" s="139" t="s">
        <v>34</v>
      </c>
      <c r="P25" s="143">
        <v>0.2</v>
      </c>
      <c r="Q25" s="143">
        <v>20.32</v>
      </c>
      <c r="R25" s="139"/>
      <c r="S25" s="139"/>
      <c r="T25" s="139"/>
      <c r="U25" s="144">
        <v>0</v>
      </c>
      <c r="V25" s="144">
        <v>0</v>
      </c>
      <c r="W25" s="144">
        <v>0</v>
      </c>
      <c r="X25" s="148">
        <v>0</v>
      </c>
      <c r="Y25" s="146"/>
      <c r="Z25" s="138"/>
      <c r="AA25" s="138"/>
    </row>
    <row r="26" spans="2:27" ht="21" x14ac:dyDescent="0.25">
      <c r="B26" s="130">
        <v>1393281432</v>
      </c>
      <c r="C26" s="131" t="s">
        <v>49</v>
      </c>
      <c r="D26" s="17" t="str">
        <f>IFERROR(INDEX([1]Positions!$A:$A,MATCH(C26,[1]Positions!$C:$C,0)),"Other")</f>
        <v>MISC</v>
      </c>
      <c r="E26" s="17">
        <f t="shared" si="1"/>
        <v>0.27101363122275246</v>
      </c>
      <c r="F26" s="17" t="str">
        <f t="shared" si="2"/>
        <v>Stock Holding</v>
      </c>
      <c r="G26" s="17" t="b">
        <f t="shared" si="0"/>
        <v>1</v>
      </c>
      <c r="H26" s="130" t="s">
        <v>32</v>
      </c>
      <c r="I26" s="132">
        <v>0.42009999999999997</v>
      </c>
      <c r="J26" s="133">
        <v>45496.375665532403</v>
      </c>
      <c r="K26" s="132">
        <v>5.9809999999999999</v>
      </c>
      <c r="L26" s="133">
        <v>45504.641581284697</v>
      </c>
      <c r="M26" s="132">
        <v>5.98</v>
      </c>
      <c r="N26" s="130" t="s">
        <v>40</v>
      </c>
      <c r="O26" s="130" t="s">
        <v>40</v>
      </c>
      <c r="P26" s="134">
        <v>2.5099999999999998</v>
      </c>
      <c r="Q26" s="134">
        <v>2.5099999999999998</v>
      </c>
      <c r="R26" s="130"/>
      <c r="S26" s="130"/>
      <c r="T26" s="130"/>
      <c r="U26" s="135">
        <v>0</v>
      </c>
      <c r="V26" s="135">
        <v>0</v>
      </c>
      <c r="W26" s="135">
        <v>0</v>
      </c>
      <c r="X26" s="136">
        <v>0</v>
      </c>
      <c r="Y26" s="137" t="s">
        <v>0</v>
      </c>
      <c r="Z26" s="138"/>
      <c r="AA26" s="138"/>
    </row>
    <row r="27" spans="2:27" ht="21" x14ac:dyDescent="0.25">
      <c r="B27" s="139">
        <v>1393281432</v>
      </c>
      <c r="C27" s="140" t="s">
        <v>49</v>
      </c>
      <c r="D27" s="17" t="str">
        <f>IFERROR(INDEX([1]Positions!$A:$A,MATCH(C27,[1]Positions!$C:$C,0)),"Other")</f>
        <v>MISC</v>
      </c>
      <c r="E27" s="17">
        <f t="shared" si="1"/>
        <v>7.540969228901572</v>
      </c>
      <c r="F27" s="17" t="str">
        <f t="shared" si="2"/>
        <v>Stock Holding</v>
      </c>
      <c r="G27" s="17" t="b">
        <f t="shared" si="0"/>
        <v>1</v>
      </c>
      <c r="H27" s="139" t="s">
        <v>32</v>
      </c>
      <c r="I27" s="141">
        <v>1</v>
      </c>
      <c r="J27" s="142">
        <v>45496.375665532403</v>
      </c>
      <c r="K27" s="141">
        <v>5.9809999999999999</v>
      </c>
      <c r="L27" s="142">
        <v>45726.375227013901</v>
      </c>
      <c r="M27" s="141">
        <v>6.1859999999999999</v>
      </c>
      <c r="N27" s="139" t="s">
        <v>40</v>
      </c>
      <c r="O27" s="139" t="s">
        <v>40</v>
      </c>
      <c r="P27" s="143">
        <v>5.98</v>
      </c>
      <c r="Q27" s="143">
        <v>6.19</v>
      </c>
      <c r="R27" s="139"/>
      <c r="S27" s="139"/>
      <c r="T27" s="139"/>
      <c r="U27" s="144">
        <v>0</v>
      </c>
      <c r="V27" s="144">
        <v>0</v>
      </c>
      <c r="W27" s="144">
        <v>0</v>
      </c>
      <c r="X27" s="148">
        <v>0.21</v>
      </c>
      <c r="Y27" s="146" t="s">
        <v>0</v>
      </c>
      <c r="Z27" s="138"/>
      <c r="AA27" s="138"/>
    </row>
    <row r="28" spans="2:27" ht="21" x14ac:dyDescent="0.25">
      <c r="B28" s="130">
        <v>1393281260</v>
      </c>
      <c r="C28" s="131" t="s">
        <v>50</v>
      </c>
      <c r="D28" s="17" t="str">
        <f>IFERROR(INDEX([1]Positions!$A:$A,MATCH(C28,[1]Positions!$C:$C,0)),"Other")</f>
        <v>MISC</v>
      </c>
      <c r="E28" s="17">
        <f t="shared" si="1"/>
        <v>7.5409712370985558</v>
      </c>
      <c r="F28" s="17" t="str">
        <f t="shared" si="2"/>
        <v>Stock Holding</v>
      </c>
      <c r="G28" s="17" t="b">
        <f t="shared" si="0"/>
        <v>1</v>
      </c>
      <c r="H28" s="130" t="s">
        <v>32</v>
      </c>
      <c r="I28" s="132">
        <v>1.4632000000000001</v>
      </c>
      <c r="J28" s="133">
        <v>45496.375640161998</v>
      </c>
      <c r="K28" s="132">
        <v>5.8120000000000003</v>
      </c>
      <c r="L28" s="133">
        <v>45726.375262893504</v>
      </c>
      <c r="M28" s="132">
        <v>6.02</v>
      </c>
      <c r="N28" s="130" t="s">
        <v>40</v>
      </c>
      <c r="O28" s="130" t="s">
        <v>40</v>
      </c>
      <c r="P28" s="134">
        <v>8.5</v>
      </c>
      <c r="Q28" s="134">
        <v>8.81</v>
      </c>
      <c r="R28" s="130"/>
      <c r="S28" s="130"/>
      <c r="T28" s="130"/>
      <c r="U28" s="135">
        <v>0</v>
      </c>
      <c r="V28" s="135">
        <v>0</v>
      </c>
      <c r="W28" s="135">
        <v>0</v>
      </c>
      <c r="X28" s="136">
        <v>0.3</v>
      </c>
      <c r="Y28" s="137" t="s">
        <v>0</v>
      </c>
      <c r="Z28" s="138"/>
      <c r="AA28" s="138"/>
    </row>
    <row r="29" spans="2:27" ht="21" x14ac:dyDescent="0.25">
      <c r="B29" s="139">
        <v>1393287040</v>
      </c>
      <c r="C29" s="140" t="s">
        <v>50</v>
      </c>
      <c r="D29" s="17" t="str">
        <f>IFERROR(INDEX([1]Positions!$A:$A,MATCH(C29,[1]Positions!$C:$C,0)),"Other")</f>
        <v>MISC</v>
      </c>
      <c r="E29" s="17">
        <f t="shared" si="1"/>
        <v>7.5409085735410057</v>
      </c>
      <c r="F29" s="17" t="str">
        <f t="shared" si="2"/>
        <v>Stock Holding</v>
      </c>
      <c r="G29" s="17" t="b">
        <f t="shared" si="0"/>
        <v>1</v>
      </c>
      <c r="H29" s="139" t="s">
        <v>32</v>
      </c>
      <c r="I29" s="141">
        <v>0.25030000000000002</v>
      </c>
      <c r="J29" s="142">
        <v>45496.377551400503</v>
      </c>
      <c r="K29" s="141">
        <v>5.8109999999999999</v>
      </c>
      <c r="L29" s="142">
        <v>45726.375262893504</v>
      </c>
      <c r="M29" s="141">
        <v>6.02</v>
      </c>
      <c r="N29" s="139" t="s">
        <v>40</v>
      </c>
      <c r="O29" s="139" t="s">
        <v>40</v>
      </c>
      <c r="P29" s="143">
        <v>1.45</v>
      </c>
      <c r="Q29" s="143">
        <v>1.51</v>
      </c>
      <c r="R29" s="139"/>
      <c r="S29" s="139"/>
      <c r="T29" s="139"/>
      <c r="U29" s="144">
        <v>0</v>
      </c>
      <c r="V29" s="144">
        <v>0</v>
      </c>
      <c r="W29" s="144">
        <v>0</v>
      </c>
      <c r="X29" s="148">
        <v>0.06</v>
      </c>
      <c r="Y29" s="146" t="s">
        <v>0</v>
      </c>
      <c r="Z29" s="138"/>
      <c r="AA29" s="138"/>
    </row>
    <row r="30" spans="2:27" ht="21" x14ac:dyDescent="0.25">
      <c r="B30" s="130">
        <v>1403180431</v>
      </c>
      <c r="C30" s="131" t="s">
        <v>50</v>
      </c>
      <c r="D30" s="17" t="str">
        <f>IFERROR(INDEX([1]Positions!$A:$A,MATCH(C30,[1]Positions!$C:$C,0)),"Other")</f>
        <v>MISC</v>
      </c>
      <c r="E30" s="17">
        <f t="shared" si="1"/>
        <v>7.2699104716918299</v>
      </c>
      <c r="F30" s="17" t="str">
        <f t="shared" si="2"/>
        <v>Stock Holding</v>
      </c>
      <c r="G30" s="17" t="b">
        <f t="shared" si="0"/>
        <v>1</v>
      </c>
      <c r="H30" s="130" t="s">
        <v>32</v>
      </c>
      <c r="I30" s="132">
        <v>0.27729999999999999</v>
      </c>
      <c r="J30" s="133">
        <v>45504.642993506903</v>
      </c>
      <c r="K30" s="132">
        <v>5.84</v>
      </c>
      <c r="L30" s="133">
        <v>45726.375262893504</v>
      </c>
      <c r="M30" s="132">
        <v>6.02</v>
      </c>
      <c r="N30" s="130" t="s">
        <v>40</v>
      </c>
      <c r="O30" s="130" t="s">
        <v>40</v>
      </c>
      <c r="P30" s="134">
        <v>1.62</v>
      </c>
      <c r="Q30" s="134">
        <v>1.67</v>
      </c>
      <c r="R30" s="130"/>
      <c r="S30" s="130"/>
      <c r="T30" s="130"/>
      <c r="U30" s="135">
        <v>0</v>
      </c>
      <c r="V30" s="135">
        <v>0</v>
      </c>
      <c r="W30" s="135">
        <v>0</v>
      </c>
      <c r="X30" s="136">
        <v>0.05</v>
      </c>
      <c r="Y30" s="137" t="s">
        <v>0</v>
      </c>
      <c r="Z30" s="138"/>
      <c r="AA30" s="138"/>
    </row>
    <row r="31" spans="2:27" ht="21" x14ac:dyDescent="0.25">
      <c r="B31" s="139">
        <v>1403180445</v>
      </c>
      <c r="C31" s="140" t="s">
        <v>50</v>
      </c>
      <c r="D31" s="17" t="str">
        <f>IFERROR(INDEX([1]Positions!$A:$A,MATCH(C31,[1]Positions!$C:$C,0)),"Other")</f>
        <v>MISC</v>
      </c>
      <c r="E31" s="17">
        <f t="shared" si="1"/>
        <v>7.269910201121391</v>
      </c>
      <c r="F31" s="17" t="str">
        <f t="shared" si="2"/>
        <v>Stock Holding</v>
      </c>
      <c r="G31" s="17" t="b">
        <f t="shared" si="0"/>
        <v>1</v>
      </c>
      <c r="H31" s="139" t="s">
        <v>32</v>
      </c>
      <c r="I31" s="141">
        <v>9.1999999999999998E-3</v>
      </c>
      <c r="J31" s="142">
        <v>45504.643001759301</v>
      </c>
      <c r="K31" s="141">
        <v>5.8360000000000003</v>
      </c>
      <c r="L31" s="142">
        <v>45726.375262893504</v>
      </c>
      <c r="M31" s="141">
        <v>6.02</v>
      </c>
      <c r="N31" s="139" t="s">
        <v>40</v>
      </c>
      <c r="O31" s="139" t="s">
        <v>40</v>
      </c>
      <c r="P31" s="143">
        <v>0.05</v>
      </c>
      <c r="Q31" s="143">
        <v>0.06</v>
      </c>
      <c r="R31" s="139"/>
      <c r="S31" s="139"/>
      <c r="T31" s="139"/>
      <c r="U31" s="144">
        <v>0</v>
      </c>
      <c r="V31" s="144">
        <v>0</v>
      </c>
      <c r="W31" s="144">
        <v>0</v>
      </c>
      <c r="X31" s="148">
        <v>0.01</v>
      </c>
      <c r="Y31" s="146" t="s">
        <v>0</v>
      </c>
      <c r="Z31" s="138"/>
      <c r="AA31" s="138"/>
    </row>
    <row r="32" spans="2:27" ht="21" x14ac:dyDescent="0.25">
      <c r="B32" s="130">
        <v>1343394966</v>
      </c>
      <c r="C32" s="131" t="s">
        <v>509</v>
      </c>
      <c r="D32" s="17" t="str">
        <f>IFERROR(INDEX([1]Positions!$A:$A,MATCH(C32,[1]Positions!$C:$C,0)),"Other")</f>
        <v>MISC</v>
      </c>
      <c r="E32" s="17">
        <f t="shared" si="1"/>
        <v>0.45839116309834338</v>
      </c>
      <c r="F32" s="17" t="str">
        <f t="shared" si="2"/>
        <v>Stock Holding</v>
      </c>
      <c r="G32" s="17" t="b">
        <f t="shared" si="0"/>
        <v>1</v>
      </c>
      <c r="H32" s="130" t="s">
        <v>32</v>
      </c>
      <c r="I32" s="132">
        <v>1</v>
      </c>
      <c r="J32" s="133">
        <v>45446.904104432899</v>
      </c>
      <c r="K32" s="132">
        <v>13.37</v>
      </c>
      <c r="L32" s="133">
        <v>45460.885034907398</v>
      </c>
      <c r="M32" s="132">
        <v>12.62</v>
      </c>
      <c r="N32" s="130" t="s">
        <v>33</v>
      </c>
      <c r="O32" s="130" t="s">
        <v>33</v>
      </c>
      <c r="P32" s="134">
        <v>13.37</v>
      </c>
      <c r="Q32" s="134">
        <v>12.62</v>
      </c>
      <c r="R32" s="130"/>
      <c r="S32" s="130"/>
      <c r="T32" s="130"/>
      <c r="U32" s="135">
        <v>0</v>
      </c>
      <c r="V32" s="135">
        <v>0</v>
      </c>
      <c r="W32" s="135">
        <v>0</v>
      </c>
      <c r="X32" s="147">
        <v>-0.75</v>
      </c>
      <c r="Y32" s="137"/>
      <c r="Z32" s="138"/>
      <c r="AA32" s="138"/>
    </row>
    <row r="33" spans="2:27" ht="21" x14ac:dyDescent="0.25">
      <c r="B33" s="139">
        <v>1393735509</v>
      </c>
      <c r="C33" s="140" t="s">
        <v>51</v>
      </c>
      <c r="D33" s="17" t="str">
        <f>IFERROR(INDEX([1]Positions!$A:$A,MATCH(C33,[1]Positions!$C:$C,0)),"Other")</f>
        <v>MISC</v>
      </c>
      <c r="E33" s="17">
        <f t="shared" si="1"/>
        <v>7.5330576984687481</v>
      </c>
      <c r="F33" s="17" t="str">
        <f t="shared" si="2"/>
        <v>Stock Holding</v>
      </c>
      <c r="G33" s="17" t="b">
        <f t="shared" si="0"/>
        <v>1</v>
      </c>
      <c r="H33" s="139" t="s">
        <v>32</v>
      </c>
      <c r="I33" s="141">
        <v>3.6600000000000001E-2</v>
      </c>
      <c r="J33" s="142">
        <v>45496.6177767361</v>
      </c>
      <c r="K33" s="141">
        <v>67.37</v>
      </c>
      <c r="L33" s="142">
        <v>45726.376036539397</v>
      </c>
      <c r="M33" s="141">
        <v>71.16</v>
      </c>
      <c r="N33" s="139" t="s">
        <v>40</v>
      </c>
      <c r="O33" s="139" t="s">
        <v>40</v>
      </c>
      <c r="P33" s="143">
        <v>2.4700000000000002</v>
      </c>
      <c r="Q33" s="143">
        <v>2.6</v>
      </c>
      <c r="R33" s="139"/>
      <c r="S33" s="139"/>
      <c r="T33" s="139"/>
      <c r="U33" s="144">
        <v>0</v>
      </c>
      <c r="V33" s="144">
        <v>0</v>
      </c>
      <c r="W33" s="144">
        <v>0</v>
      </c>
      <c r="X33" s="148">
        <v>0.13</v>
      </c>
      <c r="Y33" s="146"/>
      <c r="Z33" s="138"/>
      <c r="AA33" s="138"/>
    </row>
    <row r="34" spans="2:27" ht="21" x14ac:dyDescent="0.25">
      <c r="B34" s="130">
        <v>1395218355</v>
      </c>
      <c r="C34" s="131" t="s">
        <v>51</v>
      </c>
      <c r="D34" s="17" t="str">
        <f>IFERROR(INDEX([1]Positions!$A:$A,MATCH(C34,[1]Positions!$C:$C,0)),"Other")</f>
        <v>MISC</v>
      </c>
      <c r="E34" s="17">
        <f t="shared" si="1"/>
        <v>7.499075436022812</v>
      </c>
      <c r="F34" s="17" t="str">
        <f t="shared" si="2"/>
        <v>Stock Holding</v>
      </c>
      <c r="G34" s="17" t="b">
        <f t="shared" si="0"/>
        <v>1</v>
      </c>
      <c r="H34" s="130" t="s">
        <v>32</v>
      </c>
      <c r="I34" s="132">
        <v>7.3999999999999996E-2</v>
      </c>
      <c r="J34" s="133">
        <v>45497.654235740702</v>
      </c>
      <c r="K34" s="132">
        <v>67.13</v>
      </c>
      <c r="L34" s="133">
        <v>45726.376036539397</v>
      </c>
      <c r="M34" s="132">
        <v>71.16</v>
      </c>
      <c r="N34" s="130" t="s">
        <v>40</v>
      </c>
      <c r="O34" s="130" t="s">
        <v>40</v>
      </c>
      <c r="P34" s="134">
        <v>4.97</v>
      </c>
      <c r="Q34" s="134">
        <v>5.27</v>
      </c>
      <c r="R34" s="130"/>
      <c r="S34" s="130"/>
      <c r="T34" s="130"/>
      <c r="U34" s="135">
        <v>0</v>
      </c>
      <c r="V34" s="135">
        <v>0</v>
      </c>
      <c r="W34" s="135">
        <v>0</v>
      </c>
      <c r="X34" s="136">
        <v>0.3</v>
      </c>
      <c r="Y34" s="137"/>
      <c r="Z34" s="138"/>
      <c r="AA34" s="138"/>
    </row>
    <row r="35" spans="2:27" ht="21" x14ac:dyDescent="0.25">
      <c r="B35" s="139">
        <v>1403166009</v>
      </c>
      <c r="C35" s="140" t="s">
        <v>51</v>
      </c>
      <c r="D35" s="17" t="str">
        <f>IFERROR(INDEX([1]Positions!$A:$A,MATCH(C35,[1]Positions!$C:$C,0)),"Other")</f>
        <v>MISC</v>
      </c>
      <c r="E35" s="17">
        <f t="shared" si="1"/>
        <v>7.2701794315441068</v>
      </c>
      <c r="F35" s="17" t="str">
        <f t="shared" si="2"/>
        <v>Stock Holding</v>
      </c>
      <c r="G35" s="17" t="b">
        <f t="shared" si="0"/>
        <v>1</v>
      </c>
      <c r="H35" s="139" t="s">
        <v>32</v>
      </c>
      <c r="I35" s="141">
        <v>3.6200000000000003E-2</v>
      </c>
      <c r="J35" s="142">
        <v>45504.635563877302</v>
      </c>
      <c r="K35" s="141">
        <v>68.05</v>
      </c>
      <c r="L35" s="142">
        <v>45726.376036539397</v>
      </c>
      <c r="M35" s="141">
        <v>71.16</v>
      </c>
      <c r="N35" s="139" t="s">
        <v>40</v>
      </c>
      <c r="O35" s="139" t="s">
        <v>40</v>
      </c>
      <c r="P35" s="143">
        <v>2.46</v>
      </c>
      <c r="Q35" s="143">
        <v>2.58</v>
      </c>
      <c r="R35" s="139"/>
      <c r="S35" s="139"/>
      <c r="T35" s="139"/>
      <c r="U35" s="144">
        <v>0</v>
      </c>
      <c r="V35" s="144">
        <v>0</v>
      </c>
      <c r="W35" s="144">
        <v>0</v>
      </c>
      <c r="X35" s="148">
        <v>0.12</v>
      </c>
      <c r="Y35" s="146"/>
      <c r="Z35" s="138"/>
      <c r="AA35" s="138"/>
    </row>
    <row r="36" spans="2:27" ht="21" x14ac:dyDescent="0.25">
      <c r="B36" s="130">
        <v>1403177543</v>
      </c>
      <c r="C36" s="131" t="s">
        <v>51</v>
      </c>
      <c r="D36" s="17" t="str">
        <f>IFERROR(INDEX([1]Positions!$A:$A,MATCH(C36,[1]Positions!$C:$C,0)),"Other")</f>
        <v>MISC</v>
      </c>
      <c r="E36" s="17">
        <f t="shared" si="1"/>
        <v>7.2699821364622634</v>
      </c>
      <c r="F36" s="17" t="str">
        <f t="shared" si="2"/>
        <v>Stock Holding</v>
      </c>
      <c r="G36" s="17" t="b">
        <f t="shared" si="0"/>
        <v>1</v>
      </c>
      <c r="H36" s="130" t="s">
        <v>32</v>
      </c>
      <c r="I36" s="132">
        <v>3.6799999999999999E-2</v>
      </c>
      <c r="J36" s="133">
        <v>45504.641581377298</v>
      </c>
      <c r="K36" s="132">
        <v>68.045000000000002</v>
      </c>
      <c r="L36" s="133">
        <v>45726.376036539397</v>
      </c>
      <c r="M36" s="132">
        <v>71.16</v>
      </c>
      <c r="N36" s="130" t="s">
        <v>40</v>
      </c>
      <c r="O36" s="130" t="s">
        <v>40</v>
      </c>
      <c r="P36" s="134">
        <v>2.5</v>
      </c>
      <c r="Q36" s="134">
        <v>2.62</v>
      </c>
      <c r="R36" s="130"/>
      <c r="S36" s="130"/>
      <c r="T36" s="130"/>
      <c r="U36" s="135">
        <v>0</v>
      </c>
      <c r="V36" s="135">
        <v>0</v>
      </c>
      <c r="W36" s="135">
        <v>0</v>
      </c>
      <c r="X36" s="136">
        <v>0.12</v>
      </c>
      <c r="Y36" s="137"/>
      <c r="Z36" s="138"/>
      <c r="AA36" s="138"/>
    </row>
    <row r="37" spans="2:27" ht="21" x14ac:dyDescent="0.25">
      <c r="B37" s="139">
        <v>1403180429</v>
      </c>
      <c r="C37" s="140" t="s">
        <v>51</v>
      </c>
      <c r="D37" s="17" t="str">
        <f>IFERROR(INDEX([1]Positions!$A:$A,MATCH(C37,[1]Positions!$C:$C,0)),"Other")</f>
        <v>MISC</v>
      </c>
      <c r="E37" s="17">
        <f t="shared" si="1"/>
        <v>7.2699358409244876</v>
      </c>
      <c r="F37" s="17" t="str">
        <f t="shared" si="2"/>
        <v>Stock Holding</v>
      </c>
      <c r="G37" s="17" t="b">
        <f t="shared" si="0"/>
        <v>1</v>
      </c>
      <c r="H37" s="139" t="s">
        <v>32</v>
      </c>
      <c r="I37" s="141">
        <v>7.3300000000000004E-2</v>
      </c>
      <c r="J37" s="142">
        <v>45504.6429933912</v>
      </c>
      <c r="K37" s="141">
        <v>68.010000000000005</v>
      </c>
      <c r="L37" s="142">
        <v>45726.376036539397</v>
      </c>
      <c r="M37" s="141">
        <v>71.16</v>
      </c>
      <c r="N37" s="139" t="s">
        <v>40</v>
      </c>
      <c r="O37" s="139" t="s">
        <v>40</v>
      </c>
      <c r="P37" s="143">
        <v>4.99</v>
      </c>
      <c r="Q37" s="143">
        <v>5.22</v>
      </c>
      <c r="R37" s="139"/>
      <c r="S37" s="139"/>
      <c r="T37" s="139"/>
      <c r="U37" s="144">
        <v>0</v>
      </c>
      <c r="V37" s="144">
        <v>0</v>
      </c>
      <c r="W37" s="144">
        <v>0</v>
      </c>
      <c r="X37" s="148">
        <v>0.23</v>
      </c>
      <c r="Y37" s="146"/>
      <c r="Z37" s="138"/>
      <c r="AA37" s="138"/>
    </row>
    <row r="38" spans="2:27" ht="21" x14ac:dyDescent="0.25">
      <c r="B38" s="130">
        <v>1403180445</v>
      </c>
      <c r="C38" s="131" t="s">
        <v>50</v>
      </c>
      <c r="D38" s="17" t="str">
        <f>IFERROR(INDEX([1]Positions!$A:$A,MATCH(C38,[1]Positions!$C:$C,0)),"Other")</f>
        <v>MISC</v>
      </c>
      <c r="E38" s="17">
        <f t="shared" si="1"/>
        <v>7.2717807380819872</v>
      </c>
      <c r="F38" s="17" t="str">
        <f t="shared" si="2"/>
        <v>Stock Holding</v>
      </c>
      <c r="G38" s="17" t="b">
        <f t="shared" si="0"/>
        <v>1</v>
      </c>
      <c r="H38" s="130" t="s">
        <v>32</v>
      </c>
      <c r="I38" s="132">
        <v>0.99080000000000001</v>
      </c>
      <c r="J38" s="133">
        <v>45504.643001759301</v>
      </c>
      <c r="K38" s="132">
        <v>5.8360000000000003</v>
      </c>
      <c r="L38" s="133">
        <v>45726.432314270802</v>
      </c>
      <c r="M38" s="132">
        <v>6.0270000000000001</v>
      </c>
      <c r="N38" s="130" t="s">
        <v>40</v>
      </c>
      <c r="O38" s="130" t="s">
        <v>40</v>
      </c>
      <c r="P38" s="134">
        <v>5.78</v>
      </c>
      <c r="Q38" s="134">
        <v>5.97</v>
      </c>
      <c r="R38" s="130"/>
      <c r="S38" s="130"/>
      <c r="T38" s="130"/>
      <c r="U38" s="135">
        <v>0</v>
      </c>
      <c r="V38" s="135">
        <v>0</v>
      </c>
      <c r="W38" s="135">
        <v>0</v>
      </c>
      <c r="X38" s="136">
        <v>0.18</v>
      </c>
      <c r="Y38" s="137" t="s">
        <v>0</v>
      </c>
      <c r="Z38" s="138"/>
      <c r="AA38" s="138"/>
    </row>
    <row r="39" spans="2:27" ht="21" x14ac:dyDescent="0.25">
      <c r="B39" s="139">
        <v>1349530190</v>
      </c>
      <c r="C39" s="140" t="s">
        <v>507</v>
      </c>
      <c r="D39" s="17" t="str">
        <f>IFERROR(INDEX([1]Positions!$A:$A,MATCH(C39,[1]Positions!$C:$C,0)),"Other")</f>
        <v>Technology</v>
      </c>
      <c r="E39" s="17">
        <f t="shared" si="1"/>
        <v>0.39350061665253799</v>
      </c>
      <c r="F39" s="17" t="str">
        <f t="shared" si="2"/>
        <v>Stock Holding</v>
      </c>
      <c r="G39" s="17" t="b">
        <f t="shared" si="0"/>
        <v>1</v>
      </c>
      <c r="H39" s="139" t="s">
        <v>32</v>
      </c>
      <c r="I39" s="141">
        <v>0.12</v>
      </c>
      <c r="J39" s="142">
        <v>45452.644099756901</v>
      </c>
      <c r="K39" s="141">
        <v>118.42</v>
      </c>
      <c r="L39" s="142">
        <v>45464.645868564803</v>
      </c>
      <c r="M39" s="141">
        <v>126.75</v>
      </c>
      <c r="N39" s="139" t="s">
        <v>34</v>
      </c>
      <c r="O39" s="139" t="s">
        <v>33</v>
      </c>
      <c r="P39" s="143">
        <v>14.21</v>
      </c>
      <c r="Q39" s="143">
        <v>15.21</v>
      </c>
      <c r="R39" s="139"/>
      <c r="S39" s="139"/>
      <c r="T39" s="139"/>
      <c r="U39" s="144">
        <v>0</v>
      </c>
      <c r="V39" s="144">
        <v>0</v>
      </c>
      <c r="W39" s="144">
        <v>0</v>
      </c>
      <c r="X39" s="148">
        <v>1</v>
      </c>
      <c r="Y39" s="146" t="s">
        <v>741</v>
      </c>
      <c r="Z39" s="138"/>
      <c r="AA39" s="138"/>
    </row>
    <row r="40" spans="2:27" ht="21" x14ac:dyDescent="0.25">
      <c r="B40" s="130">
        <v>1393281432</v>
      </c>
      <c r="C40" s="131" t="s">
        <v>49</v>
      </c>
      <c r="D40" s="17" t="str">
        <f>IFERROR(INDEX([1]Positions!$A:$A,MATCH(C40,[1]Positions!$C:$C,0)),"Other")</f>
        <v>MISC</v>
      </c>
      <c r="E40" s="17">
        <f t="shared" si="1"/>
        <v>7.5741218795539949</v>
      </c>
      <c r="F40" s="17" t="str">
        <f t="shared" si="2"/>
        <v>Stock Holding</v>
      </c>
      <c r="G40" s="17" t="b">
        <f t="shared" si="0"/>
        <v>1</v>
      </c>
      <c r="H40" s="130" t="s">
        <v>32</v>
      </c>
      <c r="I40" s="132">
        <v>0.11020000000000001</v>
      </c>
      <c r="J40" s="133">
        <v>45496.375665532403</v>
      </c>
      <c r="K40" s="132">
        <v>5.9809999999999999</v>
      </c>
      <c r="L40" s="133">
        <v>45727.3863828588</v>
      </c>
      <c r="M40" s="132">
        <v>6.1760000000000002</v>
      </c>
      <c r="N40" s="130" t="s">
        <v>40</v>
      </c>
      <c r="O40" s="130" t="s">
        <v>40</v>
      </c>
      <c r="P40" s="134">
        <v>0.66</v>
      </c>
      <c r="Q40" s="134">
        <v>0.68</v>
      </c>
      <c r="R40" s="130"/>
      <c r="S40" s="130"/>
      <c r="T40" s="130"/>
      <c r="U40" s="135">
        <v>0</v>
      </c>
      <c r="V40" s="135">
        <v>0</v>
      </c>
      <c r="W40" s="135">
        <v>0</v>
      </c>
      <c r="X40" s="136">
        <v>0.02</v>
      </c>
      <c r="Y40" s="137" t="s">
        <v>0</v>
      </c>
      <c r="Z40" s="138"/>
      <c r="AA40" s="138"/>
    </row>
    <row r="41" spans="2:27" ht="21" x14ac:dyDescent="0.25">
      <c r="B41" s="139">
        <v>1393301698</v>
      </c>
      <c r="C41" s="140" t="s">
        <v>49</v>
      </c>
      <c r="D41" s="17" t="str">
        <f>IFERROR(INDEX([1]Positions!$A:$A,MATCH(C41,[1]Positions!$C:$C,0)),"Other")</f>
        <v>MISC</v>
      </c>
      <c r="E41" s="17">
        <f t="shared" si="1"/>
        <v>7.5740171174853224</v>
      </c>
      <c r="F41" s="17" t="str">
        <f t="shared" si="2"/>
        <v>Stock Holding</v>
      </c>
      <c r="G41" s="17" t="b">
        <f t="shared" si="0"/>
        <v>1</v>
      </c>
      <c r="H41" s="139" t="s">
        <v>32</v>
      </c>
      <c r="I41" s="141">
        <v>0.1401</v>
      </c>
      <c r="J41" s="142">
        <v>45496.378860775498</v>
      </c>
      <c r="K41" s="141">
        <v>5.99</v>
      </c>
      <c r="L41" s="142">
        <v>45727.3863828588</v>
      </c>
      <c r="M41" s="141">
        <v>6.1760000000000002</v>
      </c>
      <c r="N41" s="139" t="s">
        <v>40</v>
      </c>
      <c r="O41" s="139" t="s">
        <v>40</v>
      </c>
      <c r="P41" s="143">
        <v>0.84</v>
      </c>
      <c r="Q41" s="143">
        <v>0.87</v>
      </c>
      <c r="R41" s="139"/>
      <c r="S41" s="139"/>
      <c r="T41" s="139"/>
      <c r="U41" s="144">
        <v>0</v>
      </c>
      <c r="V41" s="144">
        <v>0</v>
      </c>
      <c r="W41" s="144">
        <v>0</v>
      </c>
      <c r="X41" s="148">
        <v>0.03</v>
      </c>
      <c r="Y41" s="146" t="s">
        <v>0</v>
      </c>
      <c r="Z41" s="138"/>
      <c r="AA41" s="138"/>
    </row>
    <row r="42" spans="2:27" ht="21" x14ac:dyDescent="0.25">
      <c r="B42" s="130">
        <v>1403180427</v>
      </c>
      <c r="C42" s="131" t="s">
        <v>49</v>
      </c>
      <c r="D42" s="17" t="str">
        <f>IFERROR(INDEX([1]Positions!$A:$A,MATCH(C42,[1]Positions!$C:$C,0)),"Other")</f>
        <v>MISC</v>
      </c>
      <c r="E42" s="17">
        <f t="shared" si="1"/>
        <v>7.3030619531737253</v>
      </c>
      <c r="F42" s="17" t="str">
        <f t="shared" si="2"/>
        <v>Stock Holding</v>
      </c>
      <c r="G42" s="17" t="b">
        <f t="shared" si="0"/>
        <v>1</v>
      </c>
      <c r="H42" s="130" t="s">
        <v>32</v>
      </c>
      <c r="I42" s="132">
        <v>0.42030000000000001</v>
      </c>
      <c r="J42" s="133">
        <v>45504.642993287001</v>
      </c>
      <c r="K42" s="132">
        <v>5.9889999999999999</v>
      </c>
      <c r="L42" s="133">
        <v>45727.3863828588</v>
      </c>
      <c r="M42" s="132">
        <v>6.1760000000000002</v>
      </c>
      <c r="N42" s="130" t="s">
        <v>40</v>
      </c>
      <c r="O42" s="130" t="s">
        <v>40</v>
      </c>
      <c r="P42" s="134">
        <v>2.52</v>
      </c>
      <c r="Q42" s="134">
        <v>2.6</v>
      </c>
      <c r="R42" s="130"/>
      <c r="S42" s="130"/>
      <c r="T42" s="130"/>
      <c r="U42" s="135">
        <v>0</v>
      </c>
      <c r="V42" s="135">
        <v>0</v>
      </c>
      <c r="W42" s="135">
        <v>0</v>
      </c>
      <c r="X42" s="136">
        <v>0.08</v>
      </c>
      <c r="Y42" s="137"/>
      <c r="Z42" s="138"/>
      <c r="AA42" s="138"/>
    </row>
    <row r="43" spans="2:27" ht="21" x14ac:dyDescent="0.25">
      <c r="B43" s="139">
        <v>1343379129</v>
      </c>
      <c r="C43" s="140" t="s">
        <v>510</v>
      </c>
      <c r="D43" s="17" t="str">
        <f>IFERROR(INDEX([1]Positions!$A:$A,MATCH(C43,[1]Positions!$C:$C,0)),"Other")</f>
        <v>Technology</v>
      </c>
      <c r="E43" s="17">
        <f t="shared" si="1"/>
        <v>0.58203960116714104</v>
      </c>
      <c r="F43" s="17" t="str">
        <f t="shared" si="2"/>
        <v>Stock Holding</v>
      </c>
      <c r="G43" s="17" t="b">
        <f t="shared" si="0"/>
        <v>1</v>
      </c>
      <c r="H43" s="139" t="s">
        <v>32</v>
      </c>
      <c r="I43" s="141">
        <v>9.7500000000000003E-2</v>
      </c>
      <c r="J43" s="142">
        <v>45446.893660821799</v>
      </c>
      <c r="K43" s="141">
        <v>205.08</v>
      </c>
      <c r="L43" s="142">
        <v>45464.645868657397</v>
      </c>
      <c r="M43" s="141">
        <v>211.24</v>
      </c>
      <c r="N43" s="139" t="s">
        <v>33</v>
      </c>
      <c r="O43" s="139" t="s">
        <v>33</v>
      </c>
      <c r="P43" s="143">
        <v>20</v>
      </c>
      <c r="Q43" s="143">
        <v>20.6</v>
      </c>
      <c r="R43" s="139"/>
      <c r="S43" s="139"/>
      <c r="T43" s="139"/>
      <c r="U43" s="144">
        <v>0</v>
      </c>
      <c r="V43" s="144">
        <v>0</v>
      </c>
      <c r="W43" s="144">
        <v>0</v>
      </c>
      <c r="X43" s="148">
        <v>0.6</v>
      </c>
      <c r="Y43" s="146"/>
      <c r="Z43" s="138"/>
      <c r="AA43" s="138"/>
    </row>
    <row r="44" spans="2:27" ht="21" x14ac:dyDescent="0.25">
      <c r="B44" s="130">
        <v>1349530190</v>
      </c>
      <c r="C44" s="131" t="s">
        <v>507</v>
      </c>
      <c r="D44" s="17" t="str">
        <f>IFERROR(INDEX([1]Positions!$A:$A,MATCH(C44,[1]Positions!$C:$C,0)),"Other")</f>
        <v>Technology</v>
      </c>
      <c r="E44" s="17">
        <f t="shared" si="1"/>
        <v>0.39350064700974158</v>
      </c>
      <c r="F44" s="17" t="str">
        <f t="shared" si="2"/>
        <v>Stock Holding</v>
      </c>
      <c r="G44" s="17" t="b">
        <f t="shared" si="0"/>
        <v>1</v>
      </c>
      <c r="H44" s="130" t="s">
        <v>32</v>
      </c>
      <c r="I44" s="132">
        <v>5.0999999999999997E-2</v>
      </c>
      <c r="J44" s="133">
        <v>45452.644099756901</v>
      </c>
      <c r="K44" s="132">
        <v>118.42</v>
      </c>
      <c r="L44" s="133">
        <v>45464.645869490698</v>
      </c>
      <c r="M44" s="132">
        <v>126.76</v>
      </c>
      <c r="N44" s="130" t="s">
        <v>34</v>
      </c>
      <c r="O44" s="130" t="s">
        <v>33</v>
      </c>
      <c r="P44" s="134">
        <v>6.04</v>
      </c>
      <c r="Q44" s="134">
        <v>6.46</v>
      </c>
      <c r="R44" s="130"/>
      <c r="S44" s="130"/>
      <c r="T44" s="130"/>
      <c r="U44" s="135">
        <v>0</v>
      </c>
      <c r="V44" s="135">
        <v>0</v>
      </c>
      <c r="W44" s="135">
        <v>0</v>
      </c>
      <c r="X44" s="136">
        <v>0.42</v>
      </c>
      <c r="Y44" s="137" t="s">
        <v>741</v>
      </c>
      <c r="Z44" s="138"/>
      <c r="AA44" s="138"/>
    </row>
    <row r="45" spans="2:27" ht="21" x14ac:dyDescent="0.25">
      <c r="B45" s="139">
        <v>1357737013</v>
      </c>
      <c r="C45" s="140" t="s">
        <v>511</v>
      </c>
      <c r="D45" s="17" t="str">
        <f>IFERROR(INDEX([1]Positions!$A:$A,MATCH(C45,[1]Positions!$C:$C,0)),"Other")</f>
        <v>MISC</v>
      </c>
      <c r="E45" s="17">
        <f t="shared" si="1"/>
        <v>0.130303282482019</v>
      </c>
      <c r="F45" s="17" t="str">
        <f t="shared" si="2"/>
        <v>Stock Holding</v>
      </c>
      <c r="G45" s="17" t="b">
        <f t="shared" si="0"/>
        <v>1</v>
      </c>
      <c r="H45" s="139" t="s">
        <v>32</v>
      </c>
      <c r="I45" s="141">
        <v>1.15E-2</v>
      </c>
      <c r="J45" s="142">
        <v>45460.685576574098</v>
      </c>
      <c r="K45" s="141">
        <v>1797.13</v>
      </c>
      <c r="L45" s="142">
        <v>45464.6598266898</v>
      </c>
      <c r="M45" s="141">
        <v>1686.26</v>
      </c>
      <c r="N45" s="139" t="s">
        <v>33</v>
      </c>
      <c r="O45" s="139" t="s">
        <v>33</v>
      </c>
      <c r="P45" s="143">
        <v>20.67</v>
      </c>
      <c r="Q45" s="143">
        <v>19.39</v>
      </c>
      <c r="R45" s="139"/>
      <c r="S45" s="139"/>
      <c r="T45" s="139"/>
      <c r="U45" s="144">
        <v>0</v>
      </c>
      <c r="V45" s="144">
        <v>0</v>
      </c>
      <c r="W45" s="144">
        <v>0</v>
      </c>
      <c r="X45" s="145">
        <v>-1.28</v>
      </c>
      <c r="Y45" s="146"/>
      <c r="Z45" s="138"/>
      <c r="AA45" s="138"/>
    </row>
    <row r="46" spans="2:27" ht="21" x14ac:dyDescent="0.25">
      <c r="B46" s="130">
        <v>1362492338</v>
      </c>
      <c r="C46" s="131" t="s">
        <v>512</v>
      </c>
      <c r="D46" s="17" t="str">
        <f>IFERROR(INDEX([1]Positions!$A:$A,MATCH(C46,[1]Positions!$C:$C,0)),"Other")</f>
        <v>MISC</v>
      </c>
      <c r="E46" s="17">
        <f t="shared" si="1"/>
        <v>1.8840278026487555E-4</v>
      </c>
      <c r="F46" s="17" t="str">
        <f t="shared" si="2"/>
        <v>Stock Holding</v>
      </c>
      <c r="G46" s="17" t="b">
        <f t="shared" si="0"/>
        <v>1</v>
      </c>
      <c r="H46" s="130" t="s">
        <v>32</v>
      </c>
      <c r="I46" s="132">
        <v>0.28060000000000002</v>
      </c>
      <c r="J46" s="133">
        <v>45464.661507395802</v>
      </c>
      <c r="K46" s="132">
        <v>71.61</v>
      </c>
      <c r="L46" s="133">
        <v>45464.6672536806</v>
      </c>
      <c r="M46" s="132">
        <v>70.959999999999994</v>
      </c>
      <c r="N46" s="130" t="s">
        <v>33</v>
      </c>
      <c r="O46" s="130" t="s">
        <v>33</v>
      </c>
      <c r="P46" s="134">
        <v>20.09</v>
      </c>
      <c r="Q46" s="134">
        <v>19.91</v>
      </c>
      <c r="R46" s="130"/>
      <c r="S46" s="130"/>
      <c r="T46" s="130"/>
      <c r="U46" s="135">
        <v>0</v>
      </c>
      <c r="V46" s="135">
        <v>0</v>
      </c>
      <c r="W46" s="135">
        <v>0</v>
      </c>
      <c r="X46" s="147">
        <v>-0.18</v>
      </c>
      <c r="Y46" s="137"/>
      <c r="Z46" s="138"/>
      <c r="AA46" s="138"/>
    </row>
    <row r="47" spans="2:27" ht="21" x14ac:dyDescent="0.25">
      <c r="B47" s="139">
        <v>1342641165</v>
      </c>
      <c r="C47" s="140" t="s">
        <v>513</v>
      </c>
      <c r="D47" s="17" t="str">
        <f>IFERROR(INDEX([1]Positions!$A:$A,MATCH(C47,[1]Positions!$C:$C,0)),"Other")</f>
        <v>Technology</v>
      </c>
      <c r="E47" s="17">
        <f t="shared" si="1"/>
        <v>1.0493768981508109</v>
      </c>
      <c r="F47" s="17" t="str">
        <f t="shared" si="2"/>
        <v>Stock Holding</v>
      </c>
      <c r="G47" s="17" t="b">
        <f t="shared" si="0"/>
        <v>1</v>
      </c>
      <c r="H47" s="139" t="s">
        <v>32</v>
      </c>
      <c r="I47" s="141">
        <v>0.13220000000000001</v>
      </c>
      <c r="J47" s="142">
        <v>45446.645868911997</v>
      </c>
      <c r="K47" s="141">
        <v>155.59</v>
      </c>
      <c r="L47" s="142">
        <v>45478.651864305597</v>
      </c>
      <c r="M47" s="141">
        <v>183.6</v>
      </c>
      <c r="N47" s="139" t="s">
        <v>33</v>
      </c>
      <c r="O47" s="139" t="s">
        <v>33</v>
      </c>
      <c r="P47" s="143">
        <v>20.57</v>
      </c>
      <c r="Q47" s="143">
        <v>24.27</v>
      </c>
      <c r="R47" s="139"/>
      <c r="S47" s="139"/>
      <c r="T47" s="139"/>
      <c r="U47" s="144">
        <v>0</v>
      </c>
      <c r="V47" s="144">
        <v>0</v>
      </c>
      <c r="W47" s="144">
        <v>0</v>
      </c>
      <c r="X47" s="148">
        <v>3.7</v>
      </c>
      <c r="Y47" s="146"/>
      <c r="Z47" s="138"/>
      <c r="AA47" s="138"/>
    </row>
    <row r="48" spans="2:27" ht="21" x14ac:dyDescent="0.25">
      <c r="B48" s="130">
        <v>1347626622</v>
      </c>
      <c r="C48" s="131" t="s">
        <v>514</v>
      </c>
      <c r="D48" s="17" t="str">
        <f>IFERROR(INDEX([1]Positions!$A:$A,MATCH(C48,[1]Positions!$C:$C,0)),"Other")</f>
        <v>Consumer Defensive</v>
      </c>
      <c r="E48" s="17">
        <f t="shared" si="1"/>
        <v>1.0422990319541403</v>
      </c>
      <c r="F48" s="17" t="str">
        <f t="shared" si="2"/>
        <v>Stock Holding</v>
      </c>
      <c r="G48" s="17" t="b">
        <f t="shared" si="0"/>
        <v>1</v>
      </c>
      <c r="H48" s="130" t="s">
        <v>32</v>
      </c>
      <c r="I48" s="132">
        <v>0.14879999999999999</v>
      </c>
      <c r="J48" s="133">
        <v>45449.867608506902</v>
      </c>
      <c r="K48" s="132">
        <v>67.2</v>
      </c>
      <c r="L48" s="133">
        <v>45481.657728981503</v>
      </c>
      <c r="M48" s="132">
        <v>69.650000000000006</v>
      </c>
      <c r="N48" s="130" t="s">
        <v>33</v>
      </c>
      <c r="O48" s="130" t="s">
        <v>33</v>
      </c>
      <c r="P48" s="134">
        <v>10</v>
      </c>
      <c r="Q48" s="134">
        <v>10.36</v>
      </c>
      <c r="R48" s="130"/>
      <c r="S48" s="130"/>
      <c r="T48" s="130"/>
      <c r="U48" s="135">
        <v>0</v>
      </c>
      <c r="V48" s="135">
        <v>0</v>
      </c>
      <c r="W48" s="135">
        <v>0</v>
      </c>
      <c r="X48" s="136">
        <v>0.36</v>
      </c>
      <c r="Y48" s="137"/>
      <c r="Z48" s="138"/>
      <c r="AA48" s="138"/>
    </row>
    <row r="49" spans="2:27" ht="21" x14ac:dyDescent="0.25">
      <c r="B49" s="139">
        <v>1362562387</v>
      </c>
      <c r="C49" s="140" t="s">
        <v>515</v>
      </c>
      <c r="D49" s="17" t="str">
        <f>IFERROR(INDEX([1]Positions!$A:$A,MATCH(C49,[1]Positions!$C:$C,0)),"Other")</f>
        <v>Energy &amp; Utilities</v>
      </c>
      <c r="E49" s="17">
        <f t="shared" si="1"/>
        <v>0.55725910139654677</v>
      </c>
      <c r="F49" s="17" t="str">
        <f t="shared" si="2"/>
        <v>Stock Holding</v>
      </c>
      <c r="G49" s="17" t="b">
        <f t="shared" si="0"/>
        <v>1</v>
      </c>
      <c r="H49" s="139" t="s">
        <v>32</v>
      </c>
      <c r="I49" s="141">
        <v>0.20200000000000001</v>
      </c>
      <c r="J49" s="142">
        <v>45464.673817129602</v>
      </c>
      <c r="K49" s="141">
        <v>100.78</v>
      </c>
      <c r="L49" s="142">
        <v>45481.670219722197</v>
      </c>
      <c r="M49" s="141">
        <v>100.83</v>
      </c>
      <c r="N49" s="139" t="s">
        <v>33</v>
      </c>
      <c r="O49" s="139" t="s">
        <v>33</v>
      </c>
      <c r="P49" s="143">
        <v>20.36</v>
      </c>
      <c r="Q49" s="143">
        <v>20.37</v>
      </c>
      <c r="R49" s="139"/>
      <c r="S49" s="139"/>
      <c r="T49" s="139"/>
      <c r="U49" s="144">
        <v>0</v>
      </c>
      <c r="V49" s="144">
        <v>0</v>
      </c>
      <c r="W49" s="144">
        <v>0</v>
      </c>
      <c r="X49" s="148">
        <v>0.01</v>
      </c>
      <c r="Y49" s="146"/>
      <c r="Z49" s="138"/>
      <c r="AA49" s="138"/>
    </row>
    <row r="50" spans="2:27" ht="21" x14ac:dyDescent="0.25">
      <c r="B50" s="130">
        <v>1362488938</v>
      </c>
      <c r="C50" s="131" t="s">
        <v>516</v>
      </c>
      <c r="D50" s="17" t="str">
        <f>IFERROR(INDEX([1]Positions!$A:$A,MATCH(C50,[1]Positions!$C:$C,0)),"Other")</f>
        <v>Energy &amp; Utilities</v>
      </c>
      <c r="E50" s="17">
        <f t="shared" si="1"/>
        <v>0.56124810109174517</v>
      </c>
      <c r="F50" s="17" t="str">
        <f t="shared" si="2"/>
        <v>Stock Holding</v>
      </c>
      <c r="G50" s="17" t="b">
        <f t="shared" si="0"/>
        <v>1</v>
      </c>
      <c r="H50" s="130" t="s">
        <v>32</v>
      </c>
      <c r="I50" s="132">
        <v>0.2742</v>
      </c>
      <c r="J50" s="133">
        <v>45464.660972338002</v>
      </c>
      <c r="K50" s="132">
        <v>72.930000000000007</v>
      </c>
      <c r="L50" s="133">
        <v>45481.779039421301</v>
      </c>
      <c r="M50" s="132">
        <v>72.290000000000006</v>
      </c>
      <c r="N50" s="130" t="s">
        <v>33</v>
      </c>
      <c r="O50" s="130" t="s">
        <v>33</v>
      </c>
      <c r="P50" s="134">
        <v>20</v>
      </c>
      <c r="Q50" s="134">
        <v>19.82</v>
      </c>
      <c r="R50" s="130"/>
      <c r="S50" s="130"/>
      <c r="T50" s="130"/>
      <c r="U50" s="135">
        <v>0</v>
      </c>
      <c r="V50" s="135">
        <v>0</v>
      </c>
      <c r="W50" s="135">
        <v>0</v>
      </c>
      <c r="X50" s="147">
        <v>-0.18</v>
      </c>
      <c r="Y50" s="137"/>
      <c r="Z50" s="138"/>
      <c r="AA50" s="138"/>
    </row>
    <row r="51" spans="2:27" ht="21" x14ac:dyDescent="0.25">
      <c r="B51" s="139">
        <v>1375967973</v>
      </c>
      <c r="C51" s="140" t="s">
        <v>513</v>
      </c>
      <c r="D51" s="17" t="str">
        <f>IFERROR(INDEX([1]Positions!$A:$A,MATCH(C51,[1]Positions!$C:$C,0)),"Other")</f>
        <v>Technology</v>
      </c>
      <c r="E51" s="17">
        <f t="shared" si="1"/>
        <v>0.10275079993761076</v>
      </c>
      <c r="F51" s="17" t="str">
        <f t="shared" si="2"/>
        <v>Stock Holding</v>
      </c>
      <c r="G51" s="17" t="b">
        <f t="shared" si="0"/>
        <v>1</v>
      </c>
      <c r="H51" s="139" t="s">
        <v>32</v>
      </c>
      <c r="I51" s="141">
        <v>0.109</v>
      </c>
      <c r="J51" s="142">
        <v>45478.678155138899</v>
      </c>
      <c r="K51" s="141">
        <v>183</v>
      </c>
      <c r="L51" s="142">
        <v>45481.812054536997</v>
      </c>
      <c r="M51" s="141">
        <v>186.5</v>
      </c>
      <c r="N51" s="139" t="s">
        <v>33</v>
      </c>
      <c r="O51" s="139" t="s">
        <v>33</v>
      </c>
      <c r="P51" s="143">
        <v>19.95</v>
      </c>
      <c r="Q51" s="143">
        <v>20.329999999999998</v>
      </c>
      <c r="R51" s="139"/>
      <c r="S51" s="139"/>
      <c r="T51" s="139"/>
      <c r="U51" s="144">
        <v>0</v>
      </c>
      <c r="V51" s="144">
        <v>0</v>
      </c>
      <c r="W51" s="144">
        <v>0</v>
      </c>
      <c r="X51" s="148">
        <v>0.39</v>
      </c>
      <c r="Y51" s="146"/>
      <c r="Z51" s="138"/>
      <c r="AA51" s="138"/>
    </row>
    <row r="52" spans="2:27" ht="21" x14ac:dyDescent="0.25">
      <c r="B52" s="130">
        <v>1375856858</v>
      </c>
      <c r="C52" s="131" t="s">
        <v>517</v>
      </c>
      <c r="D52" s="17" t="str">
        <f>IFERROR(INDEX([1]Positions!$A:$A,MATCH(C52,[1]Positions!$C:$C,0)),"Other")</f>
        <v>Technology</v>
      </c>
      <c r="E52" s="17">
        <f t="shared" si="1"/>
        <v>0.10395074036085909</v>
      </c>
      <c r="F52" s="17" t="str">
        <f t="shared" si="2"/>
        <v>Stock Holding</v>
      </c>
      <c r="G52" s="17" t="b">
        <f t="shared" si="0"/>
        <v>1</v>
      </c>
      <c r="H52" s="130" t="s">
        <v>32</v>
      </c>
      <c r="I52" s="132">
        <v>0.1052</v>
      </c>
      <c r="J52" s="133">
        <v>45478.655819363397</v>
      </c>
      <c r="K52" s="132">
        <v>188.48</v>
      </c>
      <c r="L52" s="133">
        <v>45481.826316944404</v>
      </c>
      <c r="M52" s="132">
        <v>189.21</v>
      </c>
      <c r="N52" s="130" t="s">
        <v>33</v>
      </c>
      <c r="O52" s="130" t="s">
        <v>33</v>
      </c>
      <c r="P52" s="134">
        <v>19.829999999999998</v>
      </c>
      <c r="Q52" s="134">
        <v>19.899999999999999</v>
      </c>
      <c r="R52" s="130"/>
      <c r="S52" s="130"/>
      <c r="T52" s="130"/>
      <c r="U52" s="135">
        <v>0</v>
      </c>
      <c r="V52" s="135">
        <v>0</v>
      </c>
      <c r="W52" s="135">
        <v>0</v>
      </c>
      <c r="X52" s="136">
        <v>7.0000000000000007E-2</v>
      </c>
      <c r="Y52" s="137"/>
      <c r="Z52" s="138"/>
      <c r="AA52" s="138"/>
    </row>
    <row r="53" spans="2:27" ht="21" x14ac:dyDescent="0.25">
      <c r="B53" s="139">
        <v>1357595824</v>
      </c>
      <c r="C53" s="140" t="s">
        <v>518</v>
      </c>
      <c r="D53" s="17" t="str">
        <f>IFERROR(INDEX([1]Positions!$A:$A,MATCH(C53,[1]Positions!$C:$C,0)),"Other")</f>
        <v>MISC</v>
      </c>
      <c r="E53" s="17">
        <f t="shared" si="1"/>
        <v>0.72351260625229596</v>
      </c>
      <c r="F53" s="17" t="str">
        <f t="shared" si="2"/>
        <v>Stock Holding</v>
      </c>
      <c r="G53" s="17" t="b">
        <f t="shared" si="0"/>
        <v>1</v>
      </c>
      <c r="H53" s="139" t="s">
        <v>32</v>
      </c>
      <c r="I53" s="141">
        <v>1</v>
      </c>
      <c r="J53" s="142">
        <v>45460.646119108802</v>
      </c>
      <c r="K53" s="141">
        <v>22.89</v>
      </c>
      <c r="L53" s="142">
        <v>45482.713253599497</v>
      </c>
      <c r="M53" s="141">
        <v>18.62</v>
      </c>
      <c r="N53" s="139" t="s">
        <v>33</v>
      </c>
      <c r="O53" s="139" t="s">
        <v>33</v>
      </c>
      <c r="P53" s="143">
        <v>22.89</v>
      </c>
      <c r="Q53" s="143">
        <v>18.62</v>
      </c>
      <c r="R53" s="139"/>
      <c r="S53" s="139"/>
      <c r="T53" s="139"/>
      <c r="U53" s="144">
        <v>0</v>
      </c>
      <c r="V53" s="144">
        <v>0</v>
      </c>
      <c r="W53" s="144">
        <v>0</v>
      </c>
      <c r="X53" s="145">
        <v>-4.2699999999999996</v>
      </c>
      <c r="Y53" s="146"/>
      <c r="Z53" s="138"/>
      <c r="AA53" s="138"/>
    </row>
    <row r="54" spans="2:27" ht="21" x14ac:dyDescent="0.25">
      <c r="B54" s="130">
        <v>1375967973</v>
      </c>
      <c r="C54" s="131" t="s">
        <v>513</v>
      </c>
      <c r="D54" s="17" t="str">
        <f>IFERROR(INDEX([1]Positions!$A:$A,MATCH(C54,[1]Positions!$C:$C,0)),"Other")</f>
        <v>Technology</v>
      </c>
      <c r="E54" s="17">
        <f t="shared" si="1"/>
        <v>0.13284619877040463</v>
      </c>
      <c r="F54" s="17" t="str">
        <f t="shared" si="2"/>
        <v>Stock Holding</v>
      </c>
      <c r="G54" s="17" t="b">
        <f t="shared" si="0"/>
        <v>1</v>
      </c>
      <c r="H54" s="130" t="s">
        <v>32</v>
      </c>
      <c r="I54" s="132">
        <v>1.4E-3</v>
      </c>
      <c r="J54" s="133">
        <v>45478.678155138899</v>
      </c>
      <c r="K54" s="132">
        <v>183</v>
      </c>
      <c r="L54" s="133">
        <v>45482.729964201397</v>
      </c>
      <c r="M54" s="132">
        <v>182.97</v>
      </c>
      <c r="N54" s="130" t="s">
        <v>33</v>
      </c>
      <c r="O54" s="130" t="s">
        <v>33</v>
      </c>
      <c r="P54" s="134">
        <v>0.26</v>
      </c>
      <c r="Q54" s="134">
        <v>0.26</v>
      </c>
      <c r="R54" s="130"/>
      <c r="S54" s="130"/>
      <c r="T54" s="130"/>
      <c r="U54" s="135">
        <v>0</v>
      </c>
      <c r="V54" s="135">
        <v>0</v>
      </c>
      <c r="W54" s="135">
        <v>0</v>
      </c>
      <c r="X54" s="136">
        <v>0</v>
      </c>
      <c r="Y54" s="137"/>
      <c r="Z54" s="138"/>
      <c r="AA54" s="138"/>
    </row>
    <row r="55" spans="2:27" ht="21" x14ac:dyDescent="0.25">
      <c r="B55" s="139">
        <v>1377834040</v>
      </c>
      <c r="C55" s="140" t="s">
        <v>513</v>
      </c>
      <c r="D55" s="17" t="str">
        <f>IFERROR(INDEX([1]Positions!$A:$A,MATCH(C55,[1]Positions!$C:$C,0)),"Other")</f>
        <v>Technology</v>
      </c>
      <c r="E55" s="17">
        <f t="shared" si="1"/>
        <v>2.9464978750720697E-2</v>
      </c>
      <c r="F55" s="17" t="str">
        <f t="shared" si="2"/>
        <v>Stock Holding</v>
      </c>
      <c r="G55" s="17" t="b">
        <f t="shared" si="0"/>
        <v>1</v>
      </c>
      <c r="H55" s="139" t="s">
        <v>32</v>
      </c>
      <c r="I55" s="141">
        <v>0.1077</v>
      </c>
      <c r="J55" s="142">
        <v>45481.8312823495</v>
      </c>
      <c r="K55" s="141">
        <v>186.7</v>
      </c>
      <c r="L55" s="142">
        <v>45482.729964201397</v>
      </c>
      <c r="M55" s="141">
        <v>182.97</v>
      </c>
      <c r="N55" s="139" t="s">
        <v>33</v>
      </c>
      <c r="O55" s="139" t="s">
        <v>33</v>
      </c>
      <c r="P55" s="143">
        <v>20.11</v>
      </c>
      <c r="Q55" s="143">
        <v>19.71</v>
      </c>
      <c r="R55" s="139"/>
      <c r="S55" s="139"/>
      <c r="T55" s="139"/>
      <c r="U55" s="144">
        <v>0</v>
      </c>
      <c r="V55" s="144">
        <v>0</v>
      </c>
      <c r="W55" s="144">
        <v>0</v>
      </c>
      <c r="X55" s="145">
        <v>-0.39</v>
      </c>
      <c r="Y55" s="146"/>
      <c r="Z55" s="138"/>
      <c r="AA55" s="138"/>
    </row>
    <row r="56" spans="2:27" ht="21" x14ac:dyDescent="0.25">
      <c r="B56" s="130">
        <v>1377407433</v>
      </c>
      <c r="C56" s="131" t="s">
        <v>507</v>
      </c>
      <c r="D56" s="17" t="str">
        <f>IFERROR(INDEX([1]Positions!$A:$A,MATCH(C56,[1]Positions!$C:$C,0)),"Other")</f>
        <v>Technology</v>
      </c>
      <c r="E56" s="17">
        <f t="shared" si="1"/>
        <v>3.9561947858959175E-2</v>
      </c>
      <c r="F56" s="17" t="str">
        <f t="shared" si="2"/>
        <v>Stock Holding</v>
      </c>
      <c r="G56" s="17" t="b">
        <f t="shared" si="0"/>
        <v>1</v>
      </c>
      <c r="H56" s="130" t="s">
        <v>32</v>
      </c>
      <c r="I56" s="132">
        <v>7.7100000000000002E-2</v>
      </c>
      <c r="J56" s="133">
        <v>45481.658016250003</v>
      </c>
      <c r="K56" s="132">
        <v>129.47999999999999</v>
      </c>
      <c r="L56" s="133">
        <v>45482.864655659701</v>
      </c>
      <c r="M56" s="132">
        <v>130.75</v>
      </c>
      <c r="N56" s="130" t="s">
        <v>33</v>
      </c>
      <c r="O56" s="130" t="s">
        <v>33</v>
      </c>
      <c r="P56" s="134">
        <v>9.98</v>
      </c>
      <c r="Q56" s="134">
        <v>10.08</v>
      </c>
      <c r="R56" s="130"/>
      <c r="S56" s="130"/>
      <c r="T56" s="130"/>
      <c r="U56" s="135">
        <v>0</v>
      </c>
      <c r="V56" s="135">
        <v>0</v>
      </c>
      <c r="W56" s="135">
        <v>0</v>
      </c>
      <c r="X56" s="136">
        <v>0.09</v>
      </c>
      <c r="Y56" s="137"/>
      <c r="Z56" s="138"/>
      <c r="AA56" s="138"/>
    </row>
    <row r="57" spans="2:27" ht="21" x14ac:dyDescent="0.25">
      <c r="B57" s="139">
        <v>1377407433</v>
      </c>
      <c r="C57" s="140" t="s">
        <v>507</v>
      </c>
      <c r="D57" s="17" t="str">
        <f>IFERROR(INDEX([1]Positions!$A:$A,MATCH(C57,[1]Positions!$C:$C,0)),"Other")</f>
        <v>Technology</v>
      </c>
      <c r="E57" s="17">
        <f t="shared" si="1"/>
        <v>4.1212747799810864E-2</v>
      </c>
      <c r="F57" s="17" t="str">
        <f t="shared" si="2"/>
        <v>Stock Holding</v>
      </c>
      <c r="G57" s="17" t="b">
        <f t="shared" si="0"/>
        <v>1</v>
      </c>
      <c r="H57" s="139" t="s">
        <v>32</v>
      </c>
      <c r="I57" s="141">
        <v>1E-4</v>
      </c>
      <c r="J57" s="142">
        <v>45481.658016250003</v>
      </c>
      <c r="K57" s="141">
        <v>129.47999999999999</v>
      </c>
      <c r="L57" s="142">
        <v>45482.915005057897</v>
      </c>
      <c r="M57" s="141">
        <v>131.24</v>
      </c>
      <c r="N57" s="139" t="s">
        <v>33</v>
      </c>
      <c r="O57" s="139" t="s">
        <v>33</v>
      </c>
      <c r="P57" s="143">
        <v>0.01</v>
      </c>
      <c r="Q57" s="143">
        <v>0.01</v>
      </c>
      <c r="R57" s="139"/>
      <c r="S57" s="139"/>
      <c r="T57" s="139"/>
      <c r="U57" s="144">
        <v>0</v>
      </c>
      <c r="V57" s="144">
        <v>0</v>
      </c>
      <c r="W57" s="144">
        <v>0</v>
      </c>
      <c r="X57" s="148">
        <v>0</v>
      </c>
      <c r="Y57" s="146"/>
      <c r="Z57" s="138"/>
      <c r="AA57" s="138"/>
    </row>
    <row r="58" spans="2:27" ht="21" x14ac:dyDescent="0.25">
      <c r="B58" s="130">
        <v>1377834040</v>
      </c>
      <c r="C58" s="131" t="s">
        <v>513</v>
      </c>
      <c r="D58" s="17" t="str">
        <f>IFERROR(INDEX([1]Positions!$A:$A,MATCH(C58,[1]Positions!$C:$C,0)),"Other")</f>
        <v>Technology</v>
      </c>
      <c r="E58" s="17">
        <f t="shared" si="1"/>
        <v>3.5533842213211396E-2</v>
      </c>
      <c r="F58" s="17" t="str">
        <f t="shared" si="2"/>
        <v>Stock Holding</v>
      </c>
      <c r="G58" s="17" t="b">
        <f t="shared" si="0"/>
        <v>1</v>
      </c>
      <c r="H58" s="130" t="s">
        <v>32</v>
      </c>
      <c r="I58" s="132">
        <v>1.1000000000000001E-3</v>
      </c>
      <c r="J58" s="133">
        <v>45481.8312823495</v>
      </c>
      <c r="K58" s="132">
        <v>186.7</v>
      </c>
      <c r="L58" s="133">
        <v>45482.915064537003</v>
      </c>
      <c r="M58" s="132">
        <v>184.46</v>
      </c>
      <c r="N58" s="130" t="s">
        <v>33</v>
      </c>
      <c r="O58" s="130" t="s">
        <v>33</v>
      </c>
      <c r="P58" s="134">
        <v>0.21</v>
      </c>
      <c r="Q58" s="134">
        <v>0.2</v>
      </c>
      <c r="R58" s="130"/>
      <c r="S58" s="130"/>
      <c r="T58" s="130"/>
      <c r="U58" s="135">
        <v>0</v>
      </c>
      <c r="V58" s="135">
        <v>0</v>
      </c>
      <c r="W58" s="135">
        <v>0</v>
      </c>
      <c r="X58" s="147">
        <v>-0.01</v>
      </c>
      <c r="Y58" s="137"/>
      <c r="Z58" s="138"/>
      <c r="AA58" s="138"/>
    </row>
    <row r="59" spans="2:27" ht="21" x14ac:dyDescent="0.25">
      <c r="B59" s="139">
        <v>1362491459</v>
      </c>
      <c r="C59" s="140" t="s">
        <v>519</v>
      </c>
      <c r="D59" s="17" t="str">
        <f>IFERROR(INDEX([1]Positions!$A:$A,MATCH(C59,[1]Positions!$C:$C,0)),"Other")</f>
        <v>MISC</v>
      </c>
      <c r="E59" s="17">
        <f t="shared" si="1"/>
        <v>0.62679979242608674</v>
      </c>
      <c r="F59" s="17" t="str">
        <f t="shared" si="2"/>
        <v>Stock Holding</v>
      </c>
      <c r="G59" s="17" t="b">
        <f t="shared" si="0"/>
        <v>1</v>
      </c>
      <c r="H59" s="139" t="s">
        <v>32</v>
      </c>
      <c r="I59" s="141">
        <v>0.22800000000000001</v>
      </c>
      <c r="J59" s="142">
        <v>45464.661390706002</v>
      </c>
      <c r="K59" s="141">
        <v>88.67</v>
      </c>
      <c r="L59" s="142">
        <v>45483.778784374997</v>
      </c>
      <c r="M59" s="141">
        <v>87.81</v>
      </c>
      <c r="N59" s="139" t="s">
        <v>33</v>
      </c>
      <c r="O59" s="139" t="s">
        <v>33</v>
      </c>
      <c r="P59" s="143">
        <v>20.22</v>
      </c>
      <c r="Q59" s="143">
        <v>20.02</v>
      </c>
      <c r="R59" s="139"/>
      <c r="S59" s="139"/>
      <c r="T59" s="139"/>
      <c r="U59" s="144">
        <v>0</v>
      </c>
      <c r="V59" s="144">
        <v>0</v>
      </c>
      <c r="W59" s="144">
        <v>0</v>
      </c>
      <c r="X59" s="145">
        <v>-0.2</v>
      </c>
      <c r="Y59" s="146"/>
      <c r="Z59" s="138"/>
      <c r="AA59" s="138"/>
    </row>
    <row r="60" spans="2:27" ht="21" x14ac:dyDescent="0.25">
      <c r="B60" s="130">
        <v>1362491459</v>
      </c>
      <c r="C60" s="131" t="s">
        <v>519</v>
      </c>
      <c r="D60" s="17" t="str">
        <f>IFERROR(INDEX([1]Positions!$A:$A,MATCH(C60,[1]Positions!$C:$C,0)),"Other")</f>
        <v>MISC</v>
      </c>
      <c r="E60" s="17">
        <f t="shared" si="1"/>
        <v>0.62680596766872221</v>
      </c>
      <c r="F60" s="17" t="str">
        <f t="shared" si="2"/>
        <v>Stock Holding</v>
      </c>
      <c r="G60" s="17" t="b">
        <f t="shared" si="0"/>
        <v>1</v>
      </c>
      <c r="H60" s="130" t="s">
        <v>32</v>
      </c>
      <c r="I60" s="132">
        <v>1E-4</v>
      </c>
      <c r="J60" s="133">
        <v>45464.661390706002</v>
      </c>
      <c r="K60" s="132">
        <v>88.67</v>
      </c>
      <c r="L60" s="133">
        <v>45483.778972719898</v>
      </c>
      <c r="M60" s="132">
        <v>87.82</v>
      </c>
      <c r="N60" s="130" t="s">
        <v>33</v>
      </c>
      <c r="O60" s="130" t="s">
        <v>33</v>
      </c>
      <c r="P60" s="134">
        <v>0.01</v>
      </c>
      <c r="Q60" s="134">
        <v>0.01</v>
      </c>
      <c r="R60" s="130"/>
      <c r="S60" s="130"/>
      <c r="T60" s="130"/>
      <c r="U60" s="135">
        <v>0</v>
      </c>
      <c r="V60" s="135">
        <v>0</v>
      </c>
      <c r="W60" s="135">
        <v>0</v>
      </c>
      <c r="X60" s="136">
        <v>0</v>
      </c>
      <c r="Y60" s="137"/>
      <c r="Z60" s="138"/>
      <c r="AA60" s="138"/>
    </row>
    <row r="61" spans="2:27" ht="21" x14ac:dyDescent="0.25">
      <c r="B61" s="139">
        <v>1375856858</v>
      </c>
      <c r="C61" s="140" t="s">
        <v>517</v>
      </c>
      <c r="D61" s="17" t="str">
        <f>IFERROR(INDEX([1]Positions!$A:$A,MATCH(C61,[1]Positions!$C:$C,0)),"Other")</f>
        <v>Technology</v>
      </c>
      <c r="E61" s="17">
        <f t="shared" si="1"/>
        <v>0.16797599309509559</v>
      </c>
      <c r="F61" s="17" t="str">
        <f t="shared" si="2"/>
        <v>Stock Holding</v>
      </c>
      <c r="G61" s="17" t="b">
        <f t="shared" si="0"/>
        <v>1</v>
      </c>
      <c r="H61" s="139" t="s">
        <v>32</v>
      </c>
      <c r="I61" s="141">
        <v>2.5999999999999999E-3</v>
      </c>
      <c r="J61" s="142">
        <v>45478.655819363397</v>
      </c>
      <c r="K61" s="141">
        <v>188.48</v>
      </c>
      <c r="L61" s="142">
        <v>45483.779087152798</v>
      </c>
      <c r="M61" s="141">
        <v>190.3</v>
      </c>
      <c r="N61" s="139" t="s">
        <v>33</v>
      </c>
      <c r="O61" s="139" t="s">
        <v>33</v>
      </c>
      <c r="P61" s="143">
        <v>0.49</v>
      </c>
      <c r="Q61" s="143">
        <v>0.49</v>
      </c>
      <c r="R61" s="139"/>
      <c r="S61" s="139"/>
      <c r="T61" s="139"/>
      <c r="U61" s="144">
        <v>0</v>
      </c>
      <c r="V61" s="144">
        <v>0</v>
      </c>
      <c r="W61" s="144">
        <v>0</v>
      </c>
      <c r="X61" s="148">
        <v>0</v>
      </c>
      <c r="Y61" s="146"/>
      <c r="Z61" s="138"/>
      <c r="AA61" s="138"/>
    </row>
    <row r="62" spans="2:27" ht="21" x14ac:dyDescent="0.25">
      <c r="B62" s="130">
        <v>1377584836</v>
      </c>
      <c r="C62" s="131" t="s">
        <v>520</v>
      </c>
      <c r="D62" s="17" t="str">
        <f>IFERROR(INDEX([1]Positions!$A:$A,MATCH(C62,[1]Positions!$C:$C,0)),"Other")</f>
        <v>MISC</v>
      </c>
      <c r="E62" s="17">
        <f t="shared" si="1"/>
        <v>9.6938055557328595E-2</v>
      </c>
      <c r="F62" s="17" t="str">
        <f t="shared" si="2"/>
        <v>Stock Holding</v>
      </c>
      <c r="G62" s="17" t="b">
        <f t="shared" si="0"/>
        <v>1</v>
      </c>
      <c r="H62" s="130" t="s">
        <v>32</v>
      </c>
      <c r="I62" s="132">
        <v>0.48280000000000001</v>
      </c>
      <c r="J62" s="133">
        <v>45481.711071863399</v>
      </c>
      <c r="K62" s="132">
        <v>41.87</v>
      </c>
      <c r="L62" s="133">
        <v>45484.667682557898</v>
      </c>
      <c r="M62" s="132">
        <v>42.35</v>
      </c>
      <c r="N62" s="130" t="s">
        <v>33</v>
      </c>
      <c r="O62" s="130" t="s">
        <v>33</v>
      </c>
      <c r="P62" s="134">
        <v>20.21</v>
      </c>
      <c r="Q62" s="134">
        <v>20.45</v>
      </c>
      <c r="R62" s="130"/>
      <c r="S62" s="130"/>
      <c r="T62" s="130"/>
      <c r="U62" s="135">
        <v>0</v>
      </c>
      <c r="V62" s="135">
        <v>0</v>
      </c>
      <c r="W62" s="135">
        <v>0</v>
      </c>
      <c r="X62" s="136">
        <v>0.23</v>
      </c>
      <c r="Y62" s="137"/>
      <c r="Z62" s="138"/>
      <c r="AA62" s="138"/>
    </row>
    <row r="63" spans="2:27" ht="21" x14ac:dyDescent="0.25">
      <c r="B63" s="139">
        <v>1377584836</v>
      </c>
      <c r="C63" s="140" t="s">
        <v>520</v>
      </c>
      <c r="D63" s="17" t="str">
        <f>IFERROR(INDEX([1]Positions!$A:$A,MATCH(C63,[1]Positions!$C:$C,0)),"Other")</f>
        <v>MISC</v>
      </c>
      <c r="E63" s="17">
        <f t="shared" si="1"/>
        <v>9.6942416895142769E-2</v>
      </c>
      <c r="F63" s="17" t="str">
        <f t="shared" si="2"/>
        <v>Stock Holding</v>
      </c>
      <c r="G63" s="17" t="b">
        <f t="shared" si="0"/>
        <v>1</v>
      </c>
      <c r="H63" s="139" t="s">
        <v>32</v>
      </c>
      <c r="I63" s="141">
        <v>1.2999999999999999E-3</v>
      </c>
      <c r="J63" s="142">
        <v>45481.711071863399</v>
      </c>
      <c r="K63" s="141">
        <v>41.87</v>
      </c>
      <c r="L63" s="142">
        <v>45484.667815578701</v>
      </c>
      <c r="M63" s="141">
        <v>42.35</v>
      </c>
      <c r="N63" s="139" t="s">
        <v>33</v>
      </c>
      <c r="O63" s="139" t="s">
        <v>33</v>
      </c>
      <c r="P63" s="143">
        <v>0.05</v>
      </c>
      <c r="Q63" s="143">
        <v>0.06</v>
      </c>
      <c r="R63" s="139"/>
      <c r="S63" s="139"/>
      <c r="T63" s="139"/>
      <c r="U63" s="144">
        <v>0</v>
      </c>
      <c r="V63" s="144">
        <v>0</v>
      </c>
      <c r="W63" s="144">
        <v>0</v>
      </c>
      <c r="X63" s="148">
        <v>0.01</v>
      </c>
      <c r="Y63" s="146"/>
      <c r="Z63" s="138"/>
      <c r="AA63" s="138"/>
    </row>
    <row r="64" spans="2:27" ht="21" x14ac:dyDescent="0.25">
      <c r="B64" s="130">
        <v>1350885655</v>
      </c>
      <c r="C64" s="131" t="s">
        <v>521</v>
      </c>
      <c r="D64" s="17" t="str">
        <f>IFERROR(INDEX([1]Positions!$A:$A,MATCH(C64,[1]Positions!$C:$C,0)),"Other")</f>
        <v>Technology</v>
      </c>
      <c r="E64" s="17">
        <f t="shared" si="1"/>
        <v>1.008688608455695</v>
      </c>
      <c r="F64" s="17" t="str">
        <f t="shared" si="2"/>
        <v>Stock Holding</v>
      </c>
      <c r="G64" s="17" t="b">
        <f t="shared" si="0"/>
        <v>1</v>
      </c>
      <c r="H64" s="130" t="s">
        <v>32</v>
      </c>
      <c r="I64" s="132">
        <v>2.3400000000000001E-2</v>
      </c>
      <c r="J64" s="133">
        <v>45453.913343703702</v>
      </c>
      <c r="K64" s="132">
        <v>427.17</v>
      </c>
      <c r="L64" s="133">
        <v>45484.6783462616</v>
      </c>
      <c r="M64" s="132">
        <v>458.18</v>
      </c>
      <c r="N64" s="130" t="s">
        <v>33</v>
      </c>
      <c r="O64" s="130" t="s">
        <v>33</v>
      </c>
      <c r="P64" s="134">
        <v>10</v>
      </c>
      <c r="Q64" s="134">
        <v>10.72</v>
      </c>
      <c r="R64" s="130"/>
      <c r="S64" s="130"/>
      <c r="T64" s="130"/>
      <c r="U64" s="135">
        <v>0</v>
      </c>
      <c r="V64" s="135">
        <v>0</v>
      </c>
      <c r="W64" s="135">
        <v>0</v>
      </c>
      <c r="X64" s="136">
        <v>0.72</v>
      </c>
      <c r="Y64" s="137"/>
      <c r="Z64" s="138"/>
      <c r="AA64" s="138"/>
    </row>
    <row r="65" spans="2:27" ht="21" x14ac:dyDescent="0.25">
      <c r="B65" s="139">
        <v>1414374074</v>
      </c>
      <c r="C65" s="140" t="s">
        <v>522</v>
      </c>
      <c r="D65" s="17" t="str">
        <f>IFERROR(INDEX([1]Positions!$A:$A,MATCH(C65,[1]Positions!$C:$C,0)),"Other")</f>
        <v>MISC</v>
      </c>
      <c r="E65" s="17">
        <f t="shared" si="1"/>
        <v>4.467598662366251E-3</v>
      </c>
      <c r="F65" s="17" t="str">
        <f t="shared" si="2"/>
        <v>Stock Holding</v>
      </c>
      <c r="G65" s="17" t="b">
        <f t="shared" si="0"/>
        <v>1</v>
      </c>
      <c r="H65" s="139" t="s">
        <v>32</v>
      </c>
      <c r="I65" s="141">
        <v>4.8099999999999997E-2</v>
      </c>
      <c r="J65" s="142">
        <v>45511.7233718403</v>
      </c>
      <c r="K65" s="141">
        <v>311.85000000000002</v>
      </c>
      <c r="L65" s="142">
        <v>45511.859633599503</v>
      </c>
      <c r="M65" s="141">
        <v>308</v>
      </c>
      <c r="N65" s="139" t="s">
        <v>33</v>
      </c>
      <c r="O65" s="139" t="s">
        <v>33</v>
      </c>
      <c r="P65" s="143">
        <v>15</v>
      </c>
      <c r="Q65" s="143">
        <v>14.81</v>
      </c>
      <c r="R65" s="139"/>
      <c r="S65" s="139"/>
      <c r="T65" s="139"/>
      <c r="U65" s="144">
        <v>0</v>
      </c>
      <c r="V65" s="144">
        <v>0</v>
      </c>
      <c r="W65" s="144">
        <v>0</v>
      </c>
      <c r="X65" s="145">
        <v>-0.19</v>
      </c>
      <c r="Y65" s="146"/>
      <c r="Z65" s="138"/>
      <c r="AA65" s="138"/>
    </row>
    <row r="66" spans="2:27" ht="21" x14ac:dyDescent="0.25">
      <c r="B66" s="130">
        <v>1414372067</v>
      </c>
      <c r="C66" s="131" t="s">
        <v>523</v>
      </c>
      <c r="D66" s="17" t="str">
        <f>IFERROR(INDEX([1]Positions!$A:$A,MATCH(C66,[1]Positions!$C:$C,0)),"Other")</f>
        <v>Financial Services</v>
      </c>
      <c r="E66" s="17">
        <f t="shared" si="1"/>
        <v>1.3174551643147783</v>
      </c>
      <c r="F66" s="17" t="str">
        <f t="shared" si="2"/>
        <v>Stock Holding</v>
      </c>
      <c r="G66" s="17" t="b">
        <f t="shared" si="0"/>
        <v>1</v>
      </c>
      <c r="H66" s="130" t="s">
        <v>32</v>
      </c>
      <c r="I66" s="132">
        <v>5.7500000000000002E-2</v>
      </c>
      <c r="J66" s="133">
        <v>45511.722712303199</v>
      </c>
      <c r="K66" s="132">
        <v>260.8</v>
      </c>
      <c r="L66" s="133">
        <v>45551.9050948148</v>
      </c>
      <c r="M66" s="132">
        <v>290.19</v>
      </c>
      <c r="N66" s="130" t="s">
        <v>33</v>
      </c>
      <c r="O66" s="130" t="s">
        <v>40</v>
      </c>
      <c r="P66" s="134">
        <v>15</v>
      </c>
      <c r="Q66" s="134">
        <v>16.690000000000001</v>
      </c>
      <c r="R66" s="130"/>
      <c r="S66" s="130"/>
      <c r="T66" s="130"/>
      <c r="U66" s="135">
        <v>0</v>
      </c>
      <c r="V66" s="135">
        <v>0</v>
      </c>
      <c r="W66" s="135">
        <v>0</v>
      </c>
      <c r="X66" s="136">
        <v>1.69</v>
      </c>
      <c r="Y66" s="137" t="s">
        <v>0</v>
      </c>
      <c r="Z66" s="138"/>
      <c r="AA66" s="138"/>
    </row>
    <row r="67" spans="2:27" ht="21" x14ac:dyDescent="0.25">
      <c r="B67" s="139">
        <v>1377764546</v>
      </c>
      <c r="C67" s="140" t="s">
        <v>524</v>
      </c>
      <c r="D67" s="17" t="str">
        <f>IFERROR(INDEX([1]Positions!$A:$A,MATCH(C67,[1]Positions!$C:$C,0)),"Other")</f>
        <v>Technology</v>
      </c>
      <c r="E67" s="17">
        <f t="shared" si="1"/>
        <v>2.5531529253935554</v>
      </c>
      <c r="F67" s="17" t="str">
        <f t="shared" si="2"/>
        <v>Stock Holding</v>
      </c>
      <c r="G67" s="17" t="b">
        <f t="shared" si="0"/>
        <v>1</v>
      </c>
      <c r="H67" s="139" t="s">
        <v>32</v>
      </c>
      <c r="I67" s="141">
        <v>7.7799999999999994E-2</v>
      </c>
      <c r="J67" s="142">
        <v>45481.779346087998</v>
      </c>
      <c r="K67" s="141">
        <v>244.47</v>
      </c>
      <c r="L67" s="142">
        <v>45559.650510312502</v>
      </c>
      <c r="M67" s="141">
        <v>196.86</v>
      </c>
      <c r="N67" s="139" t="s">
        <v>33</v>
      </c>
      <c r="O67" s="139" t="s">
        <v>33</v>
      </c>
      <c r="P67" s="143">
        <v>19.02</v>
      </c>
      <c r="Q67" s="143">
        <v>15.32</v>
      </c>
      <c r="R67" s="139"/>
      <c r="S67" s="139"/>
      <c r="T67" s="139"/>
      <c r="U67" s="144">
        <v>0</v>
      </c>
      <c r="V67" s="144">
        <v>0</v>
      </c>
      <c r="W67" s="144">
        <v>0</v>
      </c>
      <c r="X67" s="145">
        <v>-3.7</v>
      </c>
      <c r="Y67" s="146"/>
      <c r="Z67" s="138"/>
      <c r="AA67" s="138"/>
    </row>
    <row r="68" spans="2:27" ht="21" x14ac:dyDescent="0.25">
      <c r="B68" s="130">
        <v>1377764546</v>
      </c>
      <c r="C68" s="131" t="s">
        <v>524</v>
      </c>
      <c r="D68" s="17" t="str">
        <f>IFERROR(INDEX([1]Positions!$A:$A,MATCH(C68,[1]Positions!$C:$C,0)),"Other")</f>
        <v>Technology</v>
      </c>
      <c r="E68" s="17">
        <f t="shared" si="1"/>
        <v>2.5531708268819902</v>
      </c>
      <c r="F68" s="17" t="str">
        <f t="shared" si="2"/>
        <v>Stock Holding</v>
      </c>
      <c r="G68" s="17" t="b">
        <f t="shared" si="0"/>
        <v>1</v>
      </c>
      <c r="H68" s="130" t="s">
        <v>32</v>
      </c>
      <c r="I68" s="132">
        <v>5.1000000000000004E-3</v>
      </c>
      <c r="J68" s="133">
        <v>45481.779346087998</v>
      </c>
      <c r="K68" s="132">
        <v>244.47</v>
      </c>
      <c r="L68" s="133">
        <v>45559.651056307899</v>
      </c>
      <c r="M68" s="132">
        <v>196.91</v>
      </c>
      <c r="N68" s="130" t="s">
        <v>33</v>
      </c>
      <c r="O68" s="130" t="s">
        <v>33</v>
      </c>
      <c r="P68" s="134">
        <v>1.25</v>
      </c>
      <c r="Q68" s="134">
        <v>1</v>
      </c>
      <c r="R68" s="130"/>
      <c r="S68" s="130"/>
      <c r="T68" s="130"/>
      <c r="U68" s="135">
        <v>0</v>
      </c>
      <c r="V68" s="135">
        <v>0</v>
      </c>
      <c r="W68" s="135">
        <v>0</v>
      </c>
      <c r="X68" s="147">
        <v>-0.25</v>
      </c>
      <c r="Y68" s="137"/>
      <c r="Z68" s="138"/>
      <c r="AA68" s="138"/>
    </row>
    <row r="69" spans="2:27" ht="21" x14ac:dyDescent="0.25">
      <c r="B69" s="139">
        <v>1380259753</v>
      </c>
      <c r="C69" s="140" t="s">
        <v>517</v>
      </c>
      <c r="D69" s="17" t="str">
        <f>IFERROR(INDEX([1]Positions!$A:$A,MATCH(C69,[1]Positions!$C:$C,0)),"Other")</f>
        <v>Technology</v>
      </c>
      <c r="E69" s="17">
        <f t="shared" si="1"/>
        <v>2.5256770636032804</v>
      </c>
      <c r="F69" s="17" t="str">
        <f t="shared" si="2"/>
        <v>Stock Holding</v>
      </c>
      <c r="G69" s="17" t="b">
        <f t="shared" si="0"/>
        <v>1</v>
      </c>
      <c r="H69" s="139" t="s">
        <v>32</v>
      </c>
      <c r="I69" s="141">
        <v>0.13100000000000001</v>
      </c>
      <c r="J69" s="142">
        <v>45483.787147615702</v>
      </c>
      <c r="K69" s="141">
        <v>190.71</v>
      </c>
      <c r="L69" s="142">
        <v>45560.820298055602</v>
      </c>
      <c r="M69" s="141">
        <v>161.87</v>
      </c>
      <c r="N69" s="139" t="s">
        <v>33</v>
      </c>
      <c r="O69" s="139" t="s">
        <v>33</v>
      </c>
      <c r="P69" s="143">
        <v>24.98</v>
      </c>
      <c r="Q69" s="143">
        <v>21.2</v>
      </c>
      <c r="R69" s="139"/>
      <c r="S69" s="139"/>
      <c r="T69" s="139"/>
      <c r="U69" s="144">
        <v>0</v>
      </c>
      <c r="V69" s="144">
        <v>0</v>
      </c>
      <c r="W69" s="144">
        <v>0</v>
      </c>
      <c r="X69" s="145">
        <v>-3.78</v>
      </c>
      <c r="Y69" s="146"/>
      <c r="Z69" s="138"/>
      <c r="AA69" s="138"/>
    </row>
    <row r="70" spans="2:27" ht="21" x14ac:dyDescent="0.25">
      <c r="B70" s="130">
        <v>1509051251</v>
      </c>
      <c r="C70" s="131" t="s">
        <v>41</v>
      </c>
      <c r="D70" s="17" t="str">
        <f>IFERROR(INDEX([1]Positions!$A:$A,MATCH(C70,[1]Positions!$C:$C,0)),"Other")</f>
        <v>Other</v>
      </c>
      <c r="E70" s="17">
        <f t="shared" si="1"/>
        <v>6.3938980198801178E-5</v>
      </c>
      <c r="F70" s="17" t="str">
        <f t="shared" si="2"/>
        <v>SWAP Contract</v>
      </c>
      <c r="G70" s="17" t="b">
        <f t="shared" si="0"/>
        <v>1</v>
      </c>
      <c r="H70" s="130" t="s">
        <v>42</v>
      </c>
      <c r="I70" s="132">
        <v>0.02</v>
      </c>
      <c r="J70" s="133">
        <v>45590.728430844902</v>
      </c>
      <c r="K70" s="132">
        <v>19.873100000000001</v>
      </c>
      <c r="L70" s="133">
        <v>45590.730380983798</v>
      </c>
      <c r="M70" s="132">
        <v>19.883500000000002</v>
      </c>
      <c r="N70" s="130" t="s">
        <v>33</v>
      </c>
      <c r="O70" s="130" t="s">
        <v>33</v>
      </c>
      <c r="P70" s="130"/>
      <c r="Q70" s="130"/>
      <c r="R70" s="130"/>
      <c r="S70" s="130"/>
      <c r="T70" s="130">
        <v>10</v>
      </c>
      <c r="U70" s="135">
        <v>0</v>
      </c>
      <c r="V70" s="135">
        <v>0</v>
      </c>
      <c r="W70" s="135">
        <v>0</v>
      </c>
      <c r="X70" s="147">
        <v>-1.05</v>
      </c>
      <c r="Y70" s="137" t="s">
        <v>0</v>
      </c>
      <c r="Z70" s="138"/>
      <c r="AA70" s="138"/>
    </row>
    <row r="71" spans="2:27" ht="21" x14ac:dyDescent="0.25">
      <c r="B71" s="139">
        <v>1508055372</v>
      </c>
      <c r="C71" s="140" t="s">
        <v>41</v>
      </c>
      <c r="D71" s="17" t="str">
        <f>IFERROR(INDEX([1]Positions!$A:$A,MATCH(C71,[1]Positions!$C:$C,0)),"Other")</f>
        <v>Other</v>
      </c>
      <c r="E71" s="17">
        <f t="shared" si="1"/>
        <v>1.66372089409632E-2</v>
      </c>
      <c r="F71" s="17" t="str">
        <f t="shared" si="2"/>
        <v>SWAP Contract</v>
      </c>
      <c r="G71" s="17" t="b">
        <f t="shared" si="0"/>
        <v>1</v>
      </c>
      <c r="H71" s="139" t="s">
        <v>32</v>
      </c>
      <c r="I71" s="141">
        <v>0.02</v>
      </c>
      <c r="J71" s="142">
        <v>45590.223272291703</v>
      </c>
      <c r="K71" s="141">
        <v>19.8369</v>
      </c>
      <c r="L71" s="142">
        <v>45590.730707164403</v>
      </c>
      <c r="M71" s="141">
        <v>19.876100000000001</v>
      </c>
      <c r="N71" s="139" t="s">
        <v>33</v>
      </c>
      <c r="O71" s="139" t="s">
        <v>33</v>
      </c>
      <c r="P71" s="139"/>
      <c r="Q71" s="139"/>
      <c r="R71" s="139"/>
      <c r="S71" s="139"/>
      <c r="T71" s="139">
        <v>10</v>
      </c>
      <c r="U71" s="144">
        <v>0</v>
      </c>
      <c r="V71" s="144">
        <v>0</v>
      </c>
      <c r="W71" s="144">
        <v>0</v>
      </c>
      <c r="X71" s="148">
        <v>3.94</v>
      </c>
      <c r="Y71" s="146" t="s">
        <v>0</v>
      </c>
      <c r="Z71" s="138"/>
      <c r="AA71" s="138"/>
    </row>
    <row r="72" spans="2:27" ht="21" x14ac:dyDescent="0.25">
      <c r="B72" s="130">
        <v>1512925323</v>
      </c>
      <c r="C72" s="131" t="s">
        <v>41</v>
      </c>
      <c r="D72" s="17" t="str">
        <f>IFERROR(INDEX([1]Positions!$A:$A,MATCH(C72,[1]Positions!$C:$C,0)),"Other")</f>
        <v>Other</v>
      </c>
      <c r="E72" s="17">
        <f t="shared" si="1"/>
        <v>2.5088833104895396E-2</v>
      </c>
      <c r="F72" s="17" t="str">
        <f t="shared" si="2"/>
        <v>SWAP Contract</v>
      </c>
      <c r="G72" s="17" t="b">
        <f t="shared" si="0"/>
        <v>1</v>
      </c>
      <c r="H72" s="130" t="s">
        <v>32</v>
      </c>
      <c r="I72" s="132">
        <v>0.01</v>
      </c>
      <c r="J72" s="133">
        <v>45594.791179050902</v>
      </c>
      <c r="K72" s="132">
        <v>20.066299999999998</v>
      </c>
      <c r="L72" s="133">
        <v>45595.556388460602</v>
      </c>
      <c r="M72" s="132">
        <v>20.140499999999999</v>
      </c>
      <c r="N72" s="130" t="s">
        <v>33</v>
      </c>
      <c r="O72" s="130" t="s">
        <v>33</v>
      </c>
      <c r="P72" s="130"/>
      <c r="Q72" s="130"/>
      <c r="R72" s="130"/>
      <c r="S72" s="130"/>
      <c r="T72" s="130">
        <v>5</v>
      </c>
      <c r="U72" s="135">
        <v>0</v>
      </c>
      <c r="V72" s="135">
        <v>-0.22</v>
      </c>
      <c r="W72" s="135">
        <v>0</v>
      </c>
      <c r="X72" s="136">
        <v>3.68</v>
      </c>
      <c r="Y72" s="137" t="s">
        <v>0</v>
      </c>
      <c r="Z72" s="138"/>
      <c r="AA72" s="138"/>
    </row>
    <row r="73" spans="2:27" ht="21" x14ac:dyDescent="0.25">
      <c r="B73" s="139">
        <v>1514707570</v>
      </c>
      <c r="C73" s="140" t="s">
        <v>41</v>
      </c>
      <c r="D73" s="17" t="str">
        <f>IFERROR(INDEX([1]Positions!$A:$A,MATCH(C73,[1]Positions!$C:$C,0)),"Other")</f>
        <v>Other</v>
      </c>
      <c r="E73" s="17">
        <f t="shared" si="1"/>
        <v>2.0974954458041362E-3</v>
      </c>
      <c r="F73" s="17" t="str">
        <f t="shared" si="2"/>
        <v>SWAP Contract</v>
      </c>
      <c r="G73" s="17" t="b">
        <f t="shared" si="0"/>
        <v>1</v>
      </c>
      <c r="H73" s="139" t="s">
        <v>42</v>
      </c>
      <c r="I73" s="141">
        <v>0.01</v>
      </c>
      <c r="J73" s="142">
        <v>45595.881864490701</v>
      </c>
      <c r="K73" s="141">
        <v>20.159700000000001</v>
      </c>
      <c r="L73" s="142">
        <v>45595.945838101798</v>
      </c>
      <c r="M73" s="141">
        <v>20.191099999999999</v>
      </c>
      <c r="N73" s="139" t="s">
        <v>33</v>
      </c>
      <c r="O73" s="139" t="s">
        <v>33</v>
      </c>
      <c r="P73" s="139"/>
      <c r="Q73" s="139"/>
      <c r="R73" s="141">
        <v>20.190000000000001</v>
      </c>
      <c r="S73" s="141">
        <v>20.12</v>
      </c>
      <c r="T73" s="139">
        <v>5</v>
      </c>
      <c r="U73" s="144">
        <v>0</v>
      </c>
      <c r="V73" s="144">
        <v>0</v>
      </c>
      <c r="W73" s="144">
        <v>0</v>
      </c>
      <c r="X73" s="145">
        <v>-1.56</v>
      </c>
      <c r="Y73" s="146" t="s">
        <v>39</v>
      </c>
      <c r="Z73" s="138"/>
      <c r="AA73" s="138"/>
    </row>
    <row r="74" spans="2:27" ht="21" x14ac:dyDescent="0.25">
      <c r="B74" s="130">
        <v>1516787001</v>
      </c>
      <c r="C74" s="131" t="s">
        <v>43</v>
      </c>
      <c r="D74" s="17" t="str">
        <f>IFERROR(INDEX([1]Positions!$A:$A,MATCH(C74,[1]Positions!$C:$C,0)),"Other")</f>
        <v>Other</v>
      </c>
      <c r="E74" s="17">
        <f t="shared" si="1"/>
        <v>3.2446495081740815E-5</v>
      </c>
      <c r="F74" s="17" t="str">
        <f t="shared" si="2"/>
        <v>SWAP Contract</v>
      </c>
      <c r="G74" s="17" t="b">
        <f t="shared" si="0"/>
        <v>1</v>
      </c>
      <c r="H74" s="130" t="s">
        <v>42</v>
      </c>
      <c r="I74" s="132">
        <v>0.01</v>
      </c>
      <c r="J74" s="133">
        <v>45597.132397187503</v>
      </c>
      <c r="K74" s="132">
        <v>2748.04</v>
      </c>
      <c r="L74" s="133">
        <v>45597.133386805603</v>
      </c>
      <c r="M74" s="132">
        <v>2747.79</v>
      </c>
      <c r="N74" s="130" t="s">
        <v>33</v>
      </c>
      <c r="O74" s="130" t="s">
        <v>33</v>
      </c>
      <c r="P74" s="130"/>
      <c r="Q74" s="130"/>
      <c r="R74" s="130"/>
      <c r="S74" s="130"/>
      <c r="T74" s="130">
        <v>13.74</v>
      </c>
      <c r="U74" s="135">
        <v>0</v>
      </c>
      <c r="V74" s="135">
        <v>0</v>
      </c>
      <c r="W74" s="135">
        <v>0</v>
      </c>
      <c r="X74" s="136">
        <v>0.25</v>
      </c>
      <c r="Y74" s="137" t="s">
        <v>0</v>
      </c>
      <c r="Z74" s="138"/>
      <c r="AA74" s="138"/>
    </row>
    <row r="75" spans="2:27" ht="21" x14ac:dyDescent="0.25">
      <c r="B75" s="139">
        <v>1516790032</v>
      </c>
      <c r="C75" s="140" t="s">
        <v>43</v>
      </c>
      <c r="D75" s="17" t="str">
        <f>IFERROR(INDEX([1]Positions!$A:$A,MATCH(C75,[1]Positions!$C:$C,0)),"Other")</f>
        <v>Other</v>
      </c>
      <c r="E75" s="17">
        <f t="shared" si="1"/>
        <v>1.0900652788953519E-4</v>
      </c>
      <c r="F75" s="17" t="str">
        <f t="shared" si="2"/>
        <v>SWAP Contract</v>
      </c>
      <c r="G75" s="17" t="b">
        <f t="shared" si="0"/>
        <v>1</v>
      </c>
      <c r="H75" s="139" t="s">
        <v>32</v>
      </c>
      <c r="I75" s="141">
        <v>0.01</v>
      </c>
      <c r="J75" s="142">
        <v>45597.135418888902</v>
      </c>
      <c r="K75" s="141">
        <v>2747.23</v>
      </c>
      <c r="L75" s="142">
        <v>45597.138743588002</v>
      </c>
      <c r="M75" s="141">
        <v>2747.25</v>
      </c>
      <c r="N75" s="139" t="s">
        <v>33</v>
      </c>
      <c r="O75" s="139" t="s">
        <v>33</v>
      </c>
      <c r="P75" s="139"/>
      <c r="Q75" s="139"/>
      <c r="R75" s="139"/>
      <c r="S75" s="139"/>
      <c r="T75" s="139">
        <v>13.74</v>
      </c>
      <c r="U75" s="144">
        <v>0</v>
      </c>
      <c r="V75" s="144">
        <v>0</v>
      </c>
      <c r="W75" s="144">
        <v>0</v>
      </c>
      <c r="X75" s="148">
        <v>0.02</v>
      </c>
      <c r="Y75" s="146" t="s">
        <v>0</v>
      </c>
      <c r="Z75" s="138"/>
      <c r="AA75" s="138"/>
    </row>
    <row r="76" spans="2:27" ht="21" x14ac:dyDescent="0.25">
      <c r="B76" s="130">
        <v>1516793905</v>
      </c>
      <c r="C76" s="131" t="s">
        <v>43</v>
      </c>
      <c r="D76" s="17" t="str">
        <f>IFERROR(INDEX([1]Positions!$A:$A,MATCH(C76,[1]Positions!$C:$C,0)),"Other")</f>
        <v>Other</v>
      </c>
      <c r="E76" s="17">
        <f t="shared" si="1"/>
        <v>1.7176988533675121E-4</v>
      </c>
      <c r="F76" s="17" t="str">
        <f t="shared" si="2"/>
        <v>SWAP Contract</v>
      </c>
      <c r="G76" s="17" t="b">
        <f t="shared" si="0"/>
        <v>1</v>
      </c>
      <c r="H76" s="130" t="s">
        <v>42</v>
      </c>
      <c r="I76" s="132">
        <v>0.01</v>
      </c>
      <c r="J76" s="133">
        <v>45597.140248020798</v>
      </c>
      <c r="K76" s="132">
        <v>2747.11</v>
      </c>
      <c r="L76" s="133">
        <v>45597.145487002301</v>
      </c>
      <c r="M76" s="132">
        <v>2747.77</v>
      </c>
      <c r="N76" s="130" t="s">
        <v>33</v>
      </c>
      <c r="O76" s="130" t="s">
        <v>33</v>
      </c>
      <c r="P76" s="130"/>
      <c r="Q76" s="130"/>
      <c r="R76" s="130"/>
      <c r="S76" s="130"/>
      <c r="T76" s="130">
        <v>13.74</v>
      </c>
      <c r="U76" s="135">
        <v>0</v>
      </c>
      <c r="V76" s="135">
        <v>0</v>
      </c>
      <c r="W76" s="135">
        <v>0</v>
      </c>
      <c r="X76" s="147">
        <v>-0.66</v>
      </c>
      <c r="Y76" s="137" t="s">
        <v>0</v>
      </c>
      <c r="Z76" s="138"/>
      <c r="AA76" s="138"/>
    </row>
    <row r="77" spans="2:27" ht="21" x14ac:dyDescent="0.25">
      <c r="B77" s="139">
        <v>1516796610</v>
      </c>
      <c r="C77" s="140" t="s">
        <v>43</v>
      </c>
      <c r="D77" s="17" t="str">
        <f>IFERROR(INDEX([1]Positions!$A:$A,MATCH(C77,[1]Positions!$C:$C,0)),"Other")</f>
        <v>Other</v>
      </c>
      <c r="E77" s="17">
        <f t="shared" si="1"/>
        <v>1.2473626559424657E-4</v>
      </c>
      <c r="F77" s="17" t="str">
        <f t="shared" si="2"/>
        <v>SWAP Contract</v>
      </c>
      <c r="G77" s="17" t="b">
        <f t="shared" si="0"/>
        <v>1</v>
      </c>
      <c r="H77" s="139" t="s">
        <v>32</v>
      </c>
      <c r="I77" s="141">
        <v>0.01</v>
      </c>
      <c r="J77" s="142">
        <v>45597.145563645798</v>
      </c>
      <c r="K77" s="141">
        <v>2748.12</v>
      </c>
      <c r="L77" s="142">
        <v>45597.149368101898</v>
      </c>
      <c r="M77" s="141">
        <v>2746.29</v>
      </c>
      <c r="N77" s="139" t="s">
        <v>33</v>
      </c>
      <c r="O77" s="139" t="s">
        <v>33</v>
      </c>
      <c r="P77" s="139"/>
      <c r="Q77" s="139"/>
      <c r="R77" s="139"/>
      <c r="S77" s="139"/>
      <c r="T77" s="139">
        <v>13.74</v>
      </c>
      <c r="U77" s="144">
        <v>0</v>
      </c>
      <c r="V77" s="144">
        <v>0</v>
      </c>
      <c r="W77" s="144">
        <v>0</v>
      </c>
      <c r="X77" s="145">
        <v>-1.83</v>
      </c>
      <c r="Y77" s="146" t="s">
        <v>0</v>
      </c>
      <c r="Z77" s="138"/>
      <c r="AA77" s="138"/>
    </row>
    <row r="78" spans="2:27" ht="21" x14ac:dyDescent="0.25">
      <c r="B78" s="130">
        <v>1516798655</v>
      </c>
      <c r="C78" s="131" t="s">
        <v>43</v>
      </c>
      <c r="D78" s="17" t="str">
        <f>IFERROR(INDEX([1]Positions!$A:$A,MATCH(C78,[1]Positions!$C:$C,0)),"Other")</f>
        <v>Other</v>
      </c>
      <c r="E78" s="17">
        <f t="shared" si="1"/>
        <v>4.1284911395584951E-5</v>
      </c>
      <c r="F78" s="17" t="str">
        <f t="shared" si="2"/>
        <v>SWAP Contract</v>
      </c>
      <c r="G78" s="17" t="b">
        <f t="shared" ref="G78:G141" si="3">ISNUMBER(I78)</f>
        <v>1</v>
      </c>
      <c r="H78" s="130" t="s">
        <v>42</v>
      </c>
      <c r="I78" s="132">
        <v>0.01</v>
      </c>
      <c r="J78" s="133">
        <v>45597.149493750003</v>
      </c>
      <c r="K78" s="132">
        <v>2746.13</v>
      </c>
      <c r="L78" s="133">
        <v>45597.1507529398</v>
      </c>
      <c r="M78" s="132">
        <v>2747.4</v>
      </c>
      <c r="N78" s="130" t="s">
        <v>33</v>
      </c>
      <c r="O78" s="130" t="s">
        <v>33</v>
      </c>
      <c r="P78" s="130"/>
      <c r="Q78" s="130"/>
      <c r="R78" s="130"/>
      <c r="S78" s="130"/>
      <c r="T78" s="130">
        <v>13.73</v>
      </c>
      <c r="U78" s="135">
        <v>0</v>
      </c>
      <c r="V78" s="135">
        <v>0</v>
      </c>
      <c r="W78" s="135">
        <v>0</v>
      </c>
      <c r="X78" s="147">
        <v>-1.27</v>
      </c>
      <c r="Y78" s="137" t="s">
        <v>0</v>
      </c>
      <c r="Z78" s="138"/>
      <c r="AA78" s="138"/>
    </row>
    <row r="79" spans="2:27" ht="21" x14ac:dyDescent="0.25">
      <c r="B79" s="139">
        <v>1516805560</v>
      </c>
      <c r="C79" s="140" t="s">
        <v>43</v>
      </c>
      <c r="D79" s="17" t="str">
        <f>IFERROR(INDEX([1]Positions!$A:$A,MATCH(C79,[1]Positions!$C:$C,0)),"Other")</f>
        <v>Other</v>
      </c>
      <c r="E79" s="17">
        <f t="shared" ref="E79:E142" si="4">(L79-J79)/30.5</f>
        <v>1.2187727538059602E-4</v>
      </c>
      <c r="F79" s="17" t="str">
        <f t="shared" ref="F79:F142" si="5">IF(ISBLANK(T79),"Stock Holding","SWAP Contract")</f>
        <v>SWAP Contract</v>
      </c>
      <c r="G79" s="17" t="b">
        <f t="shared" si="3"/>
        <v>1</v>
      </c>
      <c r="H79" s="139" t="s">
        <v>32</v>
      </c>
      <c r="I79" s="141">
        <v>0.01</v>
      </c>
      <c r="J79" s="142">
        <v>45597.163851886602</v>
      </c>
      <c r="K79" s="141">
        <v>2748.03</v>
      </c>
      <c r="L79" s="142">
        <v>45597.167569143501</v>
      </c>
      <c r="M79" s="141">
        <v>2748.36</v>
      </c>
      <c r="N79" s="139" t="s">
        <v>33</v>
      </c>
      <c r="O79" s="139" t="s">
        <v>33</v>
      </c>
      <c r="P79" s="139"/>
      <c r="Q79" s="139"/>
      <c r="R79" s="139"/>
      <c r="S79" s="139"/>
      <c r="T79" s="139">
        <v>13.74</v>
      </c>
      <c r="U79" s="144">
        <v>0</v>
      </c>
      <c r="V79" s="144">
        <v>0</v>
      </c>
      <c r="W79" s="144">
        <v>0</v>
      </c>
      <c r="X79" s="148">
        <v>0.33</v>
      </c>
      <c r="Y79" s="146" t="s">
        <v>0</v>
      </c>
      <c r="Z79" s="138"/>
      <c r="AA79" s="138"/>
    </row>
    <row r="80" spans="2:27" ht="21" x14ac:dyDescent="0.25">
      <c r="B80" s="130">
        <v>1516814771</v>
      </c>
      <c r="C80" s="131" t="s">
        <v>43</v>
      </c>
      <c r="D80" s="17" t="str">
        <f>IFERROR(INDEX([1]Positions!$A:$A,MATCH(C80,[1]Positions!$C:$C,0)),"Other")</f>
        <v>Other</v>
      </c>
      <c r="E80" s="17">
        <f t="shared" si="4"/>
        <v>1.8227269508509485E-4</v>
      </c>
      <c r="F80" s="17" t="str">
        <f t="shared" si="5"/>
        <v>SWAP Contract</v>
      </c>
      <c r="G80" s="17" t="b">
        <f t="shared" si="3"/>
        <v>1</v>
      </c>
      <c r="H80" s="130" t="s">
        <v>32</v>
      </c>
      <c r="I80" s="132">
        <v>0.01</v>
      </c>
      <c r="J80" s="133">
        <v>45597.184160023098</v>
      </c>
      <c r="K80" s="132">
        <v>2749.48</v>
      </c>
      <c r="L80" s="133">
        <v>45597.189719340298</v>
      </c>
      <c r="M80" s="132">
        <v>2749.54</v>
      </c>
      <c r="N80" s="130" t="s">
        <v>33</v>
      </c>
      <c r="O80" s="130" t="s">
        <v>33</v>
      </c>
      <c r="P80" s="130"/>
      <c r="Q80" s="130"/>
      <c r="R80" s="130"/>
      <c r="S80" s="130"/>
      <c r="T80" s="130">
        <v>13.75</v>
      </c>
      <c r="U80" s="135">
        <v>0</v>
      </c>
      <c r="V80" s="135">
        <v>0</v>
      </c>
      <c r="W80" s="135">
        <v>0</v>
      </c>
      <c r="X80" s="136">
        <v>0.06</v>
      </c>
      <c r="Y80" s="137" t="s">
        <v>0</v>
      </c>
      <c r="Z80" s="138"/>
      <c r="AA80" s="138"/>
    </row>
    <row r="81" spans="2:27" ht="21" x14ac:dyDescent="0.25">
      <c r="B81" s="139">
        <v>1516838270</v>
      </c>
      <c r="C81" s="140" t="s">
        <v>43</v>
      </c>
      <c r="D81" s="17" t="str">
        <f>IFERROR(INDEX([1]Positions!$A:$A,MATCH(C81,[1]Positions!$C:$C,0)),"Other")</f>
        <v>Other</v>
      </c>
      <c r="E81" s="17">
        <f t="shared" si="4"/>
        <v>1.0637264344249622E-2</v>
      </c>
      <c r="F81" s="17" t="str">
        <f t="shared" si="5"/>
        <v>SWAP Contract</v>
      </c>
      <c r="G81" s="17" t="b">
        <f t="shared" si="3"/>
        <v>1</v>
      </c>
      <c r="H81" s="139" t="s">
        <v>32</v>
      </c>
      <c r="I81" s="141">
        <v>0.01</v>
      </c>
      <c r="J81" s="142">
        <v>45597.238111597202</v>
      </c>
      <c r="K81" s="141">
        <v>2751.84</v>
      </c>
      <c r="L81" s="142">
        <v>45597.562548159702</v>
      </c>
      <c r="M81" s="141">
        <v>2756.23</v>
      </c>
      <c r="N81" s="139" t="s">
        <v>33</v>
      </c>
      <c r="O81" s="139" t="s">
        <v>33</v>
      </c>
      <c r="P81" s="139"/>
      <c r="Q81" s="139"/>
      <c r="R81" s="139"/>
      <c r="S81" s="141">
        <v>2754.07</v>
      </c>
      <c r="T81" s="139">
        <v>13.76</v>
      </c>
      <c r="U81" s="144">
        <v>0</v>
      </c>
      <c r="V81" s="144">
        <v>0</v>
      </c>
      <c r="W81" s="144">
        <v>0</v>
      </c>
      <c r="X81" s="148">
        <v>4.3899999999999997</v>
      </c>
      <c r="Y81" s="146" t="s">
        <v>44</v>
      </c>
      <c r="Z81" s="138"/>
      <c r="AA81" s="138"/>
    </row>
    <row r="82" spans="2:27" ht="21" x14ac:dyDescent="0.25">
      <c r="B82" s="130">
        <v>1515520253</v>
      </c>
      <c r="C82" s="131" t="s">
        <v>41</v>
      </c>
      <c r="D82" s="17" t="str">
        <f>IFERROR(INDEX([1]Positions!$A:$A,MATCH(C82,[1]Positions!$C:$C,0)),"Other")</f>
        <v>Other</v>
      </c>
      <c r="E82" s="17">
        <f t="shared" si="4"/>
        <v>3.8447563750688446E-2</v>
      </c>
      <c r="F82" s="17" t="str">
        <f t="shared" si="5"/>
        <v>SWAP Contract</v>
      </c>
      <c r="G82" s="17" t="b">
        <f t="shared" si="3"/>
        <v>1</v>
      </c>
      <c r="H82" s="130" t="s">
        <v>32</v>
      </c>
      <c r="I82" s="132">
        <v>0.01</v>
      </c>
      <c r="J82" s="133">
        <v>45596.558121296301</v>
      </c>
      <c r="K82" s="132">
        <v>20.0901</v>
      </c>
      <c r="L82" s="133">
        <v>45597.730771990697</v>
      </c>
      <c r="M82" s="132">
        <v>20.077500000000001</v>
      </c>
      <c r="N82" s="130" t="s">
        <v>33</v>
      </c>
      <c r="O82" s="130" t="s">
        <v>33</v>
      </c>
      <c r="P82" s="130"/>
      <c r="Q82" s="130"/>
      <c r="R82" s="130"/>
      <c r="S82" s="130"/>
      <c r="T82" s="130">
        <v>5</v>
      </c>
      <c r="U82" s="135">
        <v>0</v>
      </c>
      <c r="V82" s="135">
        <v>-0.22</v>
      </c>
      <c r="W82" s="135">
        <v>0</v>
      </c>
      <c r="X82" s="147">
        <v>-0.63</v>
      </c>
      <c r="Y82" s="137" t="s">
        <v>0</v>
      </c>
      <c r="Z82" s="138"/>
      <c r="AA82" s="138"/>
    </row>
    <row r="83" spans="2:27" ht="21" x14ac:dyDescent="0.25">
      <c r="B83" s="139">
        <v>1517450167</v>
      </c>
      <c r="C83" s="140" t="s">
        <v>41</v>
      </c>
      <c r="D83" s="17" t="str">
        <f>IFERROR(INDEX([1]Positions!$A:$A,MATCH(C83,[1]Positions!$C:$C,0)),"Other")</f>
        <v>Other</v>
      </c>
      <c r="E83" s="17">
        <f t="shared" si="4"/>
        <v>4.4060215541470767E-3</v>
      </c>
      <c r="F83" s="17" t="str">
        <f t="shared" si="5"/>
        <v>SWAP Contract</v>
      </c>
      <c r="G83" s="17" t="b">
        <f t="shared" si="3"/>
        <v>1</v>
      </c>
      <c r="H83" s="139" t="s">
        <v>32</v>
      </c>
      <c r="I83" s="141">
        <v>0.01</v>
      </c>
      <c r="J83" s="142">
        <v>45597.596389050901</v>
      </c>
      <c r="K83" s="141">
        <v>19.9771</v>
      </c>
      <c r="L83" s="142">
        <v>45597.730772708303</v>
      </c>
      <c r="M83" s="141">
        <v>20.077500000000001</v>
      </c>
      <c r="N83" s="139" t="s">
        <v>33</v>
      </c>
      <c r="O83" s="139" t="s">
        <v>33</v>
      </c>
      <c r="P83" s="139"/>
      <c r="Q83" s="139"/>
      <c r="R83" s="139"/>
      <c r="S83" s="139"/>
      <c r="T83" s="139">
        <v>5</v>
      </c>
      <c r="U83" s="144">
        <v>0</v>
      </c>
      <c r="V83" s="144">
        <v>0</v>
      </c>
      <c r="W83" s="144">
        <v>0</v>
      </c>
      <c r="X83" s="148">
        <v>5</v>
      </c>
      <c r="Y83" s="146" t="s">
        <v>0</v>
      </c>
      <c r="Z83" s="138"/>
      <c r="AA83" s="138"/>
    </row>
    <row r="84" spans="2:27" ht="21" x14ac:dyDescent="0.25">
      <c r="B84" s="130">
        <v>1517930572</v>
      </c>
      <c r="C84" s="131" t="s">
        <v>41</v>
      </c>
      <c r="D84" s="17" t="str">
        <f>IFERROR(INDEX([1]Positions!$A:$A,MATCH(C84,[1]Positions!$C:$C,0)),"Other")</f>
        <v>Other</v>
      </c>
      <c r="E84" s="17">
        <f t="shared" si="4"/>
        <v>1.6508426194720458E-5</v>
      </c>
      <c r="F84" s="17" t="str">
        <f t="shared" si="5"/>
        <v>SWAP Contract</v>
      </c>
      <c r="G84" s="17" t="b">
        <f t="shared" si="3"/>
        <v>1</v>
      </c>
      <c r="H84" s="130" t="s">
        <v>42</v>
      </c>
      <c r="I84" s="132">
        <v>0.01</v>
      </c>
      <c r="J84" s="133">
        <v>45597.730387268501</v>
      </c>
      <c r="K84" s="132">
        <v>20.077999999999999</v>
      </c>
      <c r="L84" s="133">
        <v>45597.7308907755</v>
      </c>
      <c r="M84" s="132">
        <v>20.082000000000001</v>
      </c>
      <c r="N84" s="130" t="s">
        <v>33</v>
      </c>
      <c r="O84" s="130" t="s">
        <v>33</v>
      </c>
      <c r="P84" s="130"/>
      <c r="Q84" s="130"/>
      <c r="R84" s="130"/>
      <c r="S84" s="130"/>
      <c r="T84" s="130">
        <v>5</v>
      </c>
      <c r="U84" s="135">
        <v>0</v>
      </c>
      <c r="V84" s="135">
        <v>0</v>
      </c>
      <c r="W84" s="135">
        <v>0</v>
      </c>
      <c r="X84" s="147">
        <v>-0.2</v>
      </c>
      <c r="Y84" s="137" t="s">
        <v>0</v>
      </c>
      <c r="Z84" s="138"/>
      <c r="AA84" s="138"/>
    </row>
    <row r="85" spans="2:27" ht="21" x14ac:dyDescent="0.25">
      <c r="B85" s="139">
        <v>1517879253</v>
      </c>
      <c r="C85" s="140" t="s">
        <v>45</v>
      </c>
      <c r="D85" s="17" t="str">
        <f>IFERROR(INDEX([1]Positions!$A:$A,MATCH(C85,[1]Positions!$C:$C,0)),"Other")</f>
        <v>Other</v>
      </c>
      <c r="E85" s="17">
        <f t="shared" si="4"/>
        <v>9.7652301911529932E-2</v>
      </c>
      <c r="F85" s="17" t="str">
        <f t="shared" si="5"/>
        <v>SWAP Contract</v>
      </c>
      <c r="G85" s="17" t="b">
        <f t="shared" si="3"/>
        <v>1</v>
      </c>
      <c r="H85" s="139" t="s">
        <v>32</v>
      </c>
      <c r="I85" s="141">
        <v>0.01</v>
      </c>
      <c r="J85" s="142">
        <v>45597.7055271875</v>
      </c>
      <c r="K85" s="141">
        <v>20.079999999999998</v>
      </c>
      <c r="L85" s="142">
        <v>45600.683922395801</v>
      </c>
      <c r="M85" s="141">
        <v>19.63</v>
      </c>
      <c r="N85" s="139" t="s">
        <v>33</v>
      </c>
      <c r="O85" s="139" t="s">
        <v>46</v>
      </c>
      <c r="P85" s="139"/>
      <c r="Q85" s="139"/>
      <c r="R85" s="139"/>
      <c r="S85" s="141">
        <v>20.92</v>
      </c>
      <c r="T85" s="139">
        <v>12.05</v>
      </c>
      <c r="U85" s="144">
        <v>0</v>
      </c>
      <c r="V85" s="144">
        <v>-0.63</v>
      </c>
      <c r="W85" s="144">
        <v>0</v>
      </c>
      <c r="X85" s="145">
        <v>-18</v>
      </c>
      <c r="Y85" s="146" t="s">
        <v>47</v>
      </c>
      <c r="Z85" s="138"/>
      <c r="AA85" s="138"/>
    </row>
    <row r="86" spans="2:27" ht="21" x14ac:dyDescent="0.25">
      <c r="B86" s="130">
        <v>1379227659</v>
      </c>
      <c r="C86" s="131" t="s">
        <v>507</v>
      </c>
      <c r="D86" s="17" t="str">
        <f>IFERROR(INDEX([1]Positions!$A:$A,MATCH(C86,[1]Positions!$C:$C,0)),"Other")</f>
        <v>Technology</v>
      </c>
      <c r="E86" s="17">
        <f t="shared" si="4"/>
        <v>3.9657629637215113</v>
      </c>
      <c r="F86" s="17" t="str">
        <f t="shared" si="5"/>
        <v>Stock Holding</v>
      </c>
      <c r="G86" s="17" t="b">
        <f t="shared" si="3"/>
        <v>1</v>
      </c>
      <c r="H86" s="130" t="s">
        <v>32</v>
      </c>
      <c r="I86" s="132">
        <v>0.15210000000000001</v>
      </c>
      <c r="J86" s="133">
        <v>45482.915812719897</v>
      </c>
      <c r="K86" s="132">
        <v>131.38</v>
      </c>
      <c r="L86" s="133">
        <v>45603.871583113403</v>
      </c>
      <c r="M86" s="132">
        <v>148.18</v>
      </c>
      <c r="N86" s="130" t="s">
        <v>33</v>
      </c>
      <c r="O86" s="130" t="s">
        <v>33</v>
      </c>
      <c r="P86" s="134">
        <v>19.98</v>
      </c>
      <c r="Q86" s="134">
        <v>22.54</v>
      </c>
      <c r="R86" s="130"/>
      <c r="S86" s="130"/>
      <c r="T86" s="130"/>
      <c r="U86" s="135">
        <v>0</v>
      </c>
      <c r="V86" s="135">
        <v>0</v>
      </c>
      <c r="W86" s="135">
        <v>0</v>
      </c>
      <c r="X86" s="136">
        <v>2.56</v>
      </c>
      <c r="Y86" s="137"/>
      <c r="Z86" s="138"/>
      <c r="AA86" s="138"/>
    </row>
    <row r="87" spans="2:27" ht="21" x14ac:dyDescent="0.25">
      <c r="B87" s="139">
        <v>1527051962</v>
      </c>
      <c r="C87" s="140" t="s">
        <v>41</v>
      </c>
      <c r="D87" s="17" t="str">
        <f>IFERROR(INDEX([1]Positions!$A:$A,MATCH(C87,[1]Positions!$C:$C,0)),"Other")</f>
        <v>Other</v>
      </c>
      <c r="E87" s="17">
        <f t="shared" si="4"/>
        <v>1.414252960000981E-2</v>
      </c>
      <c r="F87" s="17" t="str">
        <f t="shared" si="5"/>
        <v>SWAP Contract</v>
      </c>
      <c r="G87" s="17" t="b">
        <f t="shared" si="3"/>
        <v>1</v>
      </c>
      <c r="H87" s="139" t="s">
        <v>32</v>
      </c>
      <c r="I87" s="141">
        <v>0.01</v>
      </c>
      <c r="J87" s="142">
        <v>45604.131454016198</v>
      </c>
      <c r="K87" s="141">
        <v>19.830200000000001</v>
      </c>
      <c r="L87" s="142">
        <v>45604.562801168999</v>
      </c>
      <c r="M87" s="141">
        <v>19.9681</v>
      </c>
      <c r="N87" s="139" t="s">
        <v>33</v>
      </c>
      <c r="O87" s="139" t="s">
        <v>33</v>
      </c>
      <c r="P87" s="139"/>
      <c r="Q87" s="139"/>
      <c r="R87" s="141">
        <v>19.97</v>
      </c>
      <c r="S87" s="141">
        <v>20.12</v>
      </c>
      <c r="T87" s="139">
        <v>5</v>
      </c>
      <c r="U87" s="144">
        <v>0</v>
      </c>
      <c r="V87" s="144">
        <v>0</v>
      </c>
      <c r="W87" s="144">
        <v>0</v>
      </c>
      <c r="X87" s="148">
        <v>6.9</v>
      </c>
      <c r="Y87" s="146" t="s">
        <v>39</v>
      </c>
      <c r="Z87" s="138"/>
      <c r="AA87" s="138"/>
    </row>
    <row r="88" spans="2:27" ht="21" x14ac:dyDescent="0.25">
      <c r="B88" s="130">
        <v>1527744522</v>
      </c>
      <c r="C88" s="131" t="s">
        <v>41</v>
      </c>
      <c r="D88" s="17" t="str">
        <f>IFERROR(INDEX([1]Positions!$A:$A,MATCH(C88,[1]Positions!$C:$C,0)),"Other")</f>
        <v>Other</v>
      </c>
      <c r="E88" s="17">
        <f t="shared" si="4"/>
        <v>4.8379895094110339E-4</v>
      </c>
      <c r="F88" s="17" t="str">
        <f t="shared" si="5"/>
        <v>SWAP Contract</v>
      </c>
      <c r="G88" s="17" t="b">
        <f t="shared" si="3"/>
        <v>1</v>
      </c>
      <c r="H88" s="130" t="s">
        <v>32</v>
      </c>
      <c r="I88" s="132">
        <v>0.01</v>
      </c>
      <c r="J88" s="133">
        <v>45604.556079212998</v>
      </c>
      <c r="K88" s="132">
        <v>19.978400000000001</v>
      </c>
      <c r="L88" s="133">
        <v>45604.570835081002</v>
      </c>
      <c r="M88" s="132">
        <v>19.9497</v>
      </c>
      <c r="N88" s="130" t="s">
        <v>33</v>
      </c>
      <c r="O88" s="130" t="s">
        <v>33</v>
      </c>
      <c r="P88" s="130"/>
      <c r="Q88" s="130"/>
      <c r="R88" s="132">
        <v>19.95</v>
      </c>
      <c r="S88" s="132">
        <v>20.2</v>
      </c>
      <c r="T88" s="130">
        <v>5</v>
      </c>
      <c r="U88" s="135">
        <v>0</v>
      </c>
      <c r="V88" s="135">
        <v>0</v>
      </c>
      <c r="W88" s="135">
        <v>0</v>
      </c>
      <c r="X88" s="147">
        <v>-1.44</v>
      </c>
      <c r="Y88" s="137" t="s">
        <v>39</v>
      </c>
      <c r="Z88" s="138"/>
      <c r="AA88" s="138"/>
    </row>
    <row r="89" spans="2:27" ht="21" x14ac:dyDescent="0.25">
      <c r="B89" s="139">
        <v>1528126100</v>
      </c>
      <c r="C89" s="140" t="s">
        <v>41</v>
      </c>
      <c r="D89" s="17" t="str">
        <f>IFERROR(INDEX([1]Positions!$A:$A,MATCH(C89,[1]Positions!$C:$C,0)),"Other")</f>
        <v>Other</v>
      </c>
      <c r="E89" s="17">
        <f t="shared" si="4"/>
        <v>1.6380851541084741E-3</v>
      </c>
      <c r="F89" s="17" t="str">
        <f t="shared" si="5"/>
        <v>SWAP Contract</v>
      </c>
      <c r="G89" s="17" t="b">
        <f t="shared" si="3"/>
        <v>1</v>
      </c>
      <c r="H89" s="139" t="s">
        <v>32</v>
      </c>
      <c r="I89" s="141">
        <v>0.01</v>
      </c>
      <c r="J89" s="142">
        <v>45604.669181481499</v>
      </c>
      <c r="K89" s="141">
        <v>20.0428</v>
      </c>
      <c r="L89" s="142">
        <v>45604.719143078699</v>
      </c>
      <c r="M89" s="141">
        <v>20.098800000000001</v>
      </c>
      <c r="N89" s="139" t="s">
        <v>33</v>
      </c>
      <c r="O89" s="139" t="s">
        <v>40</v>
      </c>
      <c r="P89" s="139"/>
      <c r="Q89" s="139"/>
      <c r="R89" s="141">
        <v>20.098800000000001</v>
      </c>
      <c r="S89" s="141">
        <v>20.2</v>
      </c>
      <c r="T89" s="139">
        <v>5</v>
      </c>
      <c r="U89" s="144">
        <v>0</v>
      </c>
      <c r="V89" s="144">
        <v>0</v>
      </c>
      <c r="W89" s="144">
        <v>0</v>
      </c>
      <c r="X89" s="148">
        <v>2.79</v>
      </c>
      <c r="Y89" s="146" t="s">
        <v>39</v>
      </c>
      <c r="Z89" s="138"/>
      <c r="AA89" s="138"/>
    </row>
    <row r="90" spans="2:27" ht="21" x14ac:dyDescent="0.25">
      <c r="B90" s="130">
        <v>1528325630</v>
      </c>
      <c r="C90" s="131" t="s">
        <v>41</v>
      </c>
      <c r="D90" s="17" t="str">
        <f>IFERROR(INDEX([1]Positions!$A:$A,MATCH(C90,[1]Positions!$C:$C,0)),"Other")</f>
        <v>Other</v>
      </c>
      <c r="E90" s="17">
        <f t="shared" si="4"/>
        <v>7.578665886807148E-5</v>
      </c>
      <c r="F90" s="17" t="str">
        <f t="shared" si="5"/>
        <v>SWAP Contract</v>
      </c>
      <c r="G90" s="17" t="b">
        <f t="shared" si="3"/>
        <v>1</v>
      </c>
      <c r="H90" s="130" t="s">
        <v>42</v>
      </c>
      <c r="I90" s="132">
        <v>0.01</v>
      </c>
      <c r="J90" s="133">
        <v>45604.720327002302</v>
      </c>
      <c r="K90" s="132">
        <v>20.091200000000001</v>
      </c>
      <c r="L90" s="133">
        <v>45604.722638495397</v>
      </c>
      <c r="M90" s="132">
        <v>20.110099999999999</v>
      </c>
      <c r="N90" s="130" t="s">
        <v>40</v>
      </c>
      <c r="O90" s="130" t="s">
        <v>33</v>
      </c>
      <c r="P90" s="130"/>
      <c r="Q90" s="130"/>
      <c r="R90" s="132">
        <v>20.11</v>
      </c>
      <c r="S90" s="132">
        <v>20.021899999999999</v>
      </c>
      <c r="T90" s="130">
        <v>5</v>
      </c>
      <c r="U90" s="135">
        <v>0</v>
      </c>
      <c r="V90" s="135">
        <v>0</v>
      </c>
      <c r="W90" s="135">
        <v>0</v>
      </c>
      <c r="X90" s="147">
        <v>-0.94</v>
      </c>
      <c r="Y90" s="137" t="s">
        <v>39</v>
      </c>
      <c r="Z90" s="138"/>
      <c r="AA90" s="138"/>
    </row>
    <row r="91" spans="2:27" ht="21" x14ac:dyDescent="0.25">
      <c r="B91" s="139">
        <v>1531224336</v>
      </c>
      <c r="C91" s="140" t="s">
        <v>48</v>
      </c>
      <c r="D91" s="17" t="str">
        <f>IFERROR(INDEX([1]Positions!$A:$A,MATCH(C91,[1]Positions!$C:$C,0)),"Other")</f>
        <v>Other</v>
      </c>
      <c r="E91" s="17">
        <f t="shared" si="4"/>
        <v>1.4576047218068823E-4</v>
      </c>
      <c r="F91" s="17" t="str">
        <f t="shared" si="5"/>
        <v>SWAP Contract</v>
      </c>
      <c r="G91" s="17" t="b">
        <f t="shared" si="3"/>
        <v>1</v>
      </c>
      <c r="H91" s="139" t="s">
        <v>32</v>
      </c>
      <c r="I91" s="141">
        <v>0.01</v>
      </c>
      <c r="J91" s="142">
        <v>45608.246003171298</v>
      </c>
      <c r="K91" s="141">
        <v>153.589</v>
      </c>
      <c r="L91" s="142">
        <v>45608.2504488657</v>
      </c>
      <c r="M91" s="141">
        <v>153.46799999999999</v>
      </c>
      <c r="N91" s="139" t="s">
        <v>33</v>
      </c>
      <c r="O91" s="139" t="s">
        <v>33</v>
      </c>
      <c r="P91" s="139"/>
      <c r="Q91" s="139"/>
      <c r="R91" s="141">
        <v>153.47</v>
      </c>
      <c r="S91" s="141">
        <v>153.619</v>
      </c>
      <c r="T91" s="139">
        <v>5</v>
      </c>
      <c r="U91" s="144">
        <v>0</v>
      </c>
      <c r="V91" s="144">
        <v>0</v>
      </c>
      <c r="W91" s="144">
        <v>0</v>
      </c>
      <c r="X91" s="145">
        <v>-0.79</v>
      </c>
      <c r="Y91" s="146" t="s">
        <v>39</v>
      </c>
      <c r="Z91" s="138"/>
      <c r="AA91" s="138"/>
    </row>
    <row r="92" spans="2:27" ht="21" x14ac:dyDescent="0.25">
      <c r="B92" s="130">
        <v>1531227124</v>
      </c>
      <c r="C92" s="131" t="s">
        <v>48</v>
      </c>
      <c r="D92" s="17" t="str">
        <f>IFERROR(INDEX([1]Positions!$A:$A,MATCH(C92,[1]Positions!$C:$C,0)),"Other")</f>
        <v>Other</v>
      </c>
      <c r="E92" s="17">
        <f t="shared" si="4"/>
        <v>6.3023301648724157E-5</v>
      </c>
      <c r="F92" s="17" t="str">
        <f t="shared" si="5"/>
        <v>SWAP Contract</v>
      </c>
      <c r="G92" s="17" t="b">
        <f t="shared" si="3"/>
        <v>1</v>
      </c>
      <c r="H92" s="130" t="s">
        <v>42</v>
      </c>
      <c r="I92" s="132">
        <v>0.01</v>
      </c>
      <c r="J92" s="133">
        <v>45608.250154178197</v>
      </c>
      <c r="K92" s="132">
        <v>153.483</v>
      </c>
      <c r="L92" s="133">
        <v>45608.252076388897</v>
      </c>
      <c r="M92" s="132">
        <v>153.458</v>
      </c>
      <c r="N92" s="130" t="s">
        <v>33</v>
      </c>
      <c r="O92" s="130" t="s">
        <v>33</v>
      </c>
      <c r="P92" s="130"/>
      <c r="Q92" s="130"/>
      <c r="R92" s="132">
        <v>153.458</v>
      </c>
      <c r="S92" s="130"/>
      <c r="T92" s="130">
        <v>5</v>
      </c>
      <c r="U92" s="135">
        <v>0</v>
      </c>
      <c r="V92" s="135">
        <v>0</v>
      </c>
      <c r="W92" s="135">
        <v>0</v>
      </c>
      <c r="X92" s="136">
        <v>0.16</v>
      </c>
      <c r="Y92" s="137" t="s">
        <v>39</v>
      </c>
      <c r="Z92" s="138"/>
      <c r="AA92" s="138"/>
    </row>
    <row r="93" spans="2:27" ht="21" x14ac:dyDescent="0.25">
      <c r="B93" s="139">
        <v>1531230129</v>
      </c>
      <c r="C93" s="140" t="s">
        <v>48</v>
      </c>
      <c r="D93" s="17" t="str">
        <f>IFERROR(INDEX([1]Positions!$A:$A,MATCH(C93,[1]Positions!$C:$C,0)),"Other")</f>
        <v>Other</v>
      </c>
      <c r="E93" s="17">
        <f t="shared" si="4"/>
        <v>7.2839252410273331E-5</v>
      </c>
      <c r="F93" s="17" t="str">
        <f t="shared" si="5"/>
        <v>SWAP Contract</v>
      </c>
      <c r="G93" s="17" t="b">
        <f t="shared" si="3"/>
        <v>1</v>
      </c>
      <c r="H93" s="139" t="s">
        <v>42</v>
      </c>
      <c r="I93" s="141">
        <v>0.01</v>
      </c>
      <c r="J93" s="142">
        <v>45608.254444016202</v>
      </c>
      <c r="K93" s="141">
        <v>153.44499999999999</v>
      </c>
      <c r="L93" s="142">
        <v>45608.2566656134</v>
      </c>
      <c r="M93" s="141">
        <v>153.50200000000001</v>
      </c>
      <c r="N93" s="139" t="s">
        <v>33</v>
      </c>
      <c r="O93" s="139" t="s">
        <v>33</v>
      </c>
      <c r="P93" s="139"/>
      <c r="Q93" s="139"/>
      <c r="R93" s="141">
        <v>153.50200000000001</v>
      </c>
      <c r="S93" s="141">
        <v>153.39500000000001</v>
      </c>
      <c r="T93" s="139">
        <v>5</v>
      </c>
      <c r="U93" s="144">
        <v>0</v>
      </c>
      <c r="V93" s="144">
        <v>0</v>
      </c>
      <c r="W93" s="144">
        <v>0</v>
      </c>
      <c r="X93" s="145">
        <v>-0.37</v>
      </c>
      <c r="Y93" s="146" t="s">
        <v>39</v>
      </c>
      <c r="Z93" s="138"/>
      <c r="AA93" s="138"/>
    </row>
    <row r="94" spans="2:27" ht="21" x14ac:dyDescent="0.25">
      <c r="B94" s="130">
        <v>1531192665</v>
      </c>
      <c r="C94" s="131" t="s">
        <v>41</v>
      </c>
      <c r="D94" s="17" t="str">
        <f>IFERROR(INDEX([1]Positions!$A:$A,MATCH(C94,[1]Positions!$C:$C,0)),"Other")</f>
        <v>Other</v>
      </c>
      <c r="E94" s="17">
        <f t="shared" si="4"/>
        <v>4.7710287638989537E-3</v>
      </c>
      <c r="F94" s="17" t="str">
        <f t="shared" si="5"/>
        <v>SWAP Contract</v>
      </c>
      <c r="G94" s="17" t="b">
        <f t="shared" si="3"/>
        <v>1</v>
      </c>
      <c r="H94" s="130" t="s">
        <v>32</v>
      </c>
      <c r="I94" s="132">
        <v>0.02</v>
      </c>
      <c r="J94" s="133">
        <v>45608.198286377301</v>
      </c>
      <c r="K94" s="132">
        <v>20.411999999999999</v>
      </c>
      <c r="L94" s="133">
        <v>45608.3438027546</v>
      </c>
      <c r="M94" s="132">
        <v>20.4421</v>
      </c>
      <c r="N94" s="130" t="s">
        <v>33</v>
      </c>
      <c r="O94" s="130" t="s">
        <v>33</v>
      </c>
      <c r="P94" s="130"/>
      <c r="Q94" s="130"/>
      <c r="R94" s="132">
        <v>20.442900000000002</v>
      </c>
      <c r="S94" s="132">
        <v>20.532599999999999</v>
      </c>
      <c r="T94" s="130">
        <v>10</v>
      </c>
      <c r="U94" s="135">
        <v>0</v>
      </c>
      <c r="V94" s="135">
        <v>0</v>
      </c>
      <c r="W94" s="135">
        <v>0</v>
      </c>
      <c r="X94" s="136">
        <v>2.94</v>
      </c>
      <c r="Y94" s="137" t="s">
        <v>39</v>
      </c>
      <c r="Z94" s="138"/>
      <c r="AA94" s="138"/>
    </row>
    <row r="95" spans="2:27" ht="21" x14ac:dyDescent="0.25">
      <c r="B95" s="139">
        <v>1531349564</v>
      </c>
      <c r="C95" s="140" t="s">
        <v>41</v>
      </c>
      <c r="D95" s="17" t="str">
        <f>IFERROR(INDEX([1]Positions!$A:$A,MATCH(C95,[1]Positions!$C:$C,0)),"Other")</f>
        <v>Other</v>
      </c>
      <c r="E95" s="17">
        <f t="shared" si="4"/>
        <v>1.3527623091473199E-5</v>
      </c>
      <c r="F95" s="17" t="str">
        <f t="shared" si="5"/>
        <v>SWAP Contract</v>
      </c>
      <c r="G95" s="17" t="b">
        <f t="shared" si="3"/>
        <v>1</v>
      </c>
      <c r="H95" s="139" t="s">
        <v>42</v>
      </c>
      <c r="I95" s="141">
        <v>0.01</v>
      </c>
      <c r="J95" s="142">
        <v>45608.344496493097</v>
      </c>
      <c r="K95" s="141">
        <v>20.4344</v>
      </c>
      <c r="L95" s="142">
        <v>45608.344909085601</v>
      </c>
      <c r="M95" s="141">
        <v>20.450700000000001</v>
      </c>
      <c r="N95" s="139" t="s">
        <v>33</v>
      </c>
      <c r="O95" s="139" t="s">
        <v>33</v>
      </c>
      <c r="P95" s="139"/>
      <c r="Q95" s="139"/>
      <c r="R95" s="139"/>
      <c r="S95" s="139"/>
      <c r="T95" s="139">
        <v>5</v>
      </c>
      <c r="U95" s="144">
        <v>0</v>
      </c>
      <c r="V95" s="144">
        <v>0</v>
      </c>
      <c r="W95" s="144">
        <v>0</v>
      </c>
      <c r="X95" s="145">
        <v>-0.8</v>
      </c>
      <c r="Y95" s="146" t="s">
        <v>0</v>
      </c>
      <c r="Z95" s="138"/>
      <c r="AA95" s="138"/>
    </row>
    <row r="96" spans="2:27" ht="21" x14ac:dyDescent="0.25">
      <c r="B96" s="130">
        <v>1531351286</v>
      </c>
      <c r="C96" s="131" t="s">
        <v>41</v>
      </c>
      <c r="D96" s="17" t="str">
        <f>IFERROR(INDEX([1]Positions!$A:$A,MATCH(C96,[1]Positions!$C:$C,0)),"Other")</f>
        <v>Other</v>
      </c>
      <c r="E96" s="17">
        <f t="shared" si="4"/>
        <v>1.9965695096065336E-4</v>
      </c>
      <c r="F96" s="17" t="str">
        <f t="shared" si="5"/>
        <v>SWAP Contract</v>
      </c>
      <c r="G96" s="17" t="b">
        <f t="shared" si="3"/>
        <v>1</v>
      </c>
      <c r="H96" s="130" t="s">
        <v>32</v>
      </c>
      <c r="I96" s="132">
        <v>0.01</v>
      </c>
      <c r="J96" s="133">
        <v>45608.345713993098</v>
      </c>
      <c r="K96" s="132">
        <v>20.455400000000001</v>
      </c>
      <c r="L96" s="133">
        <v>45608.351803530102</v>
      </c>
      <c r="M96" s="132">
        <v>20.45</v>
      </c>
      <c r="N96" s="130" t="s">
        <v>33</v>
      </c>
      <c r="O96" s="130" t="s">
        <v>33</v>
      </c>
      <c r="P96" s="130"/>
      <c r="Q96" s="130"/>
      <c r="R96" s="132">
        <v>20.438099999999999</v>
      </c>
      <c r="S96" s="132">
        <v>20.47</v>
      </c>
      <c r="T96" s="130">
        <v>5</v>
      </c>
      <c r="U96" s="135">
        <v>0</v>
      </c>
      <c r="V96" s="135">
        <v>0</v>
      </c>
      <c r="W96" s="135">
        <v>0</v>
      </c>
      <c r="X96" s="147">
        <v>-0.26</v>
      </c>
      <c r="Y96" s="137" t="s">
        <v>0</v>
      </c>
      <c r="Z96" s="138"/>
      <c r="AA96" s="138"/>
    </row>
    <row r="97" spans="2:27" ht="21" x14ac:dyDescent="0.25">
      <c r="B97" s="139">
        <v>1531358421</v>
      </c>
      <c r="C97" s="140" t="s">
        <v>41</v>
      </c>
      <c r="D97" s="17" t="str">
        <f>IFERROR(INDEX([1]Positions!$A:$A,MATCH(C97,[1]Positions!$C:$C,0)),"Other")</f>
        <v>Other</v>
      </c>
      <c r="E97" s="17">
        <f t="shared" si="4"/>
        <v>1.535587443122793E-4</v>
      </c>
      <c r="F97" s="17" t="str">
        <f t="shared" si="5"/>
        <v>SWAP Contract</v>
      </c>
      <c r="G97" s="17" t="b">
        <f t="shared" si="3"/>
        <v>1</v>
      </c>
      <c r="H97" s="139" t="s">
        <v>32</v>
      </c>
      <c r="I97" s="141">
        <v>0.02</v>
      </c>
      <c r="J97" s="142">
        <v>45608.350114016197</v>
      </c>
      <c r="K97" s="141">
        <v>20.450299999999999</v>
      </c>
      <c r="L97" s="142">
        <v>45608.354797557899</v>
      </c>
      <c r="M97" s="141">
        <v>20.438199999999998</v>
      </c>
      <c r="N97" s="139" t="s">
        <v>33</v>
      </c>
      <c r="O97" s="139" t="s">
        <v>33</v>
      </c>
      <c r="P97" s="139"/>
      <c r="Q97" s="139"/>
      <c r="R97" s="141">
        <v>20.438800000000001</v>
      </c>
      <c r="S97" s="141">
        <v>20.476700000000001</v>
      </c>
      <c r="T97" s="139">
        <v>10</v>
      </c>
      <c r="U97" s="144">
        <v>0</v>
      </c>
      <c r="V97" s="144">
        <v>0</v>
      </c>
      <c r="W97" s="144">
        <v>0</v>
      </c>
      <c r="X97" s="145">
        <v>-1.18</v>
      </c>
      <c r="Y97" s="146" t="s">
        <v>39</v>
      </c>
      <c r="Z97" s="138"/>
      <c r="AA97" s="138"/>
    </row>
    <row r="98" spans="2:27" ht="21" x14ac:dyDescent="0.25">
      <c r="B98" s="130">
        <v>1532703059</v>
      </c>
      <c r="C98" s="131" t="s">
        <v>41</v>
      </c>
      <c r="D98" s="17" t="str">
        <f>IFERROR(INDEX([1]Positions!$A:$A,MATCH(C98,[1]Positions!$C:$C,0)),"Other")</f>
        <v>Other</v>
      </c>
      <c r="E98" s="17">
        <f t="shared" si="4"/>
        <v>2.6851168525458667E-4</v>
      </c>
      <c r="F98" s="17" t="str">
        <f t="shared" si="5"/>
        <v>SWAP Contract</v>
      </c>
      <c r="G98" s="17" t="b">
        <f t="shared" si="3"/>
        <v>1</v>
      </c>
      <c r="H98" s="130" t="s">
        <v>32</v>
      </c>
      <c r="I98" s="132">
        <v>0.02</v>
      </c>
      <c r="J98" s="133">
        <v>45608.757115243097</v>
      </c>
      <c r="K98" s="132">
        <v>20.626100000000001</v>
      </c>
      <c r="L98" s="133">
        <v>45608.765304849498</v>
      </c>
      <c r="M98" s="132">
        <v>20.629899999999999</v>
      </c>
      <c r="N98" s="130" t="s">
        <v>33</v>
      </c>
      <c r="O98" s="130" t="s">
        <v>33</v>
      </c>
      <c r="P98" s="130"/>
      <c r="Q98" s="130"/>
      <c r="R98" s="132">
        <v>20.5745</v>
      </c>
      <c r="S98" s="132">
        <v>20.636399999999998</v>
      </c>
      <c r="T98" s="130">
        <v>10</v>
      </c>
      <c r="U98" s="135">
        <v>0</v>
      </c>
      <c r="V98" s="135">
        <v>0</v>
      </c>
      <c r="W98" s="135">
        <v>0</v>
      </c>
      <c r="X98" s="136">
        <v>0.37</v>
      </c>
      <c r="Y98" s="137" t="s">
        <v>0</v>
      </c>
      <c r="Z98" s="138"/>
      <c r="AA98" s="138"/>
    </row>
    <row r="99" spans="2:27" ht="21" x14ac:dyDescent="0.25">
      <c r="B99" s="139">
        <v>1532729622</v>
      </c>
      <c r="C99" s="140" t="s">
        <v>48</v>
      </c>
      <c r="D99" s="17" t="str">
        <f>IFERROR(INDEX([1]Positions!$A:$A,MATCH(C99,[1]Positions!$C:$C,0)),"Other")</f>
        <v>Other</v>
      </c>
      <c r="E99" s="17">
        <f t="shared" si="4"/>
        <v>4.7218429304460885E-5</v>
      </c>
      <c r="F99" s="17" t="str">
        <f t="shared" si="5"/>
        <v>SWAP Contract</v>
      </c>
      <c r="G99" s="17" t="b">
        <f t="shared" si="3"/>
        <v>1</v>
      </c>
      <c r="H99" s="139" t="s">
        <v>32</v>
      </c>
      <c r="I99" s="141">
        <v>0.01</v>
      </c>
      <c r="J99" s="142">
        <v>45608.766520648103</v>
      </c>
      <c r="K99" s="141">
        <v>154.85300000000001</v>
      </c>
      <c r="L99" s="142">
        <v>45608.767960810197</v>
      </c>
      <c r="M99" s="141">
        <v>154.87299999999999</v>
      </c>
      <c r="N99" s="139" t="s">
        <v>33</v>
      </c>
      <c r="O99" s="139" t="s">
        <v>33</v>
      </c>
      <c r="P99" s="139"/>
      <c r="Q99" s="139"/>
      <c r="R99" s="139"/>
      <c r="S99" s="139"/>
      <c r="T99" s="139">
        <v>5</v>
      </c>
      <c r="U99" s="144">
        <v>0</v>
      </c>
      <c r="V99" s="144">
        <v>0</v>
      </c>
      <c r="W99" s="144">
        <v>0</v>
      </c>
      <c r="X99" s="148">
        <v>0.13</v>
      </c>
      <c r="Y99" s="146" t="s">
        <v>0</v>
      </c>
      <c r="Z99" s="138"/>
      <c r="AA99" s="138"/>
    </row>
    <row r="100" spans="2:27" ht="21" x14ac:dyDescent="0.25">
      <c r="B100" s="130">
        <v>1533930062</v>
      </c>
      <c r="C100" s="131" t="s">
        <v>41</v>
      </c>
      <c r="D100" s="17" t="str">
        <f>IFERROR(INDEX([1]Positions!$A:$A,MATCH(C100,[1]Positions!$C:$C,0)),"Other")</f>
        <v>Other</v>
      </c>
      <c r="E100" s="17">
        <f t="shared" si="4"/>
        <v>7.6063031156081706E-4</v>
      </c>
      <c r="F100" s="17" t="str">
        <f t="shared" si="5"/>
        <v>SWAP Contract</v>
      </c>
      <c r="G100" s="17" t="b">
        <f t="shared" si="3"/>
        <v>1</v>
      </c>
      <c r="H100" s="130" t="s">
        <v>32</v>
      </c>
      <c r="I100" s="132">
        <v>0.01</v>
      </c>
      <c r="J100" s="133">
        <v>45609.6156938079</v>
      </c>
      <c r="K100" s="132">
        <v>20.507000000000001</v>
      </c>
      <c r="L100" s="133">
        <v>45609.638893032403</v>
      </c>
      <c r="M100" s="132">
        <v>20.553100000000001</v>
      </c>
      <c r="N100" s="130" t="s">
        <v>33</v>
      </c>
      <c r="O100" s="130" t="s">
        <v>33</v>
      </c>
      <c r="P100" s="130"/>
      <c r="Q100" s="130"/>
      <c r="R100" s="132">
        <v>20.431000000000001</v>
      </c>
      <c r="S100" s="132">
        <v>20.552800000000001</v>
      </c>
      <c r="T100" s="130">
        <v>5</v>
      </c>
      <c r="U100" s="135">
        <v>0</v>
      </c>
      <c r="V100" s="135">
        <v>0</v>
      </c>
      <c r="W100" s="135">
        <v>0</v>
      </c>
      <c r="X100" s="136">
        <v>2.2400000000000002</v>
      </c>
      <c r="Y100" s="137" t="s">
        <v>44</v>
      </c>
      <c r="Z100" s="138"/>
      <c r="AA100" s="138"/>
    </row>
    <row r="101" spans="2:27" ht="21" x14ac:dyDescent="0.25">
      <c r="B101" s="139">
        <v>1536772518</v>
      </c>
      <c r="C101" s="140" t="s">
        <v>41</v>
      </c>
      <c r="D101" s="17" t="str">
        <f>IFERROR(INDEX([1]Positions!$A:$A,MATCH(C101,[1]Positions!$C:$C,0)),"Other")</f>
        <v>Other</v>
      </c>
      <c r="E101" s="17">
        <f t="shared" si="4"/>
        <v>3.5574263606800652E-4</v>
      </c>
      <c r="F101" s="17" t="str">
        <f t="shared" si="5"/>
        <v>SWAP Contract</v>
      </c>
      <c r="G101" s="17" t="b">
        <f t="shared" si="3"/>
        <v>1</v>
      </c>
      <c r="H101" s="139" t="s">
        <v>32</v>
      </c>
      <c r="I101" s="141">
        <v>0.02</v>
      </c>
      <c r="J101" s="142">
        <v>45610.8699964931</v>
      </c>
      <c r="K101" s="141">
        <v>20.431100000000001</v>
      </c>
      <c r="L101" s="142">
        <v>45610.8808466435</v>
      </c>
      <c r="M101" s="141">
        <v>20.4923</v>
      </c>
      <c r="N101" s="139" t="s">
        <v>33</v>
      </c>
      <c r="O101" s="139" t="s">
        <v>33</v>
      </c>
      <c r="P101" s="139"/>
      <c r="Q101" s="139"/>
      <c r="R101" s="141">
        <v>20.4941</v>
      </c>
      <c r="S101" s="141">
        <v>20.565300000000001</v>
      </c>
      <c r="T101" s="139">
        <v>10</v>
      </c>
      <c r="U101" s="144">
        <v>0</v>
      </c>
      <c r="V101" s="144">
        <v>0</v>
      </c>
      <c r="W101" s="144">
        <v>0</v>
      </c>
      <c r="X101" s="148">
        <v>5.97</v>
      </c>
      <c r="Y101" s="146" t="s">
        <v>39</v>
      </c>
      <c r="Z101" s="138"/>
      <c r="AA101" s="138"/>
    </row>
    <row r="102" spans="2:27" ht="21" x14ac:dyDescent="0.25">
      <c r="B102" s="130">
        <v>1540892910</v>
      </c>
      <c r="C102" s="131" t="s">
        <v>41</v>
      </c>
      <c r="D102" s="17" t="str">
        <f>IFERROR(INDEX([1]Positions!$A:$A,MATCH(C102,[1]Positions!$C:$C,0)),"Other")</f>
        <v>Other</v>
      </c>
      <c r="E102" s="17">
        <f t="shared" si="4"/>
        <v>1.9715865586834701E-2</v>
      </c>
      <c r="F102" s="17" t="str">
        <f t="shared" si="5"/>
        <v>SWAP Contract</v>
      </c>
      <c r="G102" s="17" t="b">
        <f t="shared" si="3"/>
        <v>1</v>
      </c>
      <c r="H102" s="130" t="s">
        <v>32</v>
      </c>
      <c r="I102" s="132">
        <v>0.02</v>
      </c>
      <c r="J102" s="133">
        <v>45614.836894606502</v>
      </c>
      <c r="K102" s="132">
        <v>20.237100000000002</v>
      </c>
      <c r="L102" s="133">
        <v>45615.4382285069</v>
      </c>
      <c r="M102" s="132">
        <v>20.318100000000001</v>
      </c>
      <c r="N102" s="130" t="s">
        <v>33</v>
      </c>
      <c r="O102" s="130" t="s">
        <v>33</v>
      </c>
      <c r="P102" s="130"/>
      <c r="Q102" s="130"/>
      <c r="R102" s="132">
        <v>20.170000000000002</v>
      </c>
      <c r="S102" s="132">
        <v>20.317900000000002</v>
      </c>
      <c r="T102" s="130">
        <v>10</v>
      </c>
      <c r="U102" s="135">
        <v>0</v>
      </c>
      <c r="V102" s="135">
        <v>-0.45</v>
      </c>
      <c r="W102" s="135">
        <v>0</v>
      </c>
      <c r="X102" s="136">
        <v>7.97</v>
      </c>
      <c r="Y102" s="137" t="s">
        <v>44</v>
      </c>
      <c r="Z102" s="138"/>
      <c r="AA102" s="138"/>
    </row>
    <row r="103" spans="2:27" ht="21" x14ac:dyDescent="0.25">
      <c r="B103" s="139">
        <v>1541930457</v>
      </c>
      <c r="C103" s="140" t="s">
        <v>41</v>
      </c>
      <c r="D103" s="17" t="str">
        <f>IFERROR(INDEX([1]Positions!$A:$A,MATCH(C103,[1]Positions!$C:$C,0)),"Other")</f>
        <v>Other</v>
      </c>
      <c r="E103" s="17">
        <f t="shared" si="4"/>
        <v>7.7037872139700371E-4</v>
      </c>
      <c r="F103" s="17" t="str">
        <f t="shared" si="5"/>
        <v>SWAP Contract</v>
      </c>
      <c r="G103" s="17" t="b">
        <f t="shared" si="3"/>
        <v>1</v>
      </c>
      <c r="H103" s="139" t="s">
        <v>32</v>
      </c>
      <c r="I103" s="141">
        <v>0.02</v>
      </c>
      <c r="J103" s="142">
        <v>45615.561599756897</v>
      </c>
      <c r="K103" s="141">
        <v>20.262899999999998</v>
      </c>
      <c r="L103" s="142">
        <v>45615.585096307899</v>
      </c>
      <c r="M103" s="141">
        <v>20.288699999999999</v>
      </c>
      <c r="N103" s="139" t="s">
        <v>33</v>
      </c>
      <c r="O103" s="139" t="s">
        <v>33</v>
      </c>
      <c r="P103" s="139"/>
      <c r="Q103" s="139"/>
      <c r="R103" s="141">
        <v>20.2059</v>
      </c>
      <c r="S103" s="141">
        <v>20.285599999999999</v>
      </c>
      <c r="T103" s="139">
        <v>10</v>
      </c>
      <c r="U103" s="144">
        <v>0</v>
      </c>
      <c r="V103" s="144">
        <v>0</v>
      </c>
      <c r="W103" s="144">
        <v>0</v>
      </c>
      <c r="X103" s="148">
        <v>2.54</v>
      </c>
      <c r="Y103" s="146" t="s">
        <v>44</v>
      </c>
      <c r="Z103" s="138"/>
      <c r="AA103" s="138"/>
    </row>
    <row r="104" spans="2:27" ht="21" x14ac:dyDescent="0.25">
      <c r="B104" s="130">
        <v>1553997553</v>
      </c>
      <c r="C104" s="131" t="s">
        <v>41</v>
      </c>
      <c r="D104" s="17" t="str">
        <f>IFERROR(INDEX([1]Positions!$A:$A,MATCH(C104,[1]Positions!$C:$C,0)),"Other")</f>
        <v>Other</v>
      </c>
      <c r="E104" s="17">
        <f t="shared" si="4"/>
        <v>1.3185352164313013E-3</v>
      </c>
      <c r="F104" s="17" t="str">
        <f t="shared" si="5"/>
        <v>SWAP Contract</v>
      </c>
      <c r="G104" s="17" t="b">
        <f t="shared" si="3"/>
        <v>1</v>
      </c>
      <c r="H104" s="130" t="s">
        <v>42</v>
      </c>
      <c r="I104" s="132">
        <v>0.01</v>
      </c>
      <c r="J104" s="133">
        <v>45623.535272407396</v>
      </c>
      <c r="K104" s="132">
        <v>20.708400000000001</v>
      </c>
      <c r="L104" s="133">
        <v>45623.575487731498</v>
      </c>
      <c r="M104" s="132">
        <v>20.7775</v>
      </c>
      <c r="N104" s="130" t="s">
        <v>33</v>
      </c>
      <c r="O104" s="130" t="s">
        <v>33</v>
      </c>
      <c r="P104" s="130"/>
      <c r="Q104" s="130"/>
      <c r="R104" s="132">
        <v>20.770600000000002</v>
      </c>
      <c r="S104" s="132">
        <v>20.68</v>
      </c>
      <c r="T104" s="130">
        <v>5</v>
      </c>
      <c r="U104" s="135">
        <v>0</v>
      </c>
      <c r="V104" s="135">
        <v>0</v>
      </c>
      <c r="W104" s="135">
        <v>0</v>
      </c>
      <c r="X104" s="147">
        <v>-3.33</v>
      </c>
      <c r="Y104" s="137" t="s">
        <v>39</v>
      </c>
      <c r="Z104" s="138"/>
      <c r="AA104" s="138"/>
    </row>
    <row r="105" spans="2:27" ht="21" x14ac:dyDescent="0.25">
      <c r="B105" s="139">
        <v>1554074835</v>
      </c>
      <c r="C105" s="140" t="s">
        <v>41</v>
      </c>
      <c r="D105" s="17" t="str">
        <f>IFERROR(INDEX([1]Positions!$A:$A,MATCH(C105,[1]Positions!$C:$C,0)),"Other")</f>
        <v>Other</v>
      </c>
      <c r="E105" s="17">
        <f t="shared" si="4"/>
        <v>1.8872190161882976E-5</v>
      </c>
      <c r="F105" s="17" t="str">
        <f t="shared" si="5"/>
        <v>SWAP Contract</v>
      </c>
      <c r="G105" s="17" t="b">
        <f t="shared" si="3"/>
        <v>1</v>
      </c>
      <c r="H105" s="139" t="s">
        <v>42</v>
      </c>
      <c r="I105" s="141">
        <v>0.01</v>
      </c>
      <c r="J105" s="142">
        <v>45623.575165729198</v>
      </c>
      <c r="K105" s="141">
        <v>20.742599999999999</v>
      </c>
      <c r="L105" s="142">
        <v>45623.575741330998</v>
      </c>
      <c r="M105" s="141">
        <v>20.776399999999999</v>
      </c>
      <c r="N105" s="139" t="s">
        <v>33</v>
      </c>
      <c r="O105" s="139" t="s">
        <v>33</v>
      </c>
      <c r="P105" s="139"/>
      <c r="Q105" s="139"/>
      <c r="R105" s="139"/>
      <c r="S105" s="139"/>
      <c r="T105" s="139">
        <v>5</v>
      </c>
      <c r="U105" s="144">
        <v>0</v>
      </c>
      <c r="V105" s="144">
        <v>0</v>
      </c>
      <c r="W105" s="144">
        <v>0</v>
      </c>
      <c r="X105" s="145">
        <v>-1.63</v>
      </c>
      <c r="Y105" s="146" t="s">
        <v>0</v>
      </c>
      <c r="Z105" s="138"/>
      <c r="AA105" s="138"/>
    </row>
    <row r="106" spans="2:27" ht="21" x14ac:dyDescent="0.25">
      <c r="B106" s="130">
        <v>1555669398</v>
      </c>
      <c r="C106" s="131" t="s">
        <v>41</v>
      </c>
      <c r="D106" s="17" t="str">
        <f>IFERROR(INDEX([1]Positions!$A:$A,MATCH(C106,[1]Positions!$C:$C,0)),"Other")</f>
        <v>Other</v>
      </c>
      <c r="E106" s="17">
        <f t="shared" si="4"/>
        <v>5.5216666655500462E-3</v>
      </c>
      <c r="F106" s="17" t="str">
        <f t="shared" si="5"/>
        <v>SWAP Contract</v>
      </c>
      <c r="G106" s="17" t="b">
        <f t="shared" si="3"/>
        <v>1</v>
      </c>
      <c r="H106" s="130" t="s">
        <v>32</v>
      </c>
      <c r="I106" s="132">
        <v>0.02</v>
      </c>
      <c r="J106" s="133">
        <v>45624.550736249999</v>
      </c>
      <c r="K106" s="132">
        <v>20.327300000000001</v>
      </c>
      <c r="L106" s="133">
        <v>45624.719147083299</v>
      </c>
      <c r="M106" s="132">
        <v>20.4312</v>
      </c>
      <c r="N106" s="130" t="s">
        <v>33</v>
      </c>
      <c r="O106" s="130" t="s">
        <v>33</v>
      </c>
      <c r="P106" s="130"/>
      <c r="Q106" s="130"/>
      <c r="R106" s="132">
        <v>20.174800000000001</v>
      </c>
      <c r="S106" s="132">
        <v>20.429300000000001</v>
      </c>
      <c r="T106" s="130">
        <v>10</v>
      </c>
      <c r="U106" s="135">
        <v>0</v>
      </c>
      <c r="V106" s="135">
        <v>0</v>
      </c>
      <c r="W106" s="135">
        <v>0</v>
      </c>
      <c r="X106" s="136">
        <v>10.17</v>
      </c>
      <c r="Y106" s="137" t="s">
        <v>44</v>
      </c>
      <c r="Z106" s="138"/>
      <c r="AA106" s="138"/>
    </row>
    <row r="107" spans="2:27" ht="21" x14ac:dyDescent="0.25">
      <c r="B107" s="139">
        <v>1563562241</v>
      </c>
      <c r="C107" s="140" t="s">
        <v>41</v>
      </c>
      <c r="D107" s="17" t="str">
        <f>IFERROR(INDEX([1]Positions!$A:$A,MATCH(C107,[1]Positions!$C:$C,0)),"Other")</f>
        <v>Other</v>
      </c>
      <c r="E107" s="17">
        <f t="shared" si="4"/>
        <v>1.2312895036063951E-2</v>
      </c>
      <c r="F107" s="17" t="str">
        <f t="shared" si="5"/>
        <v>SWAP Contract</v>
      </c>
      <c r="G107" s="17" t="b">
        <f t="shared" si="3"/>
        <v>1</v>
      </c>
      <c r="H107" s="139" t="s">
        <v>32</v>
      </c>
      <c r="I107" s="141">
        <v>0.02</v>
      </c>
      <c r="J107" s="142">
        <v>45631.250272013902</v>
      </c>
      <c r="K107" s="141">
        <v>20.309899999999999</v>
      </c>
      <c r="L107" s="142">
        <v>45631.625815312502</v>
      </c>
      <c r="M107" s="141">
        <v>20.239100000000001</v>
      </c>
      <c r="N107" s="139" t="s">
        <v>33</v>
      </c>
      <c r="O107" s="139" t="s">
        <v>33</v>
      </c>
      <c r="P107" s="139"/>
      <c r="Q107" s="139"/>
      <c r="R107" s="141">
        <v>20.239999999999998</v>
      </c>
      <c r="S107" s="141">
        <v>20.3672</v>
      </c>
      <c r="T107" s="139">
        <v>10</v>
      </c>
      <c r="U107" s="144">
        <v>0</v>
      </c>
      <c r="V107" s="144">
        <v>0</v>
      </c>
      <c r="W107" s="144">
        <v>0</v>
      </c>
      <c r="X107" s="145">
        <v>-6.99</v>
      </c>
      <c r="Y107" s="146" t="s">
        <v>39</v>
      </c>
      <c r="Z107" s="138"/>
      <c r="AA107" s="138"/>
    </row>
    <row r="108" spans="2:27" ht="21" x14ac:dyDescent="0.25">
      <c r="B108" s="130">
        <v>1473693877</v>
      </c>
      <c r="C108" s="131" t="s">
        <v>52</v>
      </c>
      <c r="D108" s="17" t="str">
        <f>IFERROR(INDEX([1]Positions!$A:$A,MATCH(C108,[1]Positions!$C:$C,0)),"Other")</f>
        <v>MISC</v>
      </c>
      <c r="E108" s="17">
        <f t="shared" si="4"/>
        <v>2.7512202743604517</v>
      </c>
      <c r="F108" s="17" t="str">
        <f t="shared" si="5"/>
        <v>Stock Holding</v>
      </c>
      <c r="G108" s="17" t="b">
        <f t="shared" si="3"/>
        <v>1</v>
      </c>
      <c r="H108" s="130" t="s">
        <v>32</v>
      </c>
      <c r="I108" s="132">
        <v>1.9E-2</v>
      </c>
      <c r="J108" s="133">
        <v>45562.693518182903</v>
      </c>
      <c r="K108" s="132">
        <v>700.8</v>
      </c>
      <c r="L108" s="133">
        <v>45646.605736550897</v>
      </c>
      <c r="M108" s="132">
        <v>623.79999999999995</v>
      </c>
      <c r="N108" s="130" t="s">
        <v>33</v>
      </c>
      <c r="O108" s="130" t="s">
        <v>33</v>
      </c>
      <c r="P108" s="134">
        <v>14.97</v>
      </c>
      <c r="Q108" s="134">
        <v>12.28</v>
      </c>
      <c r="R108" s="130"/>
      <c r="S108" s="130"/>
      <c r="T108" s="130"/>
      <c r="U108" s="135">
        <v>0</v>
      </c>
      <c r="V108" s="135">
        <v>0</v>
      </c>
      <c r="W108" s="135">
        <v>0</v>
      </c>
      <c r="X108" s="147">
        <v>-2.69</v>
      </c>
      <c r="Y108" s="137"/>
      <c r="Z108" s="138"/>
      <c r="AA108" s="138"/>
    </row>
    <row r="109" spans="2:27" ht="21" x14ac:dyDescent="0.25">
      <c r="B109" s="139">
        <v>1493848938</v>
      </c>
      <c r="C109" s="140" t="s">
        <v>52</v>
      </c>
      <c r="D109" s="17" t="str">
        <f>IFERROR(INDEX([1]Positions!$A:$A,MATCH(C109,[1]Positions!$C:$C,0)),"Other")</f>
        <v>MISC</v>
      </c>
      <c r="E109" s="17">
        <f t="shared" si="4"/>
        <v>2.19360170081963</v>
      </c>
      <c r="F109" s="17" t="str">
        <f t="shared" si="5"/>
        <v>Stock Holding</v>
      </c>
      <c r="G109" s="17" t="b">
        <f t="shared" si="3"/>
        <v>1</v>
      </c>
      <c r="H109" s="139" t="s">
        <v>32</v>
      </c>
      <c r="I109" s="141">
        <v>2.1299999999999999E-2</v>
      </c>
      <c r="J109" s="142">
        <v>45579.700884675898</v>
      </c>
      <c r="K109" s="141">
        <v>640.29999999999995</v>
      </c>
      <c r="L109" s="142">
        <v>45646.605736550897</v>
      </c>
      <c r="M109" s="141">
        <v>623.79999999999995</v>
      </c>
      <c r="N109" s="139" t="s">
        <v>33</v>
      </c>
      <c r="O109" s="139" t="s">
        <v>33</v>
      </c>
      <c r="P109" s="143">
        <v>14.96</v>
      </c>
      <c r="Q109" s="143">
        <v>13.77</v>
      </c>
      <c r="R109" s="139"/>
      <c r="S109" s="139"/>
      <c r="T109" s="139"/>
      <c r="U109" s="144">
        <v>0</v>
      </c>
      <c r="V109" s="144">
        <v>0</v>
      </c>
      <c r="W109" s="144">
        <v>0</v>
      </c>
      <c r="X109" s="145">
        <v>-1.19</v>
      </c>
      <c r="Y109" s="146"/>
      <c r="Z109" s="138"/>
      <c r="AA109" s="138"/>
    </row>
    <row r="110" spans="2:27" ht="21" x14ac:dyDescent="0.25">
      <c r="B110" s="130">
        <v>1583724019</v>
      </c>
      <c r="C110" s="131" t="s">
        <v>41</v>
      </c>
      <c r="D110" s="17" t="str">
        <f>IFERROR(INDEX([1]Positions!$A:$A,MATCH(C110,[1]Positions!$C:$C,0)),"Other")</f>
        <v>Other</v>
      </c>
      <c r="E110" s="17">
        <f t="shared" si="4"/>
        <v>2.9510147244570257E-3</v>
      </c>
      <c r="F110" s="17" t="str">
        <f t="shared" si="5"/>
        <v>SWAP Contract</v>
      </c>
      <c r="G110" s="17" t="b">
        <f t="shared" si="3"/>
        <v>1</v>
      </c>
      <c r="H110" s="130" t="s">
        <v>32</v>
      </c>
      <c r="I110" s="132">
        <v>0.02</v>
      </c>
      <c r="J110" s="133">
        <v>45646.606479675902</v>
      </c>
      <c r="K110" s="132">
        <v>20.205400000000001</v>
      </c>
      <c r="L110" s="133">
        <v>45646.696485624998</v>
      </c>
      <c r="M110" s="132">
        <v>20.1035</v>
      </c>
      <c r="N110" s="130" t="s">
        <v>33</v>
      </c>
      <c r="O110" s="130" t="s">
        <v>33</v>
      </c>
      <c r="P110" s="130"/>
      <c r="Q110" s="130"/>
      <c r="R110" s="132">
        <v>20.105499999999999</v>
      </c>
      <c r="S110" s="132">
        <v>20.327300000000001</v>
      </c>
      <c r="T110" s="130">
        <v>10</v>
      </c>
      <c r="U110" s="135">
        <v>0</v>
      </c>
      <c r="V110" s="135">
        <v>0</v>
      </c>
      <c r="W110" s="135">
        <v>0</v>
      </c>
      <c r="X110" s="147">
        <v>-10.130000000000001</v>
      </c>
      <c r="Y110" s="137" t="s">
        <v>39</v>
      </c>
      <c r="Z110" s="138"/>
      <c r="AA110" s="138"/>
    </row>
    <row r="111" spans="2:27" ht="21" x14ac:dyDescent="0.25">
      <c r="B111" s="139">
        <v>1583841034</v>
      </c>
      <c r="C111" s="140" t="s">
        <v>41</v>
      </c>
      <c r="D111" s="17" t="str">
        <f>IFERROR(INDEX([1]Positions!$A:$A,MATCH(C111,[1]Positions!$C:$C,0)),"Other")</f>
        <v>Other</v>
      </c>
      <c r="E111" s="17">
        <f t="shared" si="4"/>
        <v>2.1620575278008844E-3</v>
      </c>
      <c r="F111" s="17" t="str">
        <f t="shared" si="5"/>
        <v>SWAP Contract</v>
      </c>
      <c r="G111" s="17" t="b">
        <f t="shared" si="3"/>
        <v>1</v>
      </c>
      <c r="H111" s="139" t="s">
        <v>32</v>
      </c>
      <c r="I111" s="141">
        <v>0.01</v>
      </c>
      <c r="J111" s="142">
        <v>45646.639881527801</v>
      </c>
      <c r="K111" s="141">
        <v>20.172999999999998</v>
      </c>
      <c r="L111" s="142">
        <v>45646.705824282399</v>
      </c>
      <c r="M111" s="141">
        <v>20.094899999999999</v>
      </c>
      <c r="N111" s="139" t="s">
        <v>33</v>
      </c>
      <c r="O111" s="139" t="s">
        <v>33</v>
      </c>
      <c r="P111" s="139"/>
      <c r="Q111" s="139"/>
      <c r="R111" s="141">
        <v>20.0975</v>
      </c>
      <c r="S111" s="141">
        <v>20.254200000000001</v>
      </c>
      <c r="T111" s="139">
        <v>5</v>
      </c>
      <c r="U111" s="144">
        <v>0</v>
      </c>
      <c r="V111" s="144">
        <v>0</v>
      </c>
      <c r="W111" s="144">
        <v>0</v>
      </c>
      <c r="X111" s="145">
        <v>-3.88</v>
      </c>
      <c r="Y111" s="146" t="s">
        <v>39</v>
      </c>
      <c r="Z111" s="138"/>
      <c r="AA111" s="138"/>
    </row>
    <row r="112" spans="2:27" ht="21" x14ac:dyDescent="0.25">
      <c r="B112" s="130">
        <v>1585474078</v>
      </c>
      <c r="C112" s="131" t="s">
        <v>41</v>
      </c>
      <c r="D112" s="17" t="str">
        <f>IFERROR(INDEX([1]Positions!$A:$A,MATCH(C112,[1]Positions!$C:$C,0)),"Other")</f>
        <v>Other</v>
      </c>
      <c r="E112" s="17">
        <f t="shared" si="4"/>
        <v>5.4726916361508551E-3</v>
      </c>
      <c r="F112" s="17" t="str">
        <f t="shared" si="5"/>
        <v>SWAP Contract</v>
      </c>
      <c r="G112" s="17" t="b">
        <f t="shared" si="3"/>
        <v>1</v>
      </c>
      <c r="H112" s="130" t="s">
        <v>32</v>
      </c>
      <c r="I112" s="132">
        <v>0.02</v>
      </c>
      <c r="J112" s="133">
        <v>45649.401330208297</v>
      </c>
      <c r="K112" s="132">
        <v>20.093499999999999</v>
      </c>
      <c r="L112" s="133">
        <v>45649.568247303199</v>
      </c>
      <c r="M112" s="132">
        <v>20.1707</v>
      </c>
      <c r="N112" s="130" t="s">
        <v>33</v>
      </c>
      <c r="O112" s="130" t="s">
        <v>33</v>
      </c>
      <c r="P112" s="130"/>
      <c r="Q112" s="130"/>
      <c r="R112" s="132">
        <v>20</v>
      </c>
      <c r="S112" s="132">
        <v>20.170000000000002</v>
      </c>
      <c r="T112" s="130">
        <v>10</v>
      </c>
      <c r="U112" s="135">
        <v>0</v>
      </c>
      <c r="V112" s="135">
        <v>0</v>
      </c>
      <c r="W112" s="135">
        <v>0</v>
      </c>
      <c r="X112" s="136">
        <v>7.65</v>
      </c>
      <c r="Y112" s="137" t="s">
        <v>44</v>
      </c>
      <c r="Z112" s="138"/>
      <c r="AA112" s="138"/>
    </row>
    <row r="113" spans="2:27" ht="21" x14ac:dyDescent="0.25">
      <c r="B113" s="139">
        <v>1586033461</v>
      </c>
      <c r="C113" s="140" t="s">
        <v>41</v>
      </c>
      <c r="D113" s="17" t="str">
        <f>IFERROR(INDEX([1]Positions!$A:$A,MATCH(C113,[1]Positions!$C:$C,0)),"Other")</f>
        <v>Other</v>
      </c>
      <c r="E113" s="17">
        <f t="shared" si="4"/>
        <v>2.8149288512201459E-5</v>
      </c>
      <c r="F113" s="17" t="str">
        <f t="shared" si="5"/>
        <v>SWAP Contract</v>
      </c>
      <c r="G113" s="17" t="b">
        <f t="shared" si="3"/>
        <v>1</v>
      </c>
      <c r="H113" s="139" t="s">
        <v>32</v>
      </c>
      <c r="I113" s="141">
        <v>0.01</v>
      </c>
      <c r="J113" s="142">
        <v>45649.631146099498</v>
      </c>
      <c r="K113" s="141">
        <v>20.177199999999999</v>
      </c>
      <c r="L113" s="142">
        <v>45649.632004652798</v>
      </c>
      <c r="M113" s="141">
        <v>20.167100000000001</v>
      </c>
      <c r="N113" s="139" t="s">
        <v>33</v>
      </c>
      <c r="O113" s="139" t="s">
        <v>33</v>
      </c>
      <c r="P113" s="139"/>
      <c r="Q113" s="139"/>
      <c r="R113" s="141">
        <v>20.168700000000001</v>
      </c>
      <c r="S113" s="141">
        <v>20.2379</v>
      </c>
      <c r="T113" s="139">
        <v>5</v>
      </c>
      <c r="U113" s="144">
        <v>0</v>
      </c>
      <c r="V113" s="144">
        <v>0</v>
      </c>
      <c r="W113" s="144">
        <v>0</v>
      </c>
      <c r="X113" s="145">
        <v>-0.5</v>
      </c>
      <c r="Y113" s="146" t="s">
        <v>39</v>
      </c>
      <c r="Z113" s="138"/>
      <c r="AA113" s="138"/>
    </row>
    <row r="114" spans="2:27" ht="21" x14ac:dyDescent="0.25">
      <c r="B114" s="130">
        <v>1587036381</v>
      </c>
      <c r="C114" s="131" t="s">
        <v>41</v>
      </c>
      <c r="D114" s="17" t="str">
        <f>IFERROR(INDEX([1]Positions!$A:$A,MATCH(C114,[1]Positions!$C:$C,0)),"Other")</f>
        <v>Other</v>
      </c>
      <c r="E114" s="17">
        <f t="shared" si="4"/>
        <v>3.0278965540241724E-3</v>
      </c>
      <c r="F114" s="17" t="str">
        <f t="shared" si="5"/>
        <v>SWAP Contract</v>
      </c>
      <c r="G114" s="17" t="b">
        <f t="shared" si="3"/>
        <v>1</v>
      </c>
      <c r="H114" s="130" t="s">
        <v>32</v>
      </c>
      <c r="I114" s="132">
        <v>0.02</v>
      </c>
      <c r="J114" s="133">
        <v>45650.4879052662</v>
      </c>
      <c r="K114" s="132">
        <v>20.1462</v>
      </c>
      <c r="L114" s="133">
        <v>45650.580256111098</v>
      </c>
      <c r="M114" s="132">
        <v>20.162700000000001</v>
      </c>
      <c r="N114" s="130" t="s">
        <v>33</v>
      </c>
      <c r="O114" s="130" t="s">
        <v>33</v>
      </c>
      <c r="P114" s="130"/>
      <c r="Q114" s="130"/>
      <c r="R114" s="132">
        <v>20.162700000000001</v>
      </c>
      <c r="S114" s="132">
        <v>20.22</v>
      </c>
      <c r="T114" s="130">
        <v>10</v>
      </c>
      <c r="U114" s="135">
        <v>0</v>
      </c>
      <c r="V114" s="135">
        <v>0</v>
      </c>
      <c r="W114" s="135">
        <v>0</v>
      </c>
      <c r="X114" s="136">
        <v>1.64</v>
      </c>
      <c r="Y114" s="137" t="s">
        <v>39</v>
      </c>
      <c r="Z114" s="138"/>
      <c r="AA114" s="138"/>
    </row>
    <row r="115" spans="2:27" ht="21" x14ac:dyDescent="0.25">
      <c r="B115" s="139">
        <v>1500272843</v>
      </c>
      <c r="C115" s="140" t="s">
        <v>525</v>
      </c>
      <c r="D115" s="17" t="str">
        <f>IFERROR(INDEX([1]Positions!$A:$A,MATCH(C115,[1]Positions!$C:$C,0)),"Other")</f>
        <v>Technology</v>
      </c>
      <c r="E115" s="17">
        <f t="shared" si="4"/>
        <v>2.623756446947437</v>
      </c>
      <c r="F115" s="17" t="str">
        <f t="shared" si="5"/>
        <v>Stock Holding</v>
      </c>
      <c r="G115" s="17" t="b">
        <f t="shared" si="3"/>
        <v>1</v>
      </c>
      <c r="H115" s="139" t="s">
        <v>32</v>
      </c>
      <c r="I115" s="141">
        <v>2.64E-2</v>
      </c>
      <c r="J115" s="142">
        <v>45583.645885949103</v>
      </c>
      <c r="K115" s="141">
        <v>718.5</v>
      </c>
      <c r="L115" s="142">
        <v>45663.670457581</v>
      </c>
      <c r="M115" s="141">
        <v>757.79</v>
      </c>
      <c r="N115" s="139" t="s">
        <v>33</v>
      </c>
      <c r="O115" s="139" t="s">
        <v>33</v>
      </c>
      <c r="P115" s="143">
        <v>18.97</v>
      </c>
      <c r="Q115" s="143">
        <v>20.010000000000002</v>
      </c>
      <c r="R115" s="139"/>
      <c r="S115" s="139"/>
      <c r="T115" s="139"/>
      <c r="U115" s="144">
        <v>0</v>
      </c>
      <c r="V115" s="144">
        <v>0</v>
      </c>
      <c r="W115" s="144">
        <v>0</v>
      </c>
      <c r="X115" s="148">
        <v>1.04</v>
      </c>
      <c r="Y115" s="146"/>
      <c r="Z115" s="138"/>
      <c r="AA115" s="138"/>
    </row>
    <row r="116" spans="2:27" ht="21" x14ac:dyDescent="0.25">
      <c r="B116" s="130">
        <v>1500272843</v>
      </c>
      <c r="C116" s="131" t="s">
        <v>525</v>
      </c>
      <c r="D116" s="17" t="str">
        <f>IFERROR(INDEX([1]Positions!$A:$A,MATCH(C116,[1]Positions!$C:$C,0)),"Other")</f>
        <v>Technology</v>
      </c>
      <c r="E116" s="17">
        <f t="shared" si="4"/>
        <v>2.6237610450818885</v>
      </c>
      <c r="F116" s="17" t="str">
        <f t="shared" si="5"/>
        <v>Stock Holding</v>
      </c>
      <c r="G116" s="17" t="b">
        <f t="shared" si="3"/>
        <v>1</v>
      </c>
      <c r="H116" s="130" t="s">
        <v>32</v>
      </c>
      <c r="I116" s="132">
        <v>2.0999999999999999E-3</v>
      </c>
      <c r="J116" s="133">
        <v>45583.645885949103</v>
      </c>
      <c r="K116" s="132">
        <v>718.5</v>
      </c>
      <c r="L116" s="133">
        <v>45663.670597824101</v>
      </c>
      <c r="M116" s="132">
        <v>758.27</v>
      </c>
      <c r="N116" s="130" t="s">
        <v>33</v>
      </c>
      <c r="O116" s="130" t="s">
        <v>33</v>
      </c>
      <c r="P116" s="134">
        <v>1.51</v>
      </c>
      <c r="Q116" s="134">
        <v>1.59</v>
      </c>
      <c r="R116" s="130"/>
      <c r="S116" s="130"/>
      <c r="T116" s="130"/>
      <c r="U116" s="135">
        <v>0</v>
      </c>
      <c r="V116" s="135">
        <v>0</v>
      </c>
      <c r="W116" s="135">
        <v>0</v>
      </c>
      <c r="X116" s="136">
        <v>0.08</v>
      </c>
      <c r="Y116" s="137"/>
      <c r="Z116" s="138"/>
      <c r="AA116" s="138"/>
    </row>
    <row r="117" spans="2:27" ht="21" x14ac:dyDescent="0.25">
      <c r="B117" s="139">
        <v>1518147105</v>
      </c>
      <c r="C117" s="140" t="s">
        <v>526</v>
      </c>
      <c r="D117" s="17" t="str">
        <f>IFERROR(INDEX([1]Positions!$A:$A,MATCH(C117,[1]Positions!$C:$C,0)),"Other")</f>
        <v>Technology</v>
      </c>
      <c r="E117" s="17">
        <f t="shared" si="4"/>
        <v>2.289534386006455</v>
      </c>
      <c r="F117" s="17" t="str">
        <f t="shared" si="5"/>
        <v>Stock Holding</v>
      </c>
      <c r="G117" s="17" t="b">
        <f t="shared" si="3"/>
        <v>1</v>
      </c>
      <c r="H117" s="139" t="s">
        <v>32</v>
      </c>
      <c r="I117" s="141">
        <v>1</v>
      </c>
      <c r="J117" s="142">
        <v>45597.850469016201</v>
      </c>
      <c r="K117" s="141">
        <v>10.92</v>
      </c>
      <c r="L117" s="142">
        <v>45667.681267789398</v>
      </c>
      <c r="M117" s="141">
        <v>6.52</v>
      </c>
      <c r="N117" s="139" t="s">
        <v>33</v>
      </c>
      <c r="O117" s="139" t="s">
        <v>33</v>
      </c>
      <c r="P117" s="143">
        <v>10.92</v>
      </c>
      <c r="Q117" s="143">
        <v>6.52</v>
      </c>
      <c r="R117" s="139"/>
      <c r="S117" s="139"/>
      <c r="T117" s="139"/>
      <c r="U117" s="144">
        <v>0</v>
      </c>
      <c r="V117" s="144">
        <v>0</v>
      </c>
      <c r="W117" s="144">
        <v>0</v>
      </c>
      <c r="X117" s="145">
        <v>-4.4000000000000004</v>
      </c>
      <c r="Y117" s="146"/>
      <c r="Z117" s="138"/>
      <c r="AA117" s="138"/>
    </row>
    <row r="118" spans="2:27" ht="21" x14ac:dyDescent="0.25">
      <c r="B118" s="130">
        <v>1551373923</v>
      </c>
      <c r="C118" s="131" t="s">
        <v>517</v>
      </c>
      <c r="D118" s="17" t="str">
        <f>IFERROR(INDEX([1]Positions!$A:$A,MATCH(C118,[1]Positions!$C:$C,0)),"Other")</f>
        <v>Technology</v>
      </c>
      <c r="E118" s="17">
        <f t="shared" si="4"/>
        <v>1.8639365911508097</v>
      </c>
      <c r="F118" s="17" t="str">
        <f t="shared" si="5"/>
        <v>Stock Holding</v>
      </c>
      <c r="G118" s="17" t="b">
        <f t="shared" si="3"/>
        <v>1</v>
      </c>
      <c r="H118" s="130" t="s">
        <v>32</v>
      </c>
      <c r="I118" s="132">
        <v>0.1195</v>
      </c>
      <c r="J118" s="133">
        <v>45621.856398958298</v>
      </c>
      <c r="K118" s="132">
        <v>167.24</v>
      </c>
      <c r="L118" s="133">
        <v>45678.706464988398</v>
      </c>
      <c r="M118" s="132">
        <v>198.83</v>
      </c>
      <c r="N118" s="130" t="s">
        <v>33</v>
      </c>
      <c r="O118" s="130" t="s">
        <v>33</v>
      </c>
      <c r="P118" s="134">
        <v>19.989999999999998</v>
      </c>
      <c r="Q118" s="134">
        <v>23.76</v>
      </c>
      <c r="R118" s="130"/>
      <c r="S118" s="130"/>
      <c r="T118" s="130"/>
      <c r="U118" s="135">
        <v>0</v>
      </c>
      <c r="V118" s="135">
        <v>0</v>
      </c>
      <c r="W118" s="135">
        <v>0</v>
      </c>
      <c r="X118" s="136">
        <v>3.77</v>
      </c>
      <c r="Y118" s="137"/>
      <c r="Z118" s="138"/>
      <c r="AA118" s="138"/>
    </row>
    <row r="119" spans="2:27" ht="21" x14ac:dyDescent="0.25">
      <c r="B119" s="139">
        <v>1373744560</v>
      </c>
      <c r="C119" s="140" t="s">
        <v>510</v>
      </c>
      <c r="D119" s="17" t="str">
        <f>IFERROR(INDEX([1]Positions!$A:$A,MATCH(C119,[1]Positions!$C:$C,0)),"Other")</f>
        <v>Technology</v>
      </c>
      <c r="E119" s="17">
        <f t="shared" si="4"/>
        <v>6.691146568000149</v>
      </c>
      <c r="F119" s="17" t="str">
        <f t="shared" si="5"/>
        <v>Stock Holding</v>
      </c>
      <c r="G119" s="17" t="b">
        <f t="shared" si="3"/>
        <v>1</v>
      </c>
      <c r="H119" s="139" t="s">
        <v>32</v>
      </c>
      <c r="I119" s="141">
        <v>0.12479999999999999</v>
      </c>
      <c r="J119" s="142">
        <v>45476.645868854197</v>
      </c>
      <c r="K119" s="141">
        <v>202.58</v>
      </c>
      <c r="L119" s="142">
        <v>45680.725839178202</v>
      </c>
      <c r="M119" s="141">
        <v>172.09</v>
      </c>
      <c r="N119" s="139" t="s">
        <v>33</v>
      </c>
      <c r="O119" s="139" t="s">
        <v>33</v>
      </c>
      <c r="P119" s="143">
        <v>25.28</v>
      </c>
      <c r="Q119" s="143">
        <v>21.48</v>
      </c>
      <c r="R119" s="139"/>
      <c r="S119" s="139"/>
      <c r="T119" s="139"/>
      <c r="U119" s="144">
        <v>0</v>
      </c>
      <c r="V119" s="144">
        <v>0</v>
      </c>
      <c r="W119" s="144">
        <v>0</v>
      </c>
      <c r="X119" s="145">
        <v>-3.8</v>
      </c>
      <c r="Y119" s="146"/>
      <c r="Z119" s="138"/>
      <c r="AA119" s="138"/>
    </row>
    <row r="120" spans="2:27" ht="21" x14ac:dyDescent="0.25">
      <c r="B120" s="130">
        <v>1450039117</v>
      </c>
      <c r="C120" s="131" t="s">
        <v>510</v>
      </c>
      <c r="D120" s="17" t="str">
        <f>IFERROR(INDEX([1]Positions!$A:$A,MATCH(C120,[1]Positions!$C:$C,0)),"Other")</f>
        <v>Technology</v>
      </c>
      <c r="E120" s="17">
        <f t="shared" si="4"/>
        <v>4.4614799700197416</v>
      </c>
      <c r="F120" s="17" t="str">
        <f t="shared" si="5"/>
        <v>Stock Holding</v>
      </c>
      <c r="G120" s="17" t="b">
        <f t="shared" si="3"/>
        <v>1</v>
      </c>
      <c r="H120" s="130" t="s">
        <v>32</v>
      </c>
      <c r="I120" s="132">
        <v>6.8000000000000005E-2</v>
      </c>
      <c r="J120" s="133">
        <v>45544.650700092599</v>
      </c>
      <c r="K120" s="132">
        <v>161.58000000000001</v>
      </c>
      <c r="L120" s="133">
        <v>45680.725839178202</v>
      </c>
      <c r="M120" s="132">
        <v>172.09</v>
      </c>
      <c r="N120" s="130" t="s">
        <v>33</v>
      </c>
      <c r="O120" s="130" t="s">
        <v>33</v>
      </c>
      <c r="P120" s="134">
        <v>10.99</v>
      </c>
      <c r="Q120" s="134">
        <v>11.7</v>
      </c>
      <c r="R120" s="130"/>
      <c r="S120" s="130"/>
      <c r="T120" s="130"/>
      <c r="U120" s="135">
        <v>0</v>
      </c>
      <c r="V120" s="135">
        <v>0</v>
      </c>
      <c r="W120" s="135">
        <v>0</v>
      </c>
      <c r="X120" s="136">
        <v>0.71</v>
      </c>
      <c r="Y120" s="137"/>
      <c r="Z120" s="138"/>
      <c r="AA120" s="138"/>
    </row>
    <row r="121" spans="2:27" ht="21" x14ac:dyDescent="0.25">
      <c r="B121" s="139">
        <v>1468472119</v>
      </c>
      <c r="C121" s="140" t="s">
        <v>523</v>
      </c>
      <c r="D121" s="17" t="str">
        <f>IFERROR(INDEX([1]Positions!$A:$A,MATCH(C121,[1]Positions!$C:$C,0)),"Other")</f>
        <v>Financial Services</v>
      </c>
      <c r="E121" s="17">
        <f t="shared" si="4"/>
        <v>4.1372391734950691</v>
      </c>
      <c r="F121" s="17" t="str">
        <f t="shared" si="5"/>
        <v>Stock Holding</v>
      </c>
      <c r="G121" s="17" t="b">
        <f t="shared" si="3"/>
        <v>1</v>
      </c>
      <c r="H121" s="139" t="s">
        <v>32</v>
      </c>
      <c r="I121" s="141">
        <v>7.1900000000000006E-2</v>
      </c>
      <c r="J121" s="142">
        <v>45559.652128807902</v>
      </c>
      <c r="K121" s="141">
        <v>277.82</v>
      </c>
      <c r="L121" s="142">
        <v>45685.837923599502</v>
      </c>
      <c r="M121" s="141">
        <v>336.69</v>
      </c>
      <c r="N121" s="139" t="s">
        <v>33</v>
      </c>
      <c r="O121" s="139" t="s">
        <v>33</v>
      </c>
      <c r="P121" s="143">
        <v>19.98</v>
      </c>
      <c r="Q121" s="143">
        <v>24.21</v>
      </c>
      <c r="R121" s="139"/>
      <c r="S121" s="139"/>
      <c r="T121" s="139"/>
      <c r="U121" s="144">
        <v>0</v>
      </c>
      <c r="V121" s="144">
        <v>0</v>
      </c>
      <c r="W121" s="144">
        <v>0</v>
      </c>
      <c r="X121" s="148">
        <v>4.2300000000000004</v>
      </c>
      <c r="Y121" s="146"/>
      <c r="Z121" s="138"/>
      <c r="AA121" s="138"/>
    </row>
    <row r="122" spans="2:27" ht="21" x14ac:dyDescent="0.25">
      <c r="B122" s="130">
        <v>1470564087</v>
      </c>
      <c r="C122" s="131" t="s">
        <v>523</v>
      </c>
      <c r="D122" s="17" t="str">
        <f>IFERROR(INDEX([1]Positions!$A:$A,MATCH(C122,[1]Positions!$C:$C,0)),"Other")</f>
        <v>Financial Services</v>
      </c>
      <c r="E122" s="17">
        <f t="shared" si="4"/>
        <v>4.0989348246786577</v>
      </c>
      <c r="F122" s="17" t="str">
        <f t="shared" si="5"/>
        <v>Stock Holding</v>
      </c>
      <c r="G122" s="17" t="b">
        <f t="shared" si="3"/>
        <v>1</v>
      </c>
      <c r="H122" s="130" t="s">
        <v>32</v>
      </c>
      <c r="I122" s="132">
        <v>7.4200000000000002E-2</v>
      </c>
      <c r="J122" s="133">
        <v>45560.820411446803</v>
      </c>
      <c r="K122" s="132">
        <v>269.23</v>
      </c>
      <c r="L122" s="133">
        <v>45685.837923599502</v>
      </c>
      <c r="M122" s="132">
        <v>336.69</v>
      </c>
      <c r="N122" s="130" t="s">
        <v>33</v>
      </c>
      <c r="O122" s="130" t="s">
        <v>33</v>
      </c>
      <c r="P122" s="134">
        <v>19.98</v>
      </c>
      <c r="Q122" s="134">
        <v>24.98</v>
      </c>
      <c r="R122" s="130"/>
      <c r="S122" s="130"/>
      <c r="T122" s="130"/>
      <c r="U122" s="135">
        <v>0</v>
      </c>
      <c r="V122" s="135">
        <v>0</v>
      </c>
      <c r="W122" s="135">
        <v>0</v>
      </c>
      <c r="X122" s="136">
        <v>5</v>
      </c>
      <c r="Y122" s="137"/>
      <c r="Z122" s="138"/>
      <c r="AA122" s="138"/>
    </row>
    <row r="123" spans="2:27" ht="21" x14ac:dyDescent="0.25">
      <c r="B123" s="139">
        <v>1599434998</v>
      </c>
      <c r="C123" s="140" t="s">
        <v>523</v>
      </c>
      <c r="D123" s="17" t="str">
        <f>IFERROR(INDEX([1]Positions!$A:$A,MATCH(C123,[1]Positions!$C:$C,0)),"Other")</f>
        <v>Financial Services</v>
      </c>
      <c r="E123" s="17">
        <f t="shared" si="4"/>
        <v>0.72481685868210588</v>
      </c>
      <c r="F123" s="17" t="str">
        <f t="shared" si="5"/>
        <v>Stock Holding</v>
      </c>
      <c r="G123" s="17" t="b">
        <f t="shared" si="3"/>
        <v>1</v>
      </c>
      <c r="H123" s="139" t="s">
        <v>32</v>
      </c>
      <c r="I123" s="141">
        <v>4.7699999999999999E-2</v>
      </c>
      <c r="J123" s="142">
        <v>45663.731009409697</v>
      </c>
      <c r="K123" s="141">
        <v>313.98</v>
      </c>
      <c r="L123" s="142">
        <v>45685.837923599502</v>
      </c>
      <c r="M123" s="141">
        <v>336.69</v>
      </c>
      <c r="N123" s="139" t="s">
        <v>33</v>
      </c>
      <c r="O123" s="139" t="s">
        <v>33</v>
      </c>
      <c r="P123" s="143">
        <v>14.98</v>
      </c>
      <c r="Q123" s="143">
        <v>16.059999999999999</v>
      </c>
      <c r="R123" s="139"/>
      <c r="S123" s="139"/>
      <c r="T123" s="139"/>
      <c r="U123" s="144">
        <v>0</v>
      </c>
      <c r="V123" s="144">
        <v>0</v>
      </c>
      <c r="W123" s="144">
        <v>0</v>
      </c>
      <c r="X123" s="148">
        <v>1.08</v>
      </c>
      <c r="Y123" s="146"/>
      <c r="Z123" s="138"/>
      <c r="AA123" s="138"/>
    </row>
    <row r="124" spans="2:27" ht="21" x14ac:dyDescent="0.25">
      <c r="B124" s="130">
        <v>1495548850</v>
      </c>
      <c r="C124" s="131" t="s">
        <v>527</v>
      </c>
      <c r="D124" s="17" t="str">
        <f>IFERROR(INDEX([1]Positions!$A:$A,MATCH(C124,[1]Positions!$C:$C,0)),"Other")</f>
        <v>Consumer Cyclical</v>
      </c>
      <c r="E124" s="17">
        <f t="shared" si="4"/>
        <v>3.7753006158917608</v>
      </c>
      <c r="F124" s="17" t="str">
        <f t="shared" si="5"/>
        <v>Stock Holding</v>
      </c>
      <c r="G124" s="17" t="b">
        <f t="shared" si="3"/>
        <v>1</v>
      </c>
      <c r="H124" s="130" t="s">
        <v>32</v>
      </c>
      <c r="I124" s="132">
        <v>0.1047</v>
      </c>
      <c r="J124" s="133">
        <v>45580.705995497701</v>
      </c>
      <c r="K124" s="132">
        <v>133.61000000000001</v>
      </c>
      <c r="L124" s="133">
        <v>45695.8526642824</v>
      </c>
      <c r="M124" s="132">
        <v>143.18</v>
      </c>
      <c r="N124" s="130" t="s">
        <v>33</v>
      </c>
      <c r="O124" s="130" t="s">
        <v>33</v>
      </c>
      <c r="P124" s="134">
        <v>13.99</v>
      </c>
      <c r="Q124" s="134">
        <v>14.99</v>
      </c>
      <c r="R124" s="130"/>
      <c r="S124" s="130"/>
      <c r="T124" s="130"/>
      <c r="U124" s="135">
        <v>0</v>
      </c>
      <c r="V124" s="135">
        <v>0</v>
      </c>
      <c r="W124" s="135">
        <v>0</v>
      </c>
      <c r="X124" s="136">
        <v>1</v>
      </c>
      <c r="Y124" s="137"/>
      <c r="Z124" s="138"/>
      <c r="AA124" s="138"/>
    </row>
    <row r="125" spans="2:27" ht="21" x14ac:dyDescent="0.25">
      <c r="B125" s="139">
        <v>1517512112</v>
      </c>
      <c r="C125" s="140" t="s">
        <v>527</v>
      </c>
      <c r="D125" s="17" t="str">
        <f>IFERROR(INDEX([1]Positions!$A:$A,MATCH(C125,[1]Positions!$C:$C,0)),"Other")</f>
        <v>Consumer Cyclical</v>
      </c>
      <c r="E125" s="17">
        <f t="shared" si="4"/>
        <v>3.2210575610949834</v>
      </c>
      <c r="F125" s="17" t="str">
        <f t="shared" si="5"/>
        <v>Stock Holding</v>
      </c>
      <c r="G125" s="17" t="b">
        <f t="shared" si="3"/>
        <v>1</v>
      </c>
      <c r="H125" s="139" t="s">
        <v>32</v>
      </c>
      <c r="I125" s="141">
        <v>7.5399999999999995E-2</v>
      </c>
      <c r="J125" s="142">
        <v>45597.610408669003</v>
      </c>
      <c r="K125" s="141">
        <v>132.62</v>
      </c>
      <c r="L125" s="142">
        <v>45695.8526642824</v>
      </c>
      <c r="M125" s="141">
        <v>143.18</v>
      </c>
      <c r="N125" s="139" t="s">
        <v>33</v>
      </c>
      <c r="O125" s="139" t="s">
        <v>33</v>
      </c>
      <c r="P125" s="143">
        <v>10</v>
      </c>
      <c r="Q125" s="143">
        <v>10.8</v>
      </c>
      <c r="R125" s="139"/>
      <c r="S125" s="139"/>
      <c r="T125" s="139"/>
      <c r="U125" s="144">
        <v>0</v>
      </c>
      <c r="V125" s="144">
        <v>0</v>
      </c>
      <c r="W125" s="144">
        <v>0</v>
      </c>
      <c r="X125" s="148">
        <v>0.8</v>
      </c>
      <c r="Y125" s="146"/>
      <c r="Z125" s="138"/>
      <c r="AA125" s="138"/>
    </row>
    <row r="126" spans="2:27" ht="21" x14ac:dyDescent="0.25">
      <c r="B126" s="130">
        <v>1582735114</v>
      </c>
      <c r="C126" s="131" t="s">
        <v>527</v>
      </c>
      <c r="D126" s="17" t="str">
        <f>IFERROR(INDEX([1]Positions!$A:$A,MATCH(C126,[1]Positions!$C:$C,0)),"Other")</f>
        <v>Consumer Cyclical</v>
      </c>
      <c r="E126" s="17">
        <f t="shared" si="4"/>
        <v>1.6377670954754022</v>
      </c>
      <c r="F126" s="17" t="str">
        <f t="shared" si="5"/>
        <v>Stock Holding</v>
      </c>
      <c r="G126" s="17" t="b">
        <f t="shared" si="3"/>
        <v>1</v>
      </c>
      <c r="H126" s="130" t="s">
        <v>32</v>
      </c>
      <c r="I126" s="132">
        <v>7.6300000000000007E-2</v>
      </c>
      <c r="J126" s="133">
        <v>45645.9007678704</v>
      </c>
      <c r="K126" s="132">
        <v>130.51</v>
      </c>
      <c r="L126" s="133">
        <v>45695.8526642824</v>
      </c>
      <c r="M126" s="132">
        <v>143.18</v>
      </c>
      <c r="N126" s="130" t="s">
        <v>53</v>
      </c>
      <c r="O126" s="130" t="s">
        <v>33</v>
      </c>
      <c r="P126" s="134">
        <v>9.9600000000000009</v>
      </c>
      <c r="Q126" s="134">
        <v>10.92</v>
      </c>
      <c r="R126" s="130"/>
      <c r="S126" s="130"/>
      <c r="T126" s="130"/>
      <c r="U126" s="135">
        <v>0</v>
      </c>
      <c r="V126" s="135">
        <v>0</v>
      </c>
      <c r="W126" s="135">
        <v>0</v>
      </c>
      <c r="X126" s="136">
        <v>0.96</v>
      </c>
      <c r="Y126" s="137"/>
      <c r="Z126" s="138"/>
      <c r="AA126" s="138"/>
    </row>
    <row r="127" spans="2:27" ht="21" x14ac:dyDescent="0.25">
      <c r="B127" s="139">
        <v>1657658561</v>
      </c>
      <c r="C127" s="140" t="s">
        <v>41</v>
      </c>
      <c r="D127" s="17" t="str">
        <f>IFERROR(INDEX([1]Positions!$A:$A,MATCH(C127,[1]Positions!$C:$C,0)),"Other")</f>
        <v>Other</v>
      </c>
      <c r="E127" s="17">
        <f t="shared" si="4"/>
        <v>1.2260469793366863E-2</v>
      </c>
      <c r="F127" s="17" t="str">
        <f t="shared" si="5"/>
        <v>SWAP Contract</v>
      </c>
      <c r="G127" s="17" t="b">
        <f t="shared" si="3"/>
        <v>1</v>
      </c>
      <c r="H127" s="139" t="s">
        <v>32</v>
      </c>
      <c r="I127" s="141">
        <v>0.02</v>
      </c>
      <c r="J127" s="142">
        <v>45702.1877421065</v>
      </c>
      <c r="K127" s="141">
        <v>20.425699999999999</v>
      </c>
      <c r="L127" s="142">
        <v>45702.561686435198</v>
      </c>
      <c r="M127" s="141">
        <v>20.365600000000001</v>
      </c>
      <c r="N127" s="139" t="s">
        <v>33</v>
      </c>
      <c r="O127" s="139" t="s">
        <v>33</v>
      </c>
      <c r="P127" s="139"/>
      <c r="Q127" s="139"/>
      <c r="R127" s="141">
        <v>20.366399999999999</v>
      </c>
      <c r="S127" s="141">
        <v>20.5213</v>
      </c>
      <c r="T127" s="139">
        <v>10</v>
      </c>
      <c r="U127" s="144">
        <v>0</v>
      </c>
      <c r="V127" s="144">
        <v>0</v>
      </c>
      <c r="W127" s="144">
        <v>0</v>
      </c>
      <c r="X127" s="145">
        <v>-5.9</v>
      </c>
      <c r="Y127" s="146" t="s">
        <v>39</v>
      </c>
      <c r="Z127" s="138"/>
      <c r="AA127" s="138"/>
    </row>
    <row r="128" spans="2:27" ht="21" x14ac:dyDescent="0.25">
      <c r="B128" s="130">
        <v>1660829104</v>
      </c>
      <c r="C128" s="131" t="s">
        <v>41</v>
      </c>
      <c r="D128" s="17" t="str">
        <f>IFERROR(INDEX([1]Positions!$A:$A,MATCH(C128,[1]Positions!$C:$C,0)),"Other")</f>
        <v>Other</v>
      </c>
      <c r="E128" s="17">
        <f t="shared" si="4"/>
        <v>2.5850956294338266E-3</v>
      </c>
      <c r="F128" s="17" t="str">
        <f t="shared" si="5"/>
        <v>SWAP Contract</v>
      </c>
      <c r="G128" s="17" t="b">
        <f t="shared" si="3"/>
        <v>1</v>
      </c>
      <c r="H128" s="130" t="s">
        <v>32</v>
      </c>
      <c r="I128" s="132">
        <v>0.02</v>
      </c>
      <c r="J128" s="133">
        <v>45705.649817997699</v>
      </c>
      <c r="K128" s="132">
        <v>20.323699999999999</v>
      </c>
      <c r="L128" s="133">
        <v>45705.728663414397</v>
      </c>
      <c r="M128" s="132">
        <v>20.273800000000001</v>
      </c>
      <c r="N128" s="130" t="s">
        <v>33</v>
      </c>
      <c r="O128" s="130" t="s">
        <v>33</v>
      </c>
      <c r="P128" s="130"/>
      <c r="Q128" s="130"/>
      <c r="R128" s="132">
        <v>20.273800000000001</v>
      </c>
      <c r="S128" s="132">
        <v>20.393599999999999</v>
      </c>
      <c r="T128" s="130">
        <v>10</v>
      </c>
      <c r="U128" s="135">
        <v>0</v>
      </c>
      <c r="V128" s="135">
        <v>0</v>
      </c>
      <c r="W128" s="135">
        <v>0</v>
      </c>
      <c r="X128" s="147">
        <v>-4.92</v>
      </c>
      <c r="Y128" s="137" t="s">
        <v>39</v>
      </c>
      <c r="Z128" s="138"/>
      <c r="AA128" s="138"/>
    </row>
    <row r="129" spans="2:27" ht="21" x14ac:dyDescent="0.25">
      <c r="B129" s="139">
        <v>1378903852</v>
      </c>
      <c r="C129" s="140" t="s">
        <v>528</v>
      </c>
      <c r="D129" s="17" t="str">
        <f>IFERROR(INDEX([1]Positions!$A:$A,MATCH(C129,[1]Positions!$C:$C,0)),"Other")</f>
        <v>Technology</v>
      </c>
      <c r="E129" s="17">
        <f t="shared" si="4"/>
        <v>7.3422631891310735</v>
      </c>
      <c r="F129" s="17" t="str">
        <f t="shared" si="5"/>
        <v>Stock Holding</v>
      </c>
      <c r="G129" s="17" t="b">
        <f t="shared" si="3"/>
        <v>1</v>
      </c>
      <c r="H129" s="139" t="s">
        <v>32</v>
      </c>
      <c r="I129" s="141">
        <v>6.1600000000000002E-2</v>
      </c>
      <c r="J129" s="142">
        <v>45482.713720868102</v>
      </c>
      <c r="K129" s="141">
        <v>227.77</v>
      </c>
      <c r="L129" s="142">
        <v>45706.652748136599</v>
      </c>
      <c r="M129" s="141">
        <v>243.58</v>
      </c>
      <c r="N129" s="139" t="s">
        <v>33</v>
      </c>
      <c r="O129" s="139" t="s">
        <v>33</v>
      </c>
      <c r="P129" s="143">
        <v>14.03</v>
      </c>
      <c r="Q129" s="143">
        <v>15</v>
      </c>
      <c r="R129" s="139"/>
      <c r="S129" s="139"/>
      <c r="T129" s="139"/>
      <c r="U129" s="144">
        <v>0</v>
      </c>
      <c r="V129" s="144">
        <v>0</v>
      </c>
      <c r="W129" s="144">
        <v>0</v>
      </c>
      <c r="X129" s="148">
        <v>0.97</v>
      </c>
      <c r="Y129" s="146"/>
      <c r="Z129" s="138"/>
      <c r="AA129" s="138"/>
    </row>
    <row r="130" spans="2:27" ht="21" x14ac:dyDescent="0.25">
      <c r="B130" s="130">
        <v>1378903852</v>
      </c>
      <c r="C130" s="131" t="s">
        <v>528</v>
      </c>
      <c r="D130" s="17" t="str">
        <f>IFERROR(INDEX([1]Positions!$A:$A,MATCH(C130,[1]Positions!$C:$C,0)),"Other")</f>
        <v>Technology</v>
      </c>
      <c r="E130" s="17">
        <f t="shared" si="4"/>
        <v>7.3422682187310038</v>
      </c>
      <c r="F130" s="17" t="str">
        <f t="shared" si="5"/>
        <v>Stock Holding</v>
      </c>
      <c r="G130" s="17" t="b">
        <f t="shared" si="3"/>
        <v>1</v>
      </c>
      <c r="H130" s="130" t="s">
        <v>32</v>
      </c>
      <c r="I130" s="132">
        <v>4.1999999999999997E-3</v>
      </c>
      <c r="J130" s="133">
        <v>45482.713720868102</v>
      </c>
      <c r="K130" s="132">
        <v>227.77</v>
      </c>
      <c r="L130" s="133">
        <v>45706.652901539397</v>
      </c>
      <c r="M130" s="132">
        <v>243.45</v>
      </c>
      <c r="N130" s="130" t="s">
        <v>33</v>
      </c>
      <c r="O130" s="130" t="s">
        <v>33</v>
      </c>
      <c r="P130" s="134">
        <v>0.96</v>
      </c>
      <c r="Q130" s="134">
        <v>1.02</v>
      </c>
      <c r="R130" s="130"/>
      <c r="S130" s="130"/>
      <c r="T130" s="130"/>
      <c r="U130" s="135">
        <v>0</v>
      </c>
      <c r="V130" s="135">
        <v>0</v>
      </c>
      <c r="W130" s="135">
        <v>0</v>
      </c>
      <c r="X130" s="136">
        <v>0.06</v>
      </c>
      <c r="Y130" s="137"/>
      <c r="Z130" s="138"/>
      <c r="AA130" s="138"/>
    </row>
    <row r="131" spans="2:27" ht="21" x14ac:dyDescent="0.25">
      <c r="B131" s="139">
        <v>1456814919</v>
      </c>
      <c r="C131" s="140" t="s">
        <v>528</v>
      </c>
      <c r="D131" s="17" t="str">
        <f>IFERROR(INDEX([1]Positions!$A:$A,MATCH(C131,[1]Positions!$C:$C,0)),"Other")</f>
        <v>Technology</v>
      </c>
      <c r="E131" s="17">
        <f t="shared" si="4"/>
        <v>5.179907017685168</v>
      </c>
      <c r="F131" s="17" t="str">
        <f t="shared" si="5"/>
        <v>Stock Holding</v>
      </c>
      <c r="G131" s="17" t="b">
        <f t="shared" si="3"/>
        <v>1</v>
      </c>
      <c r="H131" s="139" t="s">
        <v>32</v>
      </c>
      <c r="I131" s="141">
        <v>6.6500000000000004E-2</v>
      </c>
      <c r="J131" s="142">
        <v>45548.6657375</v>
      </c>
      <c r="K131" s="141">
        <v>222.94</v>
      </c>
      <c r="L131" s="142">
        <v>45706.652901539397</v>
      </c>
      <c r="M131" s="141">
        <v>243.45</v>
      </c>
      <c r="N131" s="139" t="s">
        <v>33</v>
      </c>
      <c r="O131" s="139" t="s">
        <v>33</v>
      </c>
      <c r="P131" s="143">
        <v>14.83</v>
      </c>
      <c r="Q131" s="143">
        <v>16.190000000000001</v>
      </c>
      <c r="R131" s="139"/>
      <c r="S131" s="139"/>
      <c r="T131" s="139"/>
      <c r="U131" s="144">
        <v>0</v>
      </c>
      <c r="V131" s="144">
        <v>0</v>
      </c>
      <c r="W131" s="144">
        <v>0</v>
      </c>
      <c r="X131" s="148">
        <v>1.36</v>
      </c>
      <c r="Y131" s="146"/>
      <c r="Z131" s="138"/>
      <c r="AA131" s="138"/>
    </row>
    <row r="132" spans="2:27" ht="21" x14ac:dyDescent="0.25">
      <c r="B132" s="130">
        <v>1499061783</v>
      </c>
      <c r="C132" s="131" t="s">
        <v>528</v>
      </c>
      <c r="D132" s="17" t="str">
        <f>IFERROR(INDEX([1]Positions!$A:$A,MATCH(C132,[1]Positions!$C:$C,0)),"Other")</f>
        <v>Technology</v>
      </c>
      <c r="E132" s="17">
        <f t="shared" si="4"/>
        <v>4.0627191070916675</v>
      </c>
      <c r="F132" s="17" t="str">
        <f t="shared" si="5"/>
        <v>Stock Holding</v>
      </c>
      <c r="G132" s="17" t="b">
        <f t="shared" si="3"/>
        <v>1</v>
      </c>
      <c r="H132" s="130" t="s">
        <v>32</v>
      </c>
      <c r="I132" s="132">
        <v>5.5800000000000002E-2</v>
      </c>
      <c r="J132" s="133">
        <v>45582.739968773101</v>
      </c>
      <c r="K132" s="132">
        <v>232.2</v>
      </c>
      <c r="L132" s="133">
        <v>45706.652901539397</v>
      </c>
      <c r="M132" s="132">
        <v>243.45</v>
      </c>
      <c r="N132" s="130" t="s">
        <v>40</v>
      </c>
      <c r="O132" s="130" t="s">
        <v>33</v>
      </c>
      <c r="P132" s="134">
        <v>12.96</v>
      </c>
      <c r="Q132" s="134">
        <v>13.58</v>
      </c>
      <c r="R132" s="130"/>
      <c r="S132" s="130"/>
      <c r="T132" s="130"/>
      <c r="U132" s="135">
        <v>0</v>
      </c>
      <c r="V132" s="135">
        <v>0</v>
      </c>
      <c r="W132" s="135">
        <v>0</v>
      </c>
      <c r="X132" s="136">
        <v>0.62</v>
      </c>
      <c r="Y132" s="137" t="s">
        <v>0</v>
      </c>
      <c r="Z132" s="138"/>
      <c r="AA132" s="138"/>
    </row>
    <row r="133" spans="2:27" ht="21" x14ac:dyDescent="0.25">
      <c r="B133" s="139">
        <v>1717095547</v>
      </c>
      <c r="C133" s="140" t="s">
        <v>41</v>
      </c>
      <c r="D133" s="17" t="str">
        <f>IFERROR(INDEX([1]Positions!$A:$A,MATCH(C133,[1]Positions!$C:$C,0)),"Other")</f>
        <v>Other</v>
      </c>
      <c r="E133" s="17">
        <f t="shared" si="4"/>
        <v>9.8346425344419414E-3</v>
      </c>
      <c r="F133" s="17" t="str">
        <f t="shared" si="5"/>
        <v>SWAP Contract</v>
      </c>
      <c r="G133" s="17" t="b">
        <f t="shared" si="3"/>
        <v>1</v>
      </c>
      <c r="H133" s="139" t="s">
        <v>32</v>
      </c>
      <c r="I133" s="141">
        <v>0.04</v>
      </c>
      <c r="J133" s="142">
        <v>45736.813421145802</v>
      </c>
      <c r="K133" s="141">
        <v>20.119800000000001</v>
      </c>
      <c r="L133" s="142">
        <v>45737.113377743102</v>
      </c>
      <c r="M133" s="141">
        <v>20.134799999999998</v>
      </c>
      <c r="N133" s="139" t="s">
        <v>33</v>
      </c>
      <c r="O133" s="139" t="s">
        <v>33</v>
      </c>
      <c r="P133" s="139"/>
      <c r="Q133" s="139"/>
      <c r="R133" s="141">
        <v>20.134899999999998</v>
      </c>
      <c r="S133" s="141">
        <v>20.162299999999998</v>
      </c>
      <c r="T133" s="139">
        <v>20</v>
      </c>
      <c r="U133" s="144">
        <v>0</v>
      </c>
      <c r="V133" s="144">
        <v>-0.8</v>
      </c>
      <c r="W133" s="144">
        <v>0</v>
      </c>
      <c r="X133" s="148">
        <v>2.98</v>
      </c>
      <c r="Y133" s="146" t="s">
        <v>39</v>
      </c>
      <c r="Z133" s="138"/>
      <c r="AA133" s="138"/>
    </row>
    <row r="134" spans="2:27" ht="21" x14ac:dyDescent="0.25">
      <c r="B134" s="130">
        <v>1554741910</v>
      </c>
      <c r="C134" s="131" t="s">
        <v>529</v>
      </c>
      <c r="D134" s="17" t="str">
        <f>IFERROR(INDEX([1]Positions!$A:$A,MATCH(C134,[1]Positions!$C:$C,0)),"Other")</f>
        <v>Financial Services</v>
      </c>
      <c r="E134" s="17">
        <f t="shared" si="4"/>
        <v>3.8728610469802707</v>
      </c>
      <c r="F134" s="17" t="str">
        <f t="shared" si="5"/>
        <v>Stock Holding</v>
      </c>
      <c r="G134" s="17" t="b">
        <f t="shared" si="3"/>
        <v>1</v>
      </c>
      <c r="H134" s="130" t="s">
        <v>32</v>
      </c>
      <c r="I134" s="132">
        <v>0.61</v>
      </c>
      <c r="J134" s="133">
        <v>45623.749511006899</v>
      </c>
      <c r="K134" s="132">
        <v>15.3</v>
      </c>
      <c r="L134" s="133">
        <v>45741.871772939798</v>
      </c>
      <c r="M134" s="132">
        <v>20.29</v>
      </c>
      <c r="N134" s="130" t="s">
        <v>33</v>
      </c>
      <c r="O134" s="130" t="s">
        <v>33</v>
      </c>
      <c r="P134" s="134">
        <v>9.33</v>
      </c>
      <c r="Q134" s="134">
        <v>12.38</v>
      </c>
      <c r="R134" s="130"/>
      <c r="S134" s="130"/>
      <c r="T134" s="130"/>
      <c r="U134" s="135">
        <v>0</v>
      </c>
      <c r="V134" s="135">
        <v>0</v>
      </c>
      <c r="W134" s="135">
        <v>0</v>
      </c>
      <c r="X134" s="136">
        <v>3.05</v>
      </c>
      <c r="Y134" s="137" t="s">
        <v>0</v>
      </c>
      <c r="Z134" s="138"/>
      <c r="AA134" s="138"/>
    </row>
    <row r="135" spans="2:27" ht="21" x14ac:dyDescent="0.25">
      <c r="B135" s="139">
        <v>1414372592</v>
      </c>
      <c r="C135" s="140" t="s">
        <v>530</v>
      </c>
      <c r="D135" s="17" t="str">
        <f>IFERROR(INDEX([1]Positions!$A:$A,MATCH(C135,[1]Positions!$C:$C,0)),"Other")</f>
        <v>Financial Services</v>
      </c>
      <c r="E135" s="17">
        <f t="shared" si="4"/>
        <v>7.5755112067408401</v>
      </c>
      <c r="F135" s="17" t="str">
        <f t="shared" si="5"/>
        <v>Stock Holding</v>
      </c>
      <c r="G135" s="17" t="b">
        <f t="shared" si="3"/>
        <v>1</v>
      </c>
      <c r="H135" s="139" t="s">
        <v>32</v>
      </c>
      <c r="I135" s="141">
        <v>0.01</v>
      </c>
      <c r="J135" s="142">
        <v>45511.722872141203</v>
      </c>
      <c r="K135" s="141">
        <v>455.4</v>
      </c>
      <c r="L135" s="142">
        <v>45742.775963946799</v>
      </c>
      <c r="M135" s="141">
        <v>547.14</v>
      </c>
      <c r="N135" s="139" t="s">
        <v>33</v>
      </c>
      <c r="O135" s="139" t="s">
        <v>33</v>
      </c>
      <c r="P135" s="143">
        <v>4.55</v>
      </c>
      <c r="Q135" s="143">
        <v>5.47</v>
      </c>
      <c r="R135" s="139"/>
      <c r="S135" s="139"/>
      <c r="T135" s="139"/>
      <c r="U135" s="144">
        <v>0</v>
      </c>
      <c r="V135" s="144">
        <v>0</v>
      </c>
      <c r="W135" s="144">
        <v>0</v>
      </c>
      <c r="X135" s="148">
        <v>0.92</v>
      </c>
      <c r="Y135" s="146"/>
      <c r="Z135" s="138"/>
      <c r="AA135" s="138"/>
    </row>
    <row r="136" spans="2:27" ht="21" x14ac:dyDescent="0.25">
      <c r="B136" s="130">
        <v>1450043624</v>
      </c>
      <c r="C136" s="131" t="s">
        <v>531</v>
      </c>
      <c r="D136" s="17" t="str">
        <f>IFERROR(INDEX([1]Positions!$A:$A,MATCH(C136,[1]Positions!$C:$C,0)),"Other")</f>
        <v>Consumer Defensive</v>
      </c>
      <c r="E136" s="17">
        <f t="shared" si="4"/>
        <v>6.5283397609312148</v>
      </c>
      <c r="F136" s="17" t="str">
        <f t="shared" si="5"/>
        <v>Stock Holding</v>
      </c>
      <c r="G136" s="17" t="b">
        <f t="shared" si="3"/>
        <v>1</v>
      </c>
      <c r="H136" s="130" t="s">
        <v>32</v>
      </c>
      <c r="I136" s="132">
        <v>1.38E-2</v>
      </c>
      <c r="J136" s="133">
        <v>45544.6516350694</v>
      </c>
      <c r="K136" s="132">
        <v>147.47999999999999</v>
      </c>
      <c r="L136" s="133">
        <v>45743.765997777802</v>
      </c>
      <c r="M136" s="132">
        <v>139.86000000000001</v>
      </c>
      <c r="N136" s="130" t="s">
        <v>33</v>
      </c>
      <c r="O136" s="130" t="s">
        <v>33</v>
      </c>
      <c r="P136" s="134">
        <v>2.04</v>
      </c>
      <c r="Q136" s="134">
        <v>1.93</v>
      </c>
      <c r="R136" s="130"/>
      <c r="S136" s="130"/>
      <c r="T136" s="130"/>
      <c r="U136" s="135">
        <v>0</v>
      </c>
      <c r="V136" s="135">
        <v>0</v>
      </c>
      <c r="W136" s="135">
        <v>0</v>
      </c>
      <c r="X136" s="147">
        <v>-0.11</v>
      </c>
      <c r="Y136" s="137"/>
      <c r="Z136" s="138"/>
      <c r="AA136" s="138"/>
    </row>
    <row r="137" spans="2:27" ht="21" x14ac:dyDescent="0.25">
      <c r="B137" s="139">
        <v>1358151307</v>
      </c>
      <c r="C137" s="140" t="s">
        <v>508</v>
      </c>
      <c r="D137" s="17" t="str">
        <f>IFERROR(INDEX([1]Positions!$A:$A,MATCH(C137,[1]Positions!$C:$C,0)),"Other")</f>
        <v>Consumer Defensive</v>
      </c>
      <c r="E137" s="17">
        <f t="shared" si="4"/>
        <v>9.2747880699736598</v>
      </c>
      <c r="F137" s="17" t="str">
        <f t="shared" si="5"/>
        <v>Stock Holding</v>
      </c>
      <c r="G137" s="17" t="b">
        <f t="shared" si="3"/>
        <v>1</v>
      </c>
      <c r="H137" s="139" t="s">
        <v>32</v>
      </c>
      <c r="I137" s="141">
        <v>1.24E-2</v>
      </c>
      <c r="J137" s="142">
        <v>45460.885290370403</v>
      </c>
      <c r="K137" s="141">
        <v>165.93</v>
      </c>
      <c r="L137" s="142">
        <v>45743.766326504599</v>
      </c>
      <c r="M137" s="141">
        <v>149.33000000000001</v>
      </c>
      <c r="N137" s="139" t="s">
        <v>33</v>
      </c>
      <c r="O137" s="139" t="s">
        <v>33</v>
      </c>
      <c r="P137" s="143">
        <v>2.06</v>
      </c>
      <c r="Q137" s="143">
        <v>1.85</v>
      </c>
      <c r="R137" s="139"/>
      <c r="S137" s="139"/>
      <c r="T137" s="139"/>
      <c r="U137" s="144">
        <v>0</v>
      </c>
      <c r="V137" s="144">
        <v>0</v>
      </c>
      <c r="W137" s="144">
        <v>0</v>
      </c>
      <c r="X137" s="145">
        <v>-0.21</v>
      </c>
      <c r="Y137" s="146"/>
      <c r="Z137" s="138"/>
      <c r="AA137" s="138"/>
    </row>
    <row r="138" spans="2:27" ht="21" x14ac:dyDescent="0.25">
      <c r="B138" s="130">
        <v>1422773288</v>
      </c>
      <c r="C138" s="131" t="s">
        <v>532</v>
      </c>
      <c r="D138" s="17" t="str">
        <f>IFERROR(INDEX([1]Positions!$A:$A,MATCH(C138,[1]Positions!$C:$C,0)),"Other")</f>
        <v>Consumer Defensive</v>
      </c>
      <c r="E138" s="17">
        <f t="shared" si="4"/>
        <v>7.3745378866883806</v>
      </c>
      <c r="F138" s="17" t="str">
        <f t="shared" si="5"/>
        <v>Stock Holding</v>
      </c>
      <c r="G138" s="17" t="b">
        <f t="shared" si="3"/>
        <v>1</v>
      </c>
      <c r="H138" s="130" t="s">
        <v>32</v>
      </c>
      <c r="I138" s="132">
        <v>0.2</v>
      </c>
      <c r="J138" s="133">
        <v>45518.844285057901</v>
      </c>
      <c r="K138" s="132">
        <v>51.24</v>
      </c>
      <c r="L138" s="133">
        <v>45743.767690601897</v>
      </c>
      <c r="M138" s="132">
        <v>58.08</v>
      </c>
      <c r="N138" s="130" t="s">
        <v>33</v>
      </c>
      <c r="O138" s="130" t="s">
        <v>33</v>
      </c>
      <c r="P138" s="134">
        <v>10.25</v>
      </c>
      <c r="Q138" s="134">
        <v>11.62</v>
      </c>
      <c r="R138" s="130"/>
      <c r="S138" s="130"/>
      <c r="T138" s="130"/>
      <c r="U138" s="135">
        <v>0</v>
      </c>
      <c r="V138" s="135">
        <v>0</v>
      </c>
      <c r="W138" s="135">
        <v>0</v>
      </c>
      <c r="X138" s="136">
        <v>1.37</v>
      </c>
      <c r="Y138" s="137"/>
      <c r="Z138" s="138"/>
      <c r="AA138" s="138"/>
    </row>
    <row r="139" spans="2:27" ht="21" x14ac:dyDescent="0.25">
      <c r="B139" s="139">
        <v>1631473921</v>
      </c>
      <c r="C139" s="140" t="s">
        <v>533</v>
      </c>
      <c r="D139" s="17" t="str">
        <f>IFERROR(INDEX([1]Positions!$A:$A,MATCH(C139,[1]Positions!$C:$C,0)),"Other")</f>
        <v>Energy &amp; Utilities</v>
      </c>
      <c r="E139" s="17">
        <f t="shared" si="4"/>
        <v>2.2561317972064048</v>
      </c>
      <c r="F139" s="17" t="str">
        <f t="shared" si="5"/>
        <v>Stock Holding</v>
      </c>
      <c r="G139" s="17" t="b">
        <f t="shared" si="3"/>
        <v>1</v>
      </c>
      <c r="H139" s="139" t="s">
        <v>32</v>
      </c>
      <c r="I139" s="141">
        <v>0.27450000000000002</v>
      </c>
      <c r="J139" s="142">
        <v>45685.835611608803</v>
      </c>
      <c r="K139" s="141">
        <v>40.049999999999997</v>
      </c>
      <c r="L139" s="142">
        <v>45754.647631423599</v>
      </c>
      <c r="M139" s="141">
        <v>44.8</v>
      </c>
      <c r="N139" s="139" t="s">
        <v>33</v>
      </c>
      <c r="O139" s="139" t="s">
        <v>40</v>
      </c>
      <c r="P139" s="143">
        <v>10.99</v>
      </c>
      <c r="Q139" s="143">
        <v>12.3</v>
      </c>
      <c r="R139" s="139"/>
      <c r="S139" s="139"/>
      <c r="T139" s="139"/>
      <c r="U139" s="144">
        <v>0</v>
      </c>
      <c r="V139" s="144">
        <v>0</v>
      </c>
      <c r="W139" s="144">
        <v>0</v>
      </c>
      <c r="X139" s="148">
        <v>1.31</v>
      </c>
      <c r="Y139" s="146" t="s">
        <v>0</v>
      </c>
      <c r="Z139" s="138"/>
      <c r="AA139" s="138"/>
    </row>
    <row r="140" spans="2:27" ht="21" x14ac:dyDescent="0.25">
      <c r="B140" s="130">
        <v>1642763333</v>
      </c>
      <c r="C140" s="131" t="s">
        <v>533</v>
      </c>
      <c r="D140" s="17" t="str">
        <f>IFERROR(INDEX([1]Positions!$A:$A,MATCH(C140,[1]Positions!$C:$C,0)),"Other")</f>
        <v>Energy &amp; Utilities</v>
      </c>
      <c r="E140" s="17">
        <f t="shared" si="4"/>
        <v>2.0256033435802179</v>
      </c>
      <c r="F140" s="17" t="str">
        <f t="shared" si="5"/>
        <v>Stock Holding</v>
      </c>
      <c r="G140" s="17" t="b">
        <f t="shared" si="3"/>
        <v>1</v>
      </c>
      <c r="H140" s="130" t="s">
        <v>32</v>
      </c>
      <c r="I140" s="132">
        <v>0.24590000000000001</v>
      </c>
      <c r="J140" s="133">
        <v>45692.866729444402</v>
      </c>
      <c r="K140" s="132">
        <v>40.659999999999997</v>
      </c>
      <c r="L140" s="133">
        <v>45754.647631423599</v>
      </c>
      <c r="M140" s="132">
        <v>44.8</v>
      </c>
      <c r="N140" s="130" t="s">
        <v>33</v>
      </c>
      <c r="O140" s="130" t="s">
        <v>40</v>
      </c>
      <c r="P140" s="134">
        <v>10</v>
      </c>
      <c r="Q140" s="134">
        <v>11.02</v>
      </c>
      <c r="R140" s="130"/>
      <c r="S140" s="130"/>
      <c r="T140" s="130"/>
      <c r="U140" s="135">
        <v>0</v>
      </c>
      <c r="V140" s="135">
        <v>0</v>
      </c>
      <c r="W140" s="135">
        <v>0</v>
      </c>
      <c r="X140" s="136">
        <v>1.02</v>
      </c>
      <c r="Y140" s="137" t="s">
        <v>0</v>
      </c>
      <c r="Z140" s="138"/>
      <c r="AA140" s="138"/>
    </row>
    <row r="141" spans="2:27" ht="21" x14ac:dyDescent="0.25">
      <c r="B141" s="139">
        <v>1666451221</v>
      </c>
      <c r="C141" s="140" t="s">
        <v>533</v>
      </c>
      <c r="D141" s="17" t="str">
        <f>IFERROR(INDEX([1]Positions!$A:$A,MATCH(C141,[1]Positions!$C:$C,0)),"Other")</f>
        <v>Energy &amp; Utilities</v>
      </c>
      <c r="E141" s="17">
        <f t="shared" si="4"/>
        <v>1.5071280407540397</v>
      </c>
      <c r="F141" s="17" t="str">
        <f t="shared" si="5"/>
        <v>Stock Holding</v>
      </c>
      <c r="G141" s="17" t="b">
        <f t="shared" si="3"/>
        <v>1</v>
      </c>
      <c r="H141" s="139" t="s">
        <v>32</v>
      </c>
      <c r="I141" s="141">
        <v>0.17960000000000001</v>
      </c>
      <c r="J141" s="142">
        <v>45708.680226180601</v>
      </c>
      <c r="K141" s="141">
        <v>43</v>
      </c>
      <c r="L141" s="142">
        <v>45754.647631423599</v>
      </c>
      <c r="M141" s="141">
        <v>44.8</v>
      </c>
      <c r="N141" s="139" t="s">
        <v>33</v>
      </c>
      <c r="O141" s="139" t="s">
        <v>40</v>
      </c>
      <c r="P141" s="143">
        <v>7.72</v>
      </c>
      <c r="Q141" s="143">
        <v>8.0500000000000007</v>
      </c>
      <c r="R141" s="139"/>
      <c r="S141" s="139"/>
      <c r="T141" s="139"/>
      <c r="U141" s="144">
        <v>0</v>
      </c>
      <c r="V141" s="144">
        <v>0</v>
      </c>
      <c r="W141" s="144">
        <v>0</v>
      </c>
      <c r="X141" s="148">
        <v>0.33</v>
      </c>
      <c r="Y141" s="146" t="s">
        <v>0</v>
      </c>
      <c r="Z141" s="138"/>
      <c r="AA141" s="138"/>
    </row>
    <row r="142" spans="2:27" ht="21" x14ac:dyDescent="0.25">
      <c r="B142" s="130">
        <v>1749053104</v>
      </c>
      <c r="C142" s="131" t="s">
        <v>54</v>
      </c>
      <c r="D142" s="17" t="str">
        <f>IFERROR(INDEX([1]Positions!$A:$A,MATCH(C142,[1]Positions!$C:$C,0)),"Other")</f>
        <v>Other</v>
      </c>
      <c r="E142" s="17">
        <f t="shared" si="4"/>
        <v>3.3218731109404048E-5</v>
      </c>
      <c r="F142" s="17" t="str">
        <f t="shared" si="5"/>
        <v>SWAP Contract</v>
      </c>
      <c r="G142" s="17" t="b">
        <f t="shared" ref="G142:G205" si="6">ISNUMBER(I142)</f>
        <v>1</v>
      </c>
      <c r="H142" s="130" t="s">
        <v>42</v>
      </c>
      <c r="I142" s="132">
        <v>0.01</v>
      </c>
      <c r="J142" s="133">
        <v>45754.651174143502</v>
      </c>
      <c r="K142" s="132">
        <v>4903.7</v>
      </c>
      <c r="L142" s="133">
        <v>45754.652187314801</v>
      </c>
      <c r="M142" s="132">
        <v>4891.1000000000004</v>
      </c>
      <c r="N142" s="130" t="s">
        <v>40</v>
      </c>
      <c r="O142" s="130" t="s">
        <v>40</v>
      </c>
      <c r="P142" s="130"/>
      <c r="Q142" s="130"/>
      <c r="R142" s="130"/>
      <c r="S142" s="130"/>
      <c r="T142" s="130">
        <v>12.26</v>
      </c>
      <c r="U142" s="135">
        <v>0</v>
      </c>
      <c r="V142" s="135">
        <v>0</v>
      </c>
      <c r="W142" s="135">
        <v>0</v>
      </c>
      <c r="X142" s="136">
        <v>6.3</v>
      </c>
      <c r="Y142" s="137" t="s">
        <v>0</v>
      </c>
      <c r="Z142" s="138"/>
      <c r="AA142" s="138"/>
    </row>
    <row r="143" spans="2:27" ht="21" x14ac:dyDescent="0.25">
      <c r="B143" s="139">
        <v>1756767326</v>
      </c>
      <c r="C143" s="140" t="s">
        <v>54</v>
      </c>
      <c r="D143" s="17" t="str">
        <f>IFERROR(INDEX([1]Positions!$A:$A,MATCH(C143,[1]Positions!$C:$C,0)),"Other")</f>
        <v>Other</v>
      </c>
      <c r="E143" s="17">
        <f t="shared" ref="E143:E169" si="7">(L143-J143)/30.5</f>
        <v>4.3178885148410669E-5</v>
      </c>
      <c r="F143" s="17" t="str">
        <f t="shared" ref="F143:F169" si="8">IF(ISBLANK(T143),"Stock Holding","SWAP Contract")</f>
        <v>SWAP Contract</v>
      </c>
      <c r="G143" s="17" t="b">
        <f t="shared" si="6"/>
        <v>1</v>
      </c>
      <c r="H143" s="139" t="s">
        <v>42</v>
      </c>
      <c r="I143" s="141">
        <v>0.01</v>
      </c>
      <c r="J143" s="142">
        <v>45756.648057175902</v>
      </c>
      <c r="K143" s="141">
        <v>5004.7</v>
      </c>
      <c r="L143" s="142">
        <v>45756.649374131899</v>
      </c>
      <c r="M143" s="141">
        <v>5005.2</v>
      </c>
      <c r="N143" s="139" t="s">
        <v>40</v>
      </c>
      <c r="O143" s="139" t="s">
        <v>40</v>
      </c>
      <c r="P143" s="139"/>
      <c r="Q143" s="139"/>
      <c r="R143" s="139"/>
      <c r="S143" s="139"/>
      <c r="T143" s="139">
        <v>12.51</v>
      </c>
      <c r="U143" s="144">
        <v>0</v>
      </c>
      <c r="V143" s="144">
        <v>0</v>
      </c>
      <c r="W143" s="144">
        <v>0</v>
      </c>
      <c r="X143" s="145">
        <v>-0.25</v>
      </c>
      <c r="Y143" s="146" t="s">
        <v>0</v>
      </c>
      <c r="Z143" s="138"/>
      <c r="AA143" s="138"/>
    </row>
    <row r="144" spans="2:27" ht="21" x14ac:dyDescent="0.25">
      <c r="B144" s="130">
        <v>1756797155</v>
      </c>
      <c r="C144" s="131" t="s">
        <v>54</v>
      </c>
      <c r="D144" s="17" t="str">
        <f>IFERROR(INDEX([1]Positions!$A:$A,MATCH(C144,[1]Positions!$C:$C,0)),"Other")</f>
        <v>Other</v>
      </c>
      <c r="E144" s="17">
        <f t="shared" si="7"/>
        <v>2.6323996698025798E-5</v>
      </c>
      <c r="F144" s="17" t="str">
        <f t="shared" si="8"/>
        <v>SWAP Contract</v>
      </c>
      <c r="G144" s="17" t="b">
        <f t="shared" si="6"/>
        <v>1</v>
      </c>
      <c r="H144" s="130" t="s">
        <v>42</v>
      </c>
      <c r="I144" s="132">
        <v>0.01</v>
      </c>
      <c r="J144" s="133">
        <v>45756.651050312503</v>
      </c>
      <c r="K144" s="132">
        <v>4992.2</v>
      </c>
      <c r="L144" s="133">
        <v>45756.651853194402</v>
      </c>
      <c r="M144" s="132">
        <v>5013.3999999999996</v>
      </c>
      <c r="N144" s="130" t="s">
        <v>40</v>
      </c>
      <c r="O144" s="130" t="s">
        <v>40</v>
      </c>
      <c r="P144" s="130"/>
      <c r="Q144" s="130"/>
      <c r="R144" s="130"/>
      <c r="S144" s="130"/>
      <c r="T144" s="130">
        <v>12.48</v>
      </c>
      <c r="U144" s="135">
        <v>0</v>
      </c>
      <c r="V144" s="135">
        <v>0</v>
      </c>
      <c r="W144" s="135">
        <v>0</v>
      </c>
      <c r="X144" s="147">
        <v>-10.6</v>
      </c>
      <c r="Y144" s="137" t="s">
        <v>0</v>
      </c>
      <c r="Z144" s="138"/>
      <c r="AA144" s="138"/>
    </row>
    <row r="145" spans="2:27" ht="21" x14ac:dyDescent="0.25">
      <c r="B145" s="139">
        <v>1767688540</v>
      </c>
      <c r="C145" s="140" t="s">
        <v>41</v>
      </c>
      <c r="D145" s="17" t="str">
        <f>IFERROR(INDEX([1]Positions!$A:$A,MATCH(C145,[1]Positions!$C:$C,0)),"Other")</f>
        <v>Other</v>
      </c>
      <c r="E145" s="17">
        <f t="shared" si="7"/>
        <v>1.3184357934524534E-3</v>
      </c>
      <c r="F145" s="17" t="str">
        <f t="shared" si="8"/>
        <v>SWAP Contract</v>
      </c>
      <c r="G145" s="17" t="b">
        <f t="shared" si="6"/>
        <v>1</v>
      </c>
      <c r="H145" s="139" t="s">
        <v>32</v>
      </c>
      <c r="I145" s="141">
        <v>0.01</v>
      </c>
      <c r="J145" s="142">
        <v>45761.629448703701</v>
      </c>
      <c r="K145" s="141">
        <v>20.122599999999998</v>
      </c>
      <c r="L145" s="142">
        <v>45761.669660995402</v>
      </c>
      <c r="M145" s="141">
        <v>20.047000000000001</v>
      </c>
      <c r="N145" s="139" t="s">
        <v>33</v>
      </c>
      <c r="O145" s="139" t="s">
        <v>33</v>
      </c>
      <c r="P145" s="139"/>
      <c r="Q145" s="139"/>
      <c r="R145" s="141">
        <v>20.047999999999998</v>
      </c>
      <c r="S145" s="141">
        <v>20.340399999999999</v>
      </c>
      <c r="T145" s="139">
        <v>5</v>
      </c>
      <c r="U145" s="144">
        <v>0</v>
      </c>
      <c r="V145" s="144">
        <v>0</v>
      </c>
      <c r="W145" s="144">
        <v>0</v>
      </c>
      <c r="X145" s="145">
        <v>-3.77</v>
      </c>
      <c r="Y145" s="146" t="s">
        <v>39</v>
      </c>
      <c r="Z145" s="138"/>
      <c r="AA145" s="138"/>
    </row>
    <row r="146" spans="2:27" ht="21" x14ac:dyDescent="0.25">
      <c r="B146" s="130">
        <v>1768229183</v>
      </c>
      <c r="C146" s="131" t="s">
        <v>41</v>
      </c>
      <c r="D146" s="17" t="str">
        <f>IFERROR(INDEX([1]Positions!$A:$A,MATCH(C146,[1]Positions!$C:$C,0)),"Other")</f>
        <v>Other</v>
      </c>
      <c r="E146" s="17">
        <f t="shared" si="7"/>
        <v>1.9570757409740911E-3</v>
      </c>
      <c r="F146" s="17" t="str">
        <f t="shared" si="8"/>
        <v>SWAP Contract</v>
      </c>
      <c r="G146" s="17" t="b">
        <f t="shared" si="6"/>
        <v>1</v>
      </c>
      <c r="H146" s="130" t="s">
        <v>32</v>
      </c>
      <c r="I146" s="132">
        <v>0.01</v>
      </c>
      <c r="J146" s="133">
        <v>45761.714022071799</v>
      </c>
      <c r="K146" s="132">
        <v>20.075900000000001</v>
      </c>
      <c r="L146" s="133">
        <v>45761.773712881899</v>
      </c>
      <c r="M146" s="132">
        <v>20.1099</v>
      </c>
      <c r="N146" s="130" t="s">
        <v>33</v>
      </c>
      <c r="O146" s="130" t="s">
        <v>33</v>
      </c>
      <c r="P146" s="130"/>
      <c r="Q146" s="130"/>
      <c r="R146" s="132">
        <v>20.1099</v>
      </c>
      <c r="S146" s="132">
        <v>20.212199999999999</v>
      </c>
      <c r="T146" s="130">
        <v>5</v>
      </c>
      <c r="U146" s="135">
        <v>0</v>
      </c>
      <c r="V146" s="135">
        <v>0</v>
      </c>
      <c r="W146" s="135">
        <v>0</v>
      </c>
      <c r="X146" s="136">
        <v>1.69</v>
      </c>
      <c r="Y146" s="137" t="s">
        <v>39</v>
      </c>
      <c r="Z146" s="138"/>
      <c r="AA146" s="138"/>
    </row>
    <row r="147" spans="2:27" ht="21" x14ac:dyDescent="0.25">
      <c r="B147" s="139">
        <v>1769815245</v>
      </c>
      <c r="C147" s="140" t="s">
        <v>41</v>
      </c>
      <c r="D147" s="17" t="str">
        <f>IFERROR(INDEX([1]Positions!$A:$A,MATCH(C147,[1]Positions!$C:$C,0)),"Other")</f>
        <v>Other</v>
      </c>
      <c r="E147" s="17">
        <f t="shared" si="7"/>
        <v>3.5937135704205234E-3</v>
      </c>
      <c r="F147" s="17" t="str">
        <f t="shared" si="8"/>
        <v>SWAP Contract</v>
      </c>
      <c r="G147" s="17" t="b">
        <f t="shared" si="6"/>
        <v>1</v>
      </c>
      <c r="H147" s="139" t="s">
        <v>32</v>
      </c>
      <c r="I147" s="141">
        <v>0.01</v>
      </c>
      <c r="J147" s="142">
        <v>45762.502650972201</v>
      </c>
      <c r="K147" s="141">
        <v>20.054500000000001</v>
      </c>
      <c r="L147" s="142">
        <v>45762.612259236099</v>
      </c>
      <c r="M147" s="141">
        <v>19.973500000000001</v>
      </c>
      <c r="N147" s="139" t="s">
        <v>33</v>
      </c>
      <c r="O147" s="139" t="s">
        <v>33</v>
      </c>
      <c r="P147" s="139"/>
      <c r="Q147" s="139"/>
      <c r="R147" s="141">
        <v>19.9742</v>
      </c>
      <c r="S147" s="139"/>
      <c r="T147" s="139">
        <v>5</v>
      </c>
      <c r="U147" s="144">
        <v>0</v>
      </c>
      <c r="V147" s="144">
        <v>0</v>
      </c>
      <c r="W147" s="144">
        <v>0</v>
      </c>
      <c r="X147" s="145">
        <v>-4.0599999999999996</v>
      </c>
      <c r="Y147" s="146" t="s">
        <v>39</v>
      </c>
      <c r="Z147" s="138"/>
      <c r="AA147" s="138"/>
    </row>
    <row r="148" spans="2:27" ht="21" x14ac:dyDescent="0.25">
      <c r="B148" s="130">
        <v>1666451221</v>
      </c>
      <c r="C148" s="131" t="s">
        <v>533</v>
      </c>
      <c r="D148" s="17" t="str">
        <f>IFERROR(INDEX([1]Positions!$A:$A,MATCH(C148,[1]Positions!$C:$C,0)),"Other")</f>
        <v>Energy &amp; Utilities</v>
      </c>
      <c r="E148" s="17">
        <f t="shared" si="7"/>
        <v>1.8416413475244524</v>
      </c>
      <c r="F148" s="17" t="str">
        <f t="shared" si="8"/>
        <v>Stock Holding</v>
      </c>
      <c r="G148" s="17" t="b">
        <f t="shared" si="6"/>
        <v>1</v>
      </c>
      <c r="H148" s="130" t="s">
        <v>32</v>
      </c>
      <c r="I148" s="132">
        <v>5.28E-2</v>
      </c>
      <c r="J148" s="133">
        <v>45708.680226180601</v>
      </c>
      <c r="K148" s="132">
        <v>43</v>
      </c>
      <c r="L148" s="133">
        <v>45764.850287280096</v>
      </c>
      <c r="M148" s="132">
        <v>47.89</v>
      </c>
      <c r="N148" s="130" t="s">
        <v>33</v>
      </c>
      <c r="O148" s="130" t="s">
        <v>33</v>
      </c>
      <c r="P148" s="134">
        <v>2.27</v>
      </c>
      <c r="Q148" s="134">
        <v>2.5299999999999998</v>
      </c>
      <c r="R148" s="130"/>
      <c r="S148" s="130"/>
      <c r="T148" s="130"/>
      <c r="U148" s="135">
        <v>0</v>
      </c>
      <c r="V148" s="135">
        <v>0</v>
      </c>
      <c r="W148" s="135">
        <v>0</v>
      </c>
      <c r="X148" s="136">
        <v>0.25</v>
      </c>
      <c r="Y148" s="137"/>
      <c r="Z148" s="138"/>
      <c r="AA148" s="138"/>
    </row>
    <row r="149" spans="2:27" ht="21" x14ac:dyDescent="0.25">
      <c r="B149" s="139">
        <v>1450043624</v>
      </c>
      <c r="C149" s="140" t="s">
        <v>531</v>
      </c>
      <c r="D149" s="17" t="str">
        <f>IFERROR(INDEX([1]Positions!$A:$A,MATCH(C149,[1]Positions!$C:$C,0)),"Other")</f>
        <v>Consumer Defensive</v>
      </c>
      <c r="E149" s="17">
        <f t="shared" si="7"/>
        <v>7.2196768947343104</v>
      </c>
      <c r="F149" s="17" t="str">
        <f t="shared" si="8"/>
        <v>Stock Holding</v>
      </c>
      <c r="G149" s="17" t="b">
        <f t="shared" si="6"/>
        <v>1</v>
      </c>
      <c r="H149" s="139" t="s">
        <v>32</v>
      </c>
      <c r="I149" s="141">
        <v>0.1</v>
      </c>
      <c r="J149" s="142">
        <v>45544.6516350694</v>
      </c>
      <c r="K149" s="141">
        <v>147.47999999999999</v>
      </c>
      <c r="L149" s="142">
        <v>45764.851780358797</v>
      </c>
      <c r="M149" s="141">
        <v>143.22</v>
      </c>
      <c r="N149" s="139" t="s">
        <v>33</v>
      </c>
      <c r="O149" s="139" t="s">
        <v>33</v>
      </c>
      <c r="P149" s="143">
        <v>14.75</v>
      </c>
      <c r="Q149" s="143">
        <v>14.32</v>
      </c>
      <c r="R149" s="139"/>
      <c r="S149" s="139"/>
      <c r="T149" s="139"/>
      <c r="U149" s="144">
        <v>0</v>
      </c>
      <c r="V149" s="144">
        <v>0</v>
      </c>
      <c r="W149" s="144">
        <v>0</v>
      </c>
      <c r="X149" s="145">
        <v>-0.42</v>
      </c>
      <c r="Y149" s="146"/>
      <c r="Z149" s="138"/>
      <c r="AA149" s="138"/>
    </row>
    <row r="150" spans="2:27" ht="21" x14ac:dyDescent="0.25">
      <c r="B150" s="130">
        <v>1777308201</v>
      </c>
      <c r="C150" s="131" t="s">
        <v>41</v>
      </c>
      <c r="D150" s="17" t="str">
        <f>IFERROR(INDEX([1]Positions!$A:$A,MATCH(C150,[1]Positions!$C:$C,0)),"Other")</f>
        <v>Other</v>
      </c>
      <c r="E150" s="17">
        <f t="shared" si="7"/>
        <v>3.6890861949478808E-4</v>
      </c>
      <c r="F150" s="17" t="str">
        <f t="shared" si="8"/>
        <v>SWAP Contract</v>
      </c>
      <c r="G150" s="17" t="b">
        <f t="shared" si="6"/>
        <v>1</v>
      </c>
      <c r="H150" s="130" t="s">
        <v>32</v>
      </c>
      <c r="I150" s="132">
        <v>0.01</v>
      </c>
      <c r="J150" s="133">
        <v>45768.121814884304</v>
      </c>
      <c r="K150" s="132">
        <v>19.705300000000001</v>
      </c>
      <c r="L150" s="133">
        <v>45768.133066597198</v>
      </c>
      <c r="M150" s="132">
        <v>19.715399999999999</v>
      </c>
      <c r="N150" s="130" t="s">
        <v>33</v>
      </c>
      <c r="O150" s="130" t="s">
        <v>33</v>
      </c>
      <c r="P150" s="130"/>
      <c r="Q150" s="130"/>
      <c r="R150" s="130"/>
      <c r="S150" s="130"/>
      <c r="T150" s="130">
        <v>5</v>
      </c>
      <c r="U150" s="135">
        <v>0</v>
      </c>
      <c r="V150" s="135">
        <v>0</v>
      </c>
      <c r="W150" s="135">
        <v>0</v>
      </c>
      <c r="X150" s="136">
        <v>0.51</v>
      </c>
      <c r="Y150" s="137"/>
      <c r="Z150" s="138"/>
      <c r="AA150" s="138"/>
    </row>
    <row r="151" spans="2:27" ht="21" x14ac:dyDescent="0.25">
      <c r="B151" s="139">
        <v>1781449563</v>
      </c>
      <c r="C151" s="140" t="s">
        <v>41</v>
      </c>
      <c r="D151" s="17" t="str">
        <f>IFERROR(INDEX([1]Positions!$A:$A,MATCH(C151,[1]Positions!$C:$C,0)),"Other")</f>
        <v>Other</v>
      </c>
      <c r="E151" s="17">
        <f t="shared" si="7"/>
        <v>7.4427481955413512E-4</v>
      </c>
      <c r="F151" s="17" t="str">
        <f t="shared" si="8"/>
        <v>SWAP Contract</v>
      </c>
      <c r="G151" s="17" t="b">
        <f t="shared" si="6"/>
        <v>1</v>
      </c>
      <c r="H151" s="139" t="s">
        <v>32</v>
      </c>
      <c r="I151" s="141">
        <v>0.01</v>
      </c>
      <c r="J151" s="142">
        <v>45769.738141643502</v>
      </c>
      <c r="K151" s="141">
        <v>19.579999999999998</v>
      </c>
      <c r="L151" s="142">
        <v>45769.760842025498</v>
      </c>
      <c r="M151" s="141">
        <v>19.525500000000001</v>
      </c>
      <c r="N151" s="139" t="s">
        <v>33</v>
      </c>
      <c r="O151" s="139" t="s">
        <v>33</v>
      </c>
      <c r="P151" s="139"/>
      <c r="Q151" s="139"/>
      <c r="R151" s="139"/>
      <c r="S151" s="139"/>
      <c r="T151" s="139">
        <v>5</v>
      </c>
      <c r="U151" s="144">
        <v>0</v>
      </c>
      <c r="V151" s="144">
        <v>0</v>
      </c>
      <c r="W151" s="144">
        <v>0</v>
      </c>
      <c r="X151" s="145">
        <v>-2.79</v>
      </c>
      <c r="Y151" s="146"/>
      <c r="Z151" s="138"/>
      <c r="AA151" s="138"/>
    </row>
    <row r="152" spans="2:27" ht="21" x14ac:dyDescent="0.25">
      <c r="B152" s="130">
        <v>1560258921</v>
      </c>
      <c r="C152" s="131" t="s">
        <v>55</v>
      </c>
      <c r="D152" s="17" t="str">
        <f>IFERROR(INDEX([1]Positions!$A:$A,MATCH(C152,[1]Positions!$C:$C,0)),"Other")</f>
        <v>ETF</v>
      </c>
      <c r="E152" s="17">
        <f t="shared" si="7"/>
        <v>5.0261934578032745</v>
      </c>
      <c r="F152" s="17" t="str">
        <f t="shared" si="8"/>
        <v>Stock Holding</v>
      </c>
      <c r="G152" s="17" t="b">
        <f t="shared" si="6"/>
        <v>1</v>
      </c>
      <c r="H152" s="130" t="s">
        <v>32</v>
      </c>
      <c r="I152" s="132">
        <v>1</v>
      </c>
      <c r="J152" s="133">
        <v>45629.377986111103</v>
      </c>
      <c r="K152" s="132">
        <v>48.68</v>
      </c>
      <c r="L152" s="133">
        <v>45782.676886574103</v>
      </c>
      <c r="M152" s="132">
        <v>44.15</v>
      </c>
      <c r="N152" s="130" t="s">
        <v>33</v>
      </c>
      <c r="O152" s="130" t="s">
        <v>33</v>
      </c>
      <c r="P152" s="134">
        <v>51.41</v>
      </c>
      <c r="Q152" s="134">
        <v>49.84</v>
      </c>
      <c r="R152" s="130"/>
      <c r="S152" s="130"/>
      <c r="T152" s="130"/>
      <c r="U152" s="135">
        <v>0</v>
      </c>
      <c r="V152" s="135">
        <v>0</v>
      </c>
      <c r="W152" s="135">
        <v>0</v>
      </c>
      <c r="X152" s="147">
        <v>-1.57</v>
      </c>
      <c r="Y152" s="137"/>
      <c r="Z152" s="138"/>
      <c r="AA152" s="138"/>
    </row>
    <row r="153" spans="2:27" ht="21" x14ac:dyDescent="0.25">
      <c r="B153" s="139">
        <v>1748583646</v>
      </c>
      <c r="C153" s="140" t="s">
        <v>55</v>
      </c>
      <c r="D153" s="17" t="str">
        <f>IFERROR(INDEX([1]Positions!$A:$A,MATCH(C153,[1]Positions!$C:$C,0)),"Other")</f>
        <v>ETF</v>
      </c>
      <c r="E153" s="17">
        <f t="shared" si="7"/>
        <v>0.9212295081968358</v>
      </c>
      <c r="F153" s="17" t="str">
        <f t="shared" si="8"/>
        <v>Stock Holding</v>
      </c>
      <c r="G153" s="17" t="b">
        <f t="shared" si="6"/>
        <v>1</v>
      </c>
      <c r="H153" s="139" t="s">
        <v>32</v>
      </c>
      <c r="I153" s="141">
        <v>1</v>
      </c>
      <c r="J153" s="142">
        <v>45754.5793865741</v>
      </c>
      <c r="K153" s="141">
        <v>37.258000000000003</v>
      </c>
      <c r="L153" s="142">
        <v>45782.676886574103</v>
      </c>
      <c r="M153" s="141">
        <v>44.15</v>
      </c>
      <c r="N153" s="139" t="s">
        <v>33</v>
      </c>
      <c r="O153" s="139" t="s">
        <v>33</v>
      </c>
      <c r="P153" s="143">
        <v>41.06</v>
      </c>
      <c r="Q153" s="143">
        <v>49.84</v>
      </c>
      <c r="R153" s="139"/>
      <c r="S153" s="139"/>
      <c r="T153" s="139"/>
      <c r="U153" s="144">
        <v>0</v>
      </c>
      <c r="V153" s="144">
        <v>0</v>
      </c>
      <c r="W153" s="144">
        <v>0</v>
      </c>
      <c r="X153" s="148">
        <v>8.7799999999999994</v>
      </c>
      <c r="Y153" s="146"/>
      <c r="Z153" s="138"/>
      <c r="AA153" s="138"/>
    </row>
    <row r="154" spans="2:27" ht="21" x14ac:dyDescent="0.25">
      <c r="B154" s="130">
        <v>1373808226</v>
      </c>
      <c r="C154" s="131" t="s">
        <v>521</v>
      </c>
      <c r="D154" s="17" t="str">
        <f>IFERROR(INDEX([1]Positions!$A:$A,MATCH(C154,[1]Positions!$C:$C,0)),"Other")</f>
        <v>Technology</v>
      </c>
      <c r="E154" s="17">
        <f t="shared" si="7"/>
        <v>10.10222483872122</v>
      </c>
      <c r="F154" s="17" t="str">
        <f t="shared" si="8"/>
        <v>Stock Holding</v>
      </c>
      <c r="G154" s="17" t="b">
        <f t="shared" si="6"/>
        <v>1</v>
      </c>
      <c r="H154" s="130" t="s">
        <v>32</v>
      </c>
      <c r="I154" s="132">
        <v>2.3400000000000001E-2</v>
      </c>
      <c r="J154" s="133">
        <v>45476.658791608803</v>
      </c>
      <c r="K154" s="132">
        <v>459.24</v>
      </c>
      <c r="L154" s="133">
        <v>45784.7766491898</v>
      </c>
      <c r="M154" s="132">
        <v>434.71</v>
      </c>
      <c r="N154" s="130" t="s">
        <v>33</v>
      </c>
      <c r="O154" s="130" t="s">
        <v>33</v>
      </c>
      <c r="P154" s="134">
        <v>10.75</v>
      </c>
      <c r="Q154" s="134">
        <v>10.17</v>
      </c>
      <c r="R154" s="130"/>
      <c r="S154" s="130"/>
      <c r="T154" s="130"/>
      <c r="U154" s="135">
        <v>0</v>
      </c>
      <c r="V154" s="135">
        <v>0</v>
      </c>
      <c r="W154" s="135">
        <v>0</v>
      </c>
      <c r="X154" s="147">
        <v>-0.57999999999999996</v>
      </c>
      <c r="Y154" s="137"/>
      <c r="Z154" s="138"/>
      <c r="AA154" s="138"/>
    </row>
    <row r="155" spans="2:27" ht="21" x14ac:dyDescent="0.25">
      <c r="B155" s="139">
        <v>1426782063</v>
      </c>
      <c r="C155" s="140" t="s">
        <v>521</v>
      </c>
      <c r="D155" s="17" t="str">
        <f>IFERROR(INDEX([1]Positions!$A:$A,MATCH(C155,[1]Positions!$C:$C,0)),"Other")</f>
        <v>Technology</v>
      </c>
      <c r="E155" s="17">
        <f t="shared" si="7"/>
        <v>8.560993852078786</v>
      </c>
      <c r="F155" s="17" t="str">
        <f t="shared" si="8"/>
        <v>Stock Holding</v>
      </c>
      <c r="G155" s="17" t="b">
        <f t="shared" si="6"/>
        <v>1</v>
      </c>
      <c r="H155" s="139" t="s">
        <v>32</v>
      </c>
      <c r="I155" s="141">
        <v>3.7199999999999997E-2</v>
      </c>
      <c r="J155" s="142">
        <v>45523.666336701397</v>
      </c>
      <c r="K155" s="141">
        <v>419.46</v>
      </c>
      <c r="L155" s="142">
        <v>45784.7766491898</v>
      </c>
      <c r="M155" s="141">
        <v>434.71</v>
      </c>
      <c r="N155" s="139" t="s">
        <v>33</v>
      </c>
      <c r="O155" s="139" t="s">
        <v>33</v>
      </c>
      <c r="P155" s="143">
        <v>15.6</v>
      </c>
      <c r="Q155" s="143">
        <v>16.170000000000002</v>
      </c>
      <c r="R155" s="139"/>
      <c r="S155" s="139"/>
      <c r="T155" s="139"/>
      <c r="U155" s="144">
        <v>0</v>
      </c>
      <c r="V155" s="144">
        <v>0</v>
      </c>
      <c r="W155" s="144">
        <v>0</v>
      </c>
      <c r="X155" s="148">
        <v>0.56000000000000005</v>
      </c>
      <c r="Y155" s="146"/>
      <c r="Z155" s="138"/>
      <c r="AA155" s="138"/>
    </row>
    <row r="156" spans="2:27" ht="21" x14ac:dyDescent="0.25">
      <c r="B156" s="130">
        <v>1426782063</v>
      </c>
      <c r="C156" s="131" t="s">
        <v>521</v>
      </c>
      <c r="D156" s="17" t="str">
        <f>IFERROR(INDEX([1]Positions!$A:$A,MATCH(C156,[1]Positions!$C:$C,0)),"Other")</f>
        <v>Technology</v>
      </c>
      <c r="E156" s="17">
        <f t="shared" si="7"/>
        <v>8.5899187367181415</v>
      </c>
      <c r="F156" s="17" t="str">
        <f t="shared" si="8"/>
        <v>Stock Holding</v>
      </c>
      <c r="G156" s="17" t="b">
        <f t="shared" si="6"/>
        <v>1</v>
      </c>
      <c r="H156" s="130" t="s">
        <v>32</v>
      </c>
      <c r="I156" s="132">
        <v>0.01</v>
      </c>
      <c r="J156" s="133">
        <v>45523.666336701397</v>
      </c>
      <c r="K156" s="132">
        <v>419.46</v>
      </c>
      <c r="L156" s="133">
        <v>45785.6588581713</v>
      </c>
      <c r="M156" s="132">
        <v>437.05</v>
      </c>
      <c r="N156" s="130" t="s">
        <v>33</v>
      </c>
      <c r="O156" s="130" t="s">
        <v>33</v>
      </c>
      <c r="P156" s="134">
        <v>4.1900000000000004</v>
      </c>
      <c r="Q156" s="134">
        <v>4.37</v>
      </c>
      <c r="R156" s="130"/>
      <c r="S156" s="130"/>
      <c r="T156" s="130"/>
      <c r="U156" s="135">
        <v>0</v>
      </c>
      <c r="V156" s="135">
        <v>0</v>
      </c>
      <c r="W156" s="135">
        <v>0</v>
      </c>
      <c r="X156" s="136">
        <v>0.18</v>
      </c>
      <c r="Y156" s="137"/>
      <c r="Z156" s="138"/>
      <c r="AA156" s="138"/>
    </row>
    <row r="157" spans="2:27" ht="21" x14ac:dyDescent="0.25">
      <c r="B157" s="139">
        <v>1744929368</v>
      </c>
      <c r="C157" s="140" t="s">
        <v>523</v>
      </c>
      <c r="D157" s="17" t="str">
        <f>IFERROR(INDEX([1]Positions!$A:$A,MATCH(C157,[1]Positions!$C:$C,0)),"Other")</f>
        <v>Financial Services</v>
      </c>
      <c r="E157" s="17">
        <f t="shared" si="7"/>
        <v>1.1119371227999733</v>
      </c>
      <c r="F157" s="17" t="str">
        <f t="shared" si="8"/>
        <v>Stock Holding</v>
      </c>
      <c r="G157" s="17" t="b">
        <f t="shared" si="6"/>
        <v>1</v>
      </c>
      <c r="H157" s="139" t="s">
        <v>32</v>
      </c>
      <c r="I157" s="141">
        <v>4.24E-2</v>
      </c>
      <c r="J157" s="142">
        <v>45751.745008530102</v>
      </c>
      <c r="K157" s="141">
        <v>324.48</v>
      </c>
      <c r="L157" s="142">
        <v>45785.659090775502</v>
      </c>
      <c r="M157" s="141">
        <v>353.02</v>
      </c>
      <c r="N157" s="139" t="s">
        <v>40</v>
      </c>
      <c r="O157" s="139" t="s">
        <v>33</v>
      </c>
      <c r="P157" s="143">
        <v>13.76</v>
      </c>
      <c r="Q157" s="143">
        <v>14.97</v>
      </c>
      <c r="R157" s="139"/>
      <c r="S157" s="139"/>
      <c r="T157" s="139"/>
      <c r="U157" s="144">
        <v>0</v>
      </c>
      <c r="V157" s="144">
        <v>0</v>
      </c>
      <c r="W157" s="144">
        <v>0</v>
      </c>
      <c r="X157" s="148">
        <v>1.21</v>
      </c>
      <c r="Y157" s="146" t="s">
        <v>0</v>
      </c>
      <c r="Z157" s="138"/>
      <c r="AA157" s="138"/>
    </row>
    <row r="158" spans="2:27" ht="21" x14ac:dyDescent="0.25">
      <c r="B158" s="130">
        <v>1414372592</v>
      </c>
      <c r="C158" s="131" t="s">
        <v>530</v>
      </c>
      <c r="D158" s="17" t="str">
        <f>IFERROR(INDEX([1]Positions!$A:$A,MATCH(C158,[1]Positions!$C:$C,0)),"Other")</f>
        <v>Financial Services</v>
      </c>
      <c r="E158" s="17">
        <f t="shared" si="7"/>
        <v>8.9815608917737428</v>
      </c>
      <c r="F158" s="17" t="str">
        <f t="shared" si="8"/>
        <v>Stock Holding</v>
      </c>
      <c r="G158" s="17" t="b">
        <f t="shared" si="6"/>
        <v>1</v>
      </c>
      <c r="H158" s="130" t="s">
        <v>32</v>
      </c>
      <c r="I158" s="132">
        <v>2.29E-2</v>
      </c>
      <c r="J158" s="133">
        <v>45511.722872141203</v>
      </c>
      <c r="K158" s="132">
        <v>455.4</v>
      </c>
      <c r="L158" s="133">
        <v>45785.660479340302</v>
      </c>
      <c r="M158" s="132">
        <v>568.92999999999995</v>
      </c>
      <c r="N158" s="130" t="s">
        <v>33</v>
      </c>
      <c r="O158" s="130" t="s">
        <v>33</v>
      </c>
      <c r="P158" s="134">
        <v>10.43</v>
      </c>
      <c r="Q158" s="134">
        <v>13.03</v>
      </c>
      <c r="R158" s="130"/>
      <c r="S158" s="130"/>
      <c r="T158" s="130"/>
      <c r="U158" s="135">
        <v>0</v>
      </c>
      <c r="V158" s="135">
        <v>0</v>
      </c>
      <c r="W158" s="135">
        <v>0</v>
      </c>
      <c r="X158" s="136">
        <v>2.6</v>
      </c>
      <c r="Y158" s="137"/>
      <c r="Z158" s="138"/>
      <c r="AA158" s="138"/>
    </row>
    <row r="159" spans="2:27" ht="21" x14ac:dyDescent="0.25">
      <c r="B159" s="139">
        <v>1582737192</v>
      </c>
      <c r="C159" s="140" t="s">
        <v>530</v>
      </c>
      <c r="D159" s="17" t="str">
        <f>IFERROR(INDEX([1]Positions!$A:$A,MATCH(C159,[1]Positions!$C:$C,0)),"Other")</f>
        <v>Financial Services</v>
      </c>
      <c r="E159" s="17">
        <f t="shared" si="7"/>
        <v>4.5822636130099861</v>
      </c>
      <c r="F159" s="17" t="str">
        <f t="shared" si="8"/>
        <v>Stock Holding</v>
      </c>
      <c r="G159" s="17" t="b">
        <f t="shared" si="6"/>
        <v>1</v>
      </c>
      <c r="H159" s="139" t="s">
        <v>32</v>
      </c>
      <c r="I159" s="141">
        <v>3.7100000000000001E-2</v>
      </c>
      <c r="J159" s="142">
        <v>45645.901439143498</v>
      </c>
      <c r="K159" s="141">
        <v>524.42999999999995</v>
      </c>
      <c r="L159" s="142">
        <v>45785.660479340302</v>
      </c>
      <c r="M159" s="141">
        <v>568.92999999999995</v>
      </c>
      <c r="N159" s="139" t="s">
        <v>53</v>
      </c>
      <c r="O159" s="139" t="s">
        <v>33</v>
      </c>
      <c r="P159" s="143">
        <v>19.46</v>
      </c>
      <c r="Q159" s="143">
        <v>21.11</v>
      </c>
      <c r="R159" s="139"/>
      <c r="S159" s="139"/>
      <c r="T159" s="139"/>
      <c r="U159" s="144">
        <v>0</v>
      </c>
      <c r="V159" s="144">
        <v>0</v>
      </c>
      <c r="W159" s="144">
        <v>0</v>
      </c>
      <c r="X159" s="148">
        <v>1.65</v>
      </c>
      <c r="Y159" s="146"/>
      <c r="Z159" s="138"/>
      <c r="AA159" s="138"/>
    </row>
    <row r="160" spans="2:27" ht="21" x14ac:dyDescent="0.25">
      <c r="B160" s="130">
        <v>1599454287</v>
      </c>
      <c r="C160" s="131" t="s">
        <v>537</v>
      </c>
      <c r="D160" s="17" t="str">
        <f>IFERROR(INDEX([1]Positions!$A:$A,MATCH(C160,[1]Positions!$C:$C,0)),"Other")</f>
        <v>Energy &amp; Utilities</v>
      </c>
      <c r="E160" s="17">
        <f t="shared" si="7"/>
        <v>4.1938561130065537</v>
      </c>
      <c r="F160" s="17" t="str">
        <f t="shared" si="8"/>
        <v>Stock Holding</v>
      </c>
      <c r="G160" s="17" t="b">
        <f t="shared" si="6"/>
        <v>1</v>
      </c>
      <c r="H160" s="130" t="s">
        <v>32</v>
      </c>
      <c r="I160" s="132">
        <v>7.6300000000000007E-2</v>
      </c>
      <c r="J160" s="133">
        <v>45663.7371526852</v>
      </c>
      <c r="K160" s="132">
        <v>196.49</v>
      </c>
      <c r="L160" s="133">
        <v>45791.6497641319</v>
      </c>
      <c r="M160" s="132">
        <v>196.89</v>
      </c>
      <c r="N160" s="130" t="s">
        <v>33</v>
      </c>
      <c r="O160" s="130" t="s">
        <v>33</v>
      </c>
      <c r="P160" s="134">
        <v>14.99</v>
      </c>
      <c r="Q160" s="134">
        <v>15.02</v>
      </c>
      <c r="R160" s="130"/>
      <c r="S160" s="130"/>
      <c r="T160" s="130"/>
      <c r="U160" s="135">
        <v>0</v>
      </c>
      <c r="V160" s="135">
        <v>0</v>
      </c>
      <c r="W160" s="135">
        <v>0</v>
      </c>
      <c r="X160" s="136">
        <v>0.03</v>
      </c>
      <c r="Y160" s="137"/>
      <c r="Z160" s="138"/>
      <c r="AA160" s="138"/>
    </row>
    <row r="161" spans="2:27" ht="21" x14ac:dyDescent="0.25">
      <c r="B161" s="139">
        <v>1621495599</v>
      </c>
      <c r="C161" s="140" t="s">
        <v>537</v>
      </c>
      <c r="D161" s="17" t="str">
        <f>IFERROR(INDEX([1]Positions!$A:$A,MATCH(C161,[1]Positions!$C:$C,0)),"Other")</f>
        <v>Energy &amp; Utilities</v>
      </c>
      <c r="E161" s="17">
        <f t="shared" si="7"/>
        <v>3.6989411141443806</v>
      </c>
      <c r="F161" s="17" t="str">
        <f t="shared" si="8"/>
        <v>Stock Holding</v>
      </c>
      <c r="G161" s="17" t="b">
        <f t="shared" si="6"/>
        <v>1</v>
      </c>
      <c r="H161" s="139" t="s">
        <v>32</v>
      </c>
      <c r="I161" s="141">
        <v>8.1699999999999995E-2</v>
      </c>
      <c r="J161" s="142">
        <v>45678.832060150497</v>
      </c>
      <c r="K161" s="141">
        <v>183.39</v>
      </c>
      <c r="L161" s="142">
        <v>45791.6497641319</v>
      </c>
      <c r="M161" s="141">
        <v>196.89</v>
      </c>
      <c r="N161" s="139" t="s">
        <v>33</v>
      </c>
      <c r="O161" s="139" t="s">
        <v>33</v>
      </c>
      <c r="P161" s="143">
        <v>14.98</v>
      </c>
      <c r="Q161" s="143">
        <v>16.09</v>
      </c>
      <c r="R161" s="139"/>
      <c r="S161" s="139"/>
      <c r="T161" s="139"/>
      <c r="U161" s="144">
        <v>0</v>
      </c>
      <c r="V161" s="144">
        <v>0</v>
      </c>
      <c r="W161" s="144">
        <v>0</v>
      </c>
      <c r="X161" s="148">
        <v>1.1100000000000001</v>
      </c>
      <c r="Y161" s="146"/>
      <c r="Z161" s="138"/>
      <c r="AA161" s="138"/>
    </row>
    <row r="162" spans="2:27" ht="21" x14ac:dyDescent="0.25">
      <c r="B162" s="130">
        <v>1631467534</v>
      </c>
      <c r="C162" s="131" t="s">
        <v>537</v>
      </c>
      <c r="D162" s="17" t="str">
        <f>IFERROR(INDEX([1]Positions!$A:$A,MATCH(C162,[1]Positions!$C:$C,0)),"Other")</f>
        <v>Energy &amp; Utilities</v>
      </c>
      <c r="E162" s="17">
        <f t="shared" si="7"/>
        <v>3.4694232972819248</v>
      </c>
      <c r="F162" s="17" t="str">
        <f t="shared" si="8"/>
        <v>Stock Holding</v>
      </c>
      <c r="G162" s="17" t="b">
        <f t="shared" si="6"/>
        <v>1</v>
      </c>
      <c r="H162" s="130" t="s">
        <v>32</v>
      </c>
      <c r="I162" s="132">
        <v>9.3700000000000006E-2</v>
      </c>
      <c r="J162" s="133">
        <v>45685.832353564801</v>
      </c>
      <c r="K162" s="132">
        <v>159.74</v>
      </c>
      <c r="L162" s="133">
        <v>45791.6497641319</v>
      </c>
      <c r="M162" s="132">
        <v>196.89</v>
      </c>
      <c r="N162" s="130" t="s">
        <v>33</v>
      </c>
      <c r="O162" s="130" t="s">
        <v>33</v>
      </c>
      <c r="P162" s="134">
        <v>14.97</v>
      </c>
      <c r="Q162" s="134">
        <v>18.45</v>
      </c>
      <c r="R162" s="130"/>
      <c r="S162" s="130"/>
      <c r="T162" s="130"/>
      <c r="U162" s="135">
        <v>0</v>
      </c>
      <c r="V162" s="135">
        <v>0</v>
      </c>
      <c r="W162" s="135">
        <v>0</v>
      </c>
      <c r="X162" s="136">
        <v>3.48</v>
      </c>
      <c r="Y162" s="137"/>
      <c r="Z162" s="138"/>
      <c r="AA162" s="138"/>
    </row>
    <row r="163" spans="2:27" ht="21" x14ac:dyDescent="0.25">
      <c r="B163" s="139">
        <v>1666449688</v>
      </c>
      <c r="C163" s="140" t="s">
        <v>537</v>
      </c>
      <c r="D163" s="17" t="str">
        <f>IFERROR(INDEX([1]Positions!$A:$A,MATCH(C163,[1]Positions!$C:$C,0)),"Other")</f>
        <v>Energy &amp; Utilities</v>
      </c>
      <c r="E163" s="17">
        <f t="shared" si="7"/>
        <v>2.7203211710656148</v>
      </c>
      <c r="F163" s="17" t="str">
        <f t="shared" si="8"/>
        <v>Stock Holding</v>
      </c>
      <c r="G163" s="17" t="b">
        <f t="shared" si="6"/>
        <v>1</v>
      </c>
      <c r="H163" s="139" t="s">
        <v>32</v>
      </c>
      <c r="I163" s="141">
        <v>9.3200000000000005E-2</v>
      </c>
      <c r="J163" s="142">
        <v>45708.679968414399</v>
      </c>
      <c r="K163" s="141">
        <v>160.68</v>
      </c>
      <c r="L163" s="142">
        <v>45791.6497641319</v>
      </c>
      <c r="M163" s="141">
        <v>196.89</v>
      </c>
      <c r="N163" s="139" t="s">
        <v>33</v>
      </c>
      <c r="O163" s="139" t="s">
        <v>33</v>
      </c>
      <c r="P163" s="143">
        <v>14.98</v>
      </c>
      <c r="Q163" s="143">
        <v>18.350000000000001</v>
      </c>
      <c r="R163" s="139"/>
      <c r="S163" s="139"/>
      <c r="T163" s="139"/>
      <c r="U163" s="144">
        <v>0</v>
      </c>
      <c r="V163" s="144">
        <v>0</v>
      </c>
      <c r="W163" s="144">
        <v>0</v>
      </c>
      <c r="X163" s="148">
        <v>3.37</v>
      </c>
      <c r="Y163" s="146"/>
      <c r="Z163" s="138"/>
      <c r="AA163" s="138"/>
    </row>
    <row r="164" spans="2:27" ht="21" x14ac:dyDescent="0.25">
      <c r="B164" s="130">
        <v>1701098878</v>
      </c>
      <c r="C164" s="131" t="s">
        <v>537</v>
      </c>
      <c r="D164" s="17" t="str">
        <f>IFERROR(INDEX([1]Positions!$A:$A,MATCH(C164,[1]Positions!$C:$C,0)),"Other")</f>
        <v>Energy &amp; Utilities</v>
      </c>
      <c r="E164" s="17">
        <f t="shared" si="7"/>
        <v>2.0910848633869987</v>
      </c>
      <c r="F164" s="17" t="str">
        <f t="shared" si="8"/>
        <v>Stock Holding</v>
      </c>
      <c r="G164" s="17" t="b">
        <f t="shared" si="6"/>
        <v>1</v>
      </c>
      <c r="H164" s="130" t="s">
        <v>32</v>
      </c>
      <c r="I164" s="132">
        <v>5.1000000000000004E-3</v>
      </c>
      <c r="J164" s="133">
        <v>45727.871675798597</v>
      </c>
      <c r="K164" s="132">
        <v>139.41</v>
      </c>
      <c r="L164" s="133">
        <v>45791.6497641319</v>
      </c>
      <c r="M164" s="132">
        <v>196.89</v>
      </c>
      <c r="N164" s="130" t="s">
        <v>33</v>
      </c>
      <c r="O164" s="130" t="s">
        <v>33</v>
      </c>
      <c r="P164" s="134">
        <v>0.71</v>
      </c>
      <c r="Q164" s="134">
        <v>1</v>
      </c>
      <c r="R164" s="130"/>
      <c r="S164" s="130"/>
      <c r="T164" s="130"/>
      <c r="U164" s="135">
        <v>0</v>
      </c>
      <c r="V164" s="135">
        <v>0</v>
      </c>
      <c r="W164" s="135">
        <v>0</v>
      </c>
      <c r="X164" s="136">
        <v>0.28999999999999998</v>
      </c>
      <c r="Y164" s="137"/>
      <c r="Z164" s="138"/>
      <c r="AA164" s="138"/>
    </row>
    <row r="165" spans="2:27" ht="21" x14ac:dyDescent="0.25">
      <c r="B165" s="139">
        <v>1701098878</v>
      </c>
      <c r="C165" s="140" t="s">
        <v>537</v>
      </c>
      <c r="D165" s="17" t="str">
        <f>IFERROR(INDEX([1]Positions!$A:$A,MATCH(C165,[1]Positions!$C:$C,0)),"Other")</f>
        <v>Energy &amp; Utilities</v>
      </c>
      <c r="E165" s="17">
        <f t="shared" si="7"/>
        <v>2.1237663683967214</v>
      </c>
      <c r="F165" s="17" t="str">
        <f t="shared" si="8"/>
        <v>Stock Holding</v>
      </c>
      <c r="G165" s="17" t="b">
        <f t="shared" si="6"/>
        <v>1</v>
      </c>
      <c r="H165" s="139" t="s">
        <v>32</v>
      </c>
      <c r="I165" s="141">
        <v>0.1</v>
      </c>
      <c r="J165" s="142">
        <v>45727.871675798597</v>
      </c>
      <c r="K165" s="141">
        <v>139.41</v>
      </c>
      <c r="L165" s="142">
        <v>45792.646550034697</v>
      </c>
      <c r="M165" s="141">
        <v>188.02</v>
      </c>
      <c r="N165" s="139" t="s">
        <v>33</v>
      </c>
      <c r="O165" s="139" t="s">
        <v>33</v>
      </c>
      <c r="P165" s="143">
        <v>13.94</v>
      </c>
      <c r="Q165" s="143">
        <v>18.8</v>
      </c>
      <c r="R165" s="139"/>
      <c r="S165" s="139"/>
      <c r="T165" s="139"/>
      <c r="U165" s="144">
        <v>0</v>
      </c>
      <c r="V165" s="144">
        <v>0</v>
      </c>
      <c r="W165" s="144">
        <v>0</v>
      </c>
      <c r="X165" s="148">
        <v>4.8600000000000003</v>
      </c>
      <c r="Y165" s="146"/>
      <c r="Z165" s="138"/>
      <c r="AA165" s="138"/>
    </row>
    <row r="166" spans="2:27" ht="21" x14ac:dyDescent="0.25">
      <c r="B166" s="130">
        <v>1426782063</v>
      </c>
      <c r="C166" s="131" t="s">
        <v>521</v>
      </c>
      <c r="D166" s="17" t="str">
        <f>IFERROR(INDEX([1]Positions!$A:$A,MATCH(C166,[1]Positions!$C:$C,0)),"Other")</f>
        <v>Technology</v>
      </c>
      <c r="E166" s="17">
        <f t="shared" si="7"/>
        <v>8.8190649438362669</v>
      </c>
      <c r="F166" s="17" t="str">
        <f t="shared" si="8"/>
        <v>Stock Holding</v>
      </c>
      <c r="G166" s="17" t="b">
        <f t="shared" si="6"/>
        <v>1</v>
      </c>
      <c r="H166" s="130" t="s">
        <v>32</v>
      </c>
      <c r="I166" s="132">
        <v>4.0000000000000002E-4</v>
      </c>
      <c r="J166" s="133">
        <v>45523.666336701397</v>
      </c>
      <c r="K166" s="132">
        <v>419.46</v>
      </c>
      <c r="L166" s="133">
        <v>45792.647817488403</v>
      </c>
      <c r="M166" s="132">
        <v>452.34</v>
      </c>
      <c r="N166" s="130" t="s">
        <v>33</v>
      </c>
      <c r="O166" s="130" t="s">
        <v>33</v>
      </c>
      <c r="P166" s="134">
        <v>0.17</v>
      </c>
      <c r="Q166" s="134">
        <v>0.18</v>
      </c>
      <c r="R166" s="130"/>
      <c r="S166" s="130"/>
      <c r="T166" s="130"/>
      <c r="U166" s="135">
        <v>0</v>
      </c>
      <c r="V166" s="135">
        <v>0</v>
      </c>
      <c r="W166" s="135">
        <v>0</v>
      </c>
      <c r="X166" s="136">
        <v>0.01</v>
      </c>
      <c r="Y166" s="137"/>
      <c r="Z166" s="138"/>
      <c r="AA166" s="138"/>
    </row>
    <row r="167" spans="2:27" ht="21" x14ac:dyDescent="0.25">
      <c r="B167" s="139">
        <v>1481614059</v>
      </c>
      <c r="C167" s="140" t="s">
        <v>521</v>
      </c>
      <c r="D167" s="17" t="str">
        <f>IFERROR(INDEX([1]Positions!$A:$A,MATCH(C167,[1]Positions!$C:$C,0)),"Other")</f>
        <v>Technology</v>
      </c>
      <c r="E167" s="17">
        <f t="shared" si="7"/>
        <v>7.3400906227213198</v>
      </c>
      <c r="F167" s="17" t="str">
        <f t="shared" si="8"/>
        <v>Stock Holding</v>
      </c>
      <c r="G167" s="17" t="b">
        <f t="shared" si="6"/>
        <v>1</v>
      </c>
      <c r="H167" s="139" t="s">
        <v>32</v>
      </c>
      <c r="I167" s="141">
        <v>3.5900000000000001E-2</v>
      </c>
      <c r="J167" s="142">
        <v>45568.775053495403</v>
      </c>
      <c r="K167" s="141">
        <v>417.1</v>
      </c>
      <c r="L167" s="142">
        <v>45792.647817488403</v>
      </c>
      <c r="M167" s="141">
        <v>452.34</v>
      </c>
      <c r="N167" s="139" t="s">
        <v>33</v>
      </c>
      <c r="O167" s="139" t="s">
        <v>33</v>
      </c>
      <c r="P167" s="143">
        <v>14.97</v>
      </c>
      <c r="Q167" s="143">
        <v>16.239999999999998</v>
      </c>
      <c r="R167" s="139"/>
      <c r="S167" s="139"/>
      <c r="T167" s="139"/>
      <c r="U167" s="144">
        <v>0</v>
      </c>
      <c r="V167" s="144">
        <v>0</v>
      </c>
      <c r="W167" s="144">
        <v>0</v>
      </c>
      <c r="X167" s="148">
        <v>1.27</v>
      </c>
      <c r="Y167" s="146"/>
      <c r="Z167" s="138"/>
      <c r="AA167" s="138"/>
    </row>
    <row r="168" spans="2:27" ht="21" x14ac:dyDescent="0.25">
      <c r="B168" s="130">
        <v>1517514880</v>
      </c>
      <c r="C168" s="131" t="s">
        <v>521</v>
      </c>
      <c r="D168" s="17" t="str">
        <f>IFERROR(INDEX([1]Positions!$A:$A,MATCH(C168,[1]Positions!$C:$C,0)),"Other")</f>
        <v>Technology</v>
      </c>
      <c r="E168" s="17">
        <f t="shared" si="7"/>
        <v>6.3946539427737754</v>
      </c>
      <c r="F168" s="17" t="str">
        <f t="shared" si="8"/>
        <v>Stock Holding</v>
      </c>
      <c r="G168" s="17" t="b">
        <f t="shared" si="6"/>
        <v>1</v>
      </c>
      <c r="H168" s="130" t="s">
        <v>32</v>
      </c>
      <c r="I168" s="132">
        <v>3.7000000000000002E-3</v>
      </c>
      <c r="J168" s="133">
        <v>45597.610872233803</v>
      </c>
      <c r="K168" s="132">
        <v>409.38</v>
      </c>
      <c r="L168" s="133">
        <v>45792.647817488403</v>
      </c>
      <c r="M168" s="132">
        <v>452.34</v>
      </c>
      <c r="N168" s="130" t="s">
        <v>33</v>
      </c>
      <c r="O168" s="130" t="s">
        <v>33</v>
      </c>
      <c r="P168" s="134">
        <v>1.51</v>
      </c>
      <c r="Q168" s="134">
        <v>1.67</v>
      </c>
      <c r="R168" s="130"/>
      <c r="S168" s="130"/>
      <c r="T168" s="130"/>
      <c r="U168" s="135">
        <v>0</v>
      </c>
      <c r="V168" s="135">
        <v>0</v>
      </c>
      <c r="W168" s="135">
        <v>0</v>
      </c>
      <c r="X168" s="136">
        <v>0.16</v>
      </c>
      <c r="Y168" s="137"/>
      <c r="Z168" s="138"/>
      <c r="AA168" s="138"/>
    </row>
    <row r="169" spans="2:27" ht="21" x14ac:dyDescent="0.25">
      <c r="B169" s="149" t="s">
        <v>56</v>
      </c>
      <c r="C169" s="149" t="s">
        <v>0</v>
      </c>
      <c r="D169" s="17" t="str">
        <f>IFERROR(INDEX([1]Positions!$A:$A,MATCH(C169,[1]Positions!$C:$C,0)),"Other")</f>
        <v>Other</v>
      </c>
      <c r="E169" s="17" t="e">
        <f t="shared" si="7"/>
        <v>#VALUE!</v>
      </c>
      <c r="F169" s="17" t="str">
        <f t="shared" si="8"/>
        <v>SWAP Contract</v>
      </c>
      <c r="G169" s="17" t="b">
        <f t="shared" si="6"/>
        <v>0</v>
      </c>
      <c r="H169" s="149" t="s">
        <v>0</v>
      </c>
      <c r="I169" s="149" t="s">
        <v>0</v>
      </c>
      <c r="J169" s="149" t="s">
        <v>0</v>
      </c>
      <c r="K169" s="149" t="s">
        <v>0</v>
      </c>
      <c r="L169" s="149" t="s">
        <v>0</v>
      </c>
      <c r="M169" s="149" t="s">
        <v>0</v>
      </c>
      <c r="N169" s="149" t="s">
        <v>0</v>
      </c>
      <c r="O169" s="149" t="s">
        <v>0</v>
      </c>
      <c r="P169" s="149" t="s">
        <v>0</v>
      </c>
      <c r="Q169" s="149" t="s">
        <v>0</v>
      </c>
      <c r="R169" s="149" t="s">
        <v>0</v>
      </c>
      <c r="S169" s="149" t="s">
        <v>0</v>
      </c>
      <c r="T169" s="149" t="s">
        <v>0</v>
      </c>
      <c r="U169" s="150">
        <v>0</v>
      </c>
      <c r="V169" s="150">
        <v>-2.3199999999999998</v>
      </c>
      <c r="W169" s="150">
        <v>0</v>
      </c>
      <c r="X169" s="150">
        <v>31.62</v>
      </c>
      <c r="Y169" s="151" t="s">
        <v>0</v>
      </c>
      <c r="Z169" s="107"/>
      <c r="AA169" s="107"/>
    </row>
    <row r="170" spans="2:27" ht="0" hidden="1" customHeight="1" x14ac:dyDescent="0.25"/>
  </sheetData>
  <autoFilter ref="B13:X160" xr:uid="{00000000-0001-0000-0000-000000000000}"/>
  <mergeCells count="185">
    <mergeCell ref="Y166:AA166"/>
    <mergeCell ref="Y167:AA167"/>
    <mergeCell ref="Y168:AA168"/>
    <mergeCell ref="Y169:AA169"/>
    <mergeCell ref="Y156:AA156"/>
    <mergeCell ref="Y157:AA157"/>
    <mergeCell ref="Y158:AA158"/>
    <mergeCell ref="Y159:AA159"/>
    <mergeCell ref="Y160:AA160"/>
    <mergeCell ref="Y151:AA151"/>
    <mergeCell ref="Y152:AA152"/>
    <mergeCell ref="Y153:AA153"/>
    <mergeCell ref="Y154:AA154"/>
    <mergeCell ref="Y155:AA155"/>
    <mergeCell ref="Y146:AA146"/>
    <mergeCell ref="Y147:AA147"/>
    <mergeCell ref="Y148:AA148"/>
    <mergeCell ref="Y149:AA149"/>
    <mergeCell ref="Y150:AA150"/>
    <mergeCell ref="Y141:AA141"/>
    <mergeCell ref="Y142:AA142"/>
    <mergeCell ref="Y143:AA143"/>
    <mergeCell ref="Y144:AA144"/>
    <mergeCell ref="Y145:AA145"/>
    <mergeCell ref="Y136:AA136"/>
    <mergeCell ref="Y137:AA137"/>
    <mergeCell ref="Y138:AA138"/>
    <mergeCell ref="Y139:AA139"/>
    <mergeCell ref="Y140:AA140"/>
    <mergeCell ref="Y131:AA131"/>
    <mergeCell ref="Y132:AA132"/>
    <mergeCell ref="Y133:AA133"/>
    <mergeCell ref="Y134:AA134"/>
    <mergeCell ref="Y135:AA135"/>
    <mergeCell ref="Y126:AA126"/>
    <mergeCell ref="Y127:AA127"/>
    <mergeCell ref="Y128:AA128"/>
    <mergeCell ref="Y129:AA129"/>
    <mergeCell ref="Y130:AA130"/>
    <mergeCell ref="Y121:AA121"/>
    <mergeCell ref="Y122:AA122"/>
    <mergeCell ref="Y123:AA123"/>
    <mergeCell ref="Y124:AA124"/>
    <mergeCell ref="Y125:AA125"/>
    <mergeCell ref="Y116:AA116"/>
    <mergeCell ref="Y117:AA117"/>
    <mergeCell ref="Y118:AA118"/>
    <mergeCell ref="Y119:AA119"/>
    <mergeCell ref="Y120:AA120"/>
    <mergeCell ref="Y111:AA111"/>
    <mergeCell ref="Y112:AA112"/>
    <mergeCell ref="Y113:AA113"/>
    <mergeCell ref="Y114:AA114"/>
    <mergeCell ref="Y115:AA115"/>
    <mergeCell ref="Y106:AA106"/>
    <mergeCell ref="Y107:AA107"/>
    <mergeCell ref="Y108:AA108"/>
    <mergeCell ref="Y109:AA109"/>
    <mergeCell ref="Y110:AA110"/>
    <mergeCell ref="Y101:AA101"/>
    <mergeCell ref="Y102:AA102"/>
    <mergeCell ref="Y103:AA103"/>
    <mergeCell ref="Y104:AA104"/>
    <mergeCell ref="Y105:AA105"/>
    <mergeCell ref="Y96:AA96"/>
    <mergeCell ref="Y97:AA97"/>
    <mergeCell ref="Y98:AA98"/>
    <mergeCell ref="Y99:AA99"/>
    <mergeCell ref="Y100:AA100"/>
    <mergeCell ref="Y91:AA91"/>
    <mergeCell ref="Y92:AA92"/>
    <mergeCell ref="Y93:AA93"/>
    <mergeCell ref="Y94:AA94"/>
    <mergeCell ref="Y95:AA95"/>
    <mergeCell ref="Y86:AA86"/>
    <mergeCell ref="Y87:AA87"/>
    <mergeCell ref="Y88:AA88"/>
    <mergeCell ref="Y89:AA89"/>
    <mergeCell ref="Y90:AA90"/>
    <mergeCell ref="Y81:AA81"/>
    <mergeCell ref="Y82:AA82"/>
    <mergeCell ref="Y83:AA83"/>
    <mergeCell ref="Y84:AA84"/>
    <mergeCell ref="Y85:AA85"/>
    <mergeCell ref="Y76:AA76"/>
    <mergeCell ref="Y77:AA77"/>
    <mergeCell ref="Y78:AA78"/>
    <mergeCell ref="Y79:AA79"/>
    <mergeCell ref="Y80:AA80"/>
    <mergeCell ref="Y71:AA71"/>
    <mergeCell ref="Y72:AA72"/>
    <mergeCell ref="Y73:AA73"/>
    <mergeCell ref="Y74:AA74"/>
    <mergeCell ref="Y75:AA75"/>
    <mergeCell ref="Y66:AA66"/>
    <mergeCell ref="Y67:AA67"/>
    <mergeCell ref="Y68:AA68"/>
    <mergeCell ref="Y69:AA69"/>
    <mergeCell ref="Y70:AA70"/>
    <mergeCell ref="Y61:AA61"/>
    <mergeCell ref="Y62:AA62"/>
    <mergeCell ref="Y63:AA63"/>
    <mergeCell ref="Y64:AA64"/>
    <mergeCell ref="Y65:AA65"/>
    <mergeCell ref="Y56:AA56"/>
    <mergeCell ref="Y57:AA57"/>
    <mergeCell ref="Y58:AA58"/>
    <mergeCell ref="Y59:AA59"/>
    <mergeCell ref="Y60:AA60"/>
    <mergeCell ref="Y51:AA51"/>
    <mergeCell ref="Y52:AA52"/>
    <mergeCell ref="Y53:AA53"/>
    <mergeCell ref="Y54:AA54"/>
    <mergeCell ref="Y55:AA55"/>
    <mergeCell ref="Y46:AA46"/>
    <mergeCell ref="Y47:AA47"/>
    <mergeCell ref="Y48:AA48"/>
    <mergeCell ref="Y49:AA49"/>
    <mergeCell ref="Y50:AA50"/>
    <mergeCell ref="Y41:AA41"/>
    <mergeCell ref="Y42:AA42"/>
    <mergeCell ref="Y43:AA43"/>
    <mergeCell ref="Y44:AA44"/>
    <mergeCell ref="Y45:AA45"/>
    <mergeCell ref="Y36:AA36"/>
    <mergeCell ref="Y37:AA37"/>
    <mergeCell ref="Y38:AA38"/>
    <mergeCell ref="Y39:AA39"/>
    <mergeCell ref="Y40:AA40"/>
    <mergeCell ref="Y31:AA31"/>
    <mergeCell ref="Y32:AA32"/>
    <mergeCell ref="Y33:AA33"/>
    <mergeCell ref="Y34:AA34"/>
    <mergeCell ref="Y35:AA35"/>
    <mergeCell ref="Y27:AA27"/>
    <mergeCell ref="Y28:AA28"/>
    <mergeCell ref="Y29:AA29"/>
    <mergeCell ref="Y30:AA30"/>
    <mergeCell ref="Y21:AA21"/>
    <mergeCell ref="Y22:AA22"/>
    <mergeCell ref="Y23:AA23"/>
    <mergeCell ref="Y24:AA24"/>
    <mergeCell ref="Y25:AA25"/>
    <mergeCell ref="Y18:AA18"/>
    <mergeCell ref="Y19:AA19"/>
    <mergeCell ref="Y20:AA20"/>
    <mergeCell ref="B12:K12"/>
    <mergeCell ref="Y12:AA12"/>
    <mergeCell ref="Y13:AA13"/>
    <mergeCell ref="Y14:AA14"/>
    <mergeCell ref="Y15:AA15"/>
    <mergeCell ref="Y26:AA26"/>
    <mergeCell ref="B11:I11"/>
    <mergeCell ref="Y11:AA11"/>
    <mergeCell ref="J9:L9"/>
    <mergeCell ref="M9:O9"/>
    <mergeCell ref="P9:R9"/>
    <mergeCell ref="S9:U9"/>
    <mergeCell ref="V9:X9"/>
    <mergeCell ref="Y16:AA16"/>
    <mergeCell ref="Y17:AA17"/>
    <mergeCell ref="Y161:AA161"/>
    <mergeCell ref="Y162:AA162"/>
    <mergeCell ref="Y163:AA163"/>
    <mergeCell ref="Y164:AA164"/>
    <mergeCell ref="Y165:AA165"/>
    <mergeCell ref="Z1:Z2"/>
    <mergeCell ref="B2:B3"/>
    <mergeCell ref="J6:L6"/>
    <mergeCell ref="M6:O6"/>
    <mergeCell ref="P6:R6"/>
    <mergeCell ref="Y6:AA6"/>
    <mergeCell ref="J7:L7"/>
    <mergeCell ref="M7:O7"/>
    <mergeCell ref="P7:R7"/>
    <mergeCell ref="Y7:AA7"/>
    <mergeCell ref="J8:L8"/>
    <mergeCell ref="M8:O8"/>
    <mergeCell ref="P8:R8"/>
    <mergeCell ref="S8:U8"/>
    <mergeCell ref="V8:X8"/>
    <mergeCell ref="Y8:AA8"/>
    <mergeCell ref="Y9:AA9"/>
    <mergeCell ref="B10:K10"/>
    <mergeCell ref="Y10:AB10"/>
  </mergeCells>
  <pageMargins left="0.39370078740157499" right="0.39370078740157499" top="0.39370078740157499" bottom="1.36888188976378" header="0.39370078740157499" footer="0.39370078740157499"/>
  <pageSetup paperSize="0" orientation="landscape" horizontalDpi="300" verticalDpi="300"/>
  <headerFooter alignWithMargins="0">
    <oddFooter>&amp;L&amp;"Segoe UI,Regular"&amp;10&amp;P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W109"/>
  <sheetViews>
    <sheetView showGridLines="0" workbookViewId="0">
      <pane ySplit="4" topLeftCell="A5" activePane="bottomLeft" state="frozen"/>
      <selection pane="bottomLeft" activeCell="K9" sqref="K9"/>
    </sheetView>
  </sheetViews>
  <sheetFormatPr defaultRowHeight="15" x14ac:dyDescent="0.25"/>
  <cols>
    <col min="1" max="1" width="2" style="106" customWidth="1"/>
    <col min="2" max="2" width="13.85546875" style="106" customWidth="1"/>
    <col min="3" max="6" width="11" style="106" customWidth="1"/>
    <col min="7" max="7" width="8" style="106" customWidth="1"/>
    <col min="8" max="8" width="10.7109375" style="106" customWidth="1"/>
    <col min="9" max="9" width="17.28515625" style="106" customWidth="1"/>
    <col min="10" max="10" width="12" style="106" customWidth="1"/>
    <col min="11" max="11" width="17.5703125" style="106" customWidth="1"/>
    <col min="12" max="12" width="13.5703125" style="106" customWidth="1"/>
    <col min="13" max="14" width="13.42578125" style="106" customWidth="1"/>
    <col min="15" max="15" width="10.85546875" style="106" customWidth="1"/>
    <col min="16" max="16" width="22.7109375" style="106" customWidth="1"/>
    <col min="17" max="17" width="22.140625" style="106" customWidth="1"/>
    <col min="18" max="18" width="13.42578125" style="106" customWidth="1"/>
    <col min="19" max="19" width="19" style="106" customWidth="1"/>
    <col min="20" max="20" width="34" style="106" customWidth="1"/>
    <col min="21" max="21" width="0" style="106" hidden="1" customWidth="1"/>
    <col min="22" max="22" width="27.85546875" style="106" customWidth="1"/>
    <col min="23" max="23" width="10.28515625" style="106" customWidth="1"/>
    <col min="24" max="24" width="6" style="106" customWidth="1"/>
    <col min="25" max="16384" width="9.140625" style="106"/>
  </cols>
  <sheetData>
    <row r="1" spans="2:23" ht="11.45" customHeight="1" x14ac:dyDescent="0.25">
      <c r="W1" s="107"/>
    </row>
    <row r="2" spans="2:23" ht="20.45" customHeight="1" x14ac:dyDescent="0.25">
      <c r="B2" s="107"/>
      <c r="W2" s="107"/>
    </row>
    <row r="3" spans="2:23" ht="12.2" customHeight="1" x14ac:dyDescent="0.25">
      <c r="B3" s="107"/>
    </row>
    <row r="4" spans="2:23" ht="2.25" customHeight="1" x14ac:dyDescent="0.25"/>
    <row r="5" spans="2:23" ht="37.5" x14ac:dyDescent="0.25">
      <c r="B5" s="152" t="s">
        <v>0</v>
      </c>
      <c r="C5" s="152" t="s">
        <v>0</v>
      </c>
      <c r="D5" s="152"/>
      <c r="E5" s="152"/>
      <c r="F5" s="152"/>
      <c r="G5" s="152" t="s">
        <v>0</v>
      </c>
      <c r="H5" s="152" t="s">
        <v>0</v>
      </c>
      <c r="I5" s="109" t="s">
        <v>1</v>
      </c>
      <c r="J5" s="107"/>
      <c r="K5" s="107"/>
      <c r="L5" s="110" t="s">
        <v>2</v>
      </c>
      <c r="M5" s="107"/>
      <c r="N5" s="107"/>
      <c r="O5" s="110" t="s">
        <v>3</v>
      </c>
      <c r="P5" s="107"/>
      <c r="Q5" s="122" t="s">
        <v>0</v>
      </c>
      <c r="R5" s="122" t="s">
        <v>0</v>
      </c>
      <c r="S5" s="122" t="s">
        <v>0</v>
      </c>
      <c r="T5" s="153">
        <v>45793.063227951403</v>
      </c>
    </row>
    <row r="6" spans="2:23" ht="37.5" x14ac:dyDescent="0.25">
      <c r="B6" s="152" t="s">
        <v>0</v>
      </c>
      <c r="C6" s="152" t="s">
        <v>0</v>
      </c>
      <c r="D6" s="152"/>
      <c r="E6" s="152"/>
      <c r="F6" s="152"/>
      <c r="G6" s="152" t="s">
        <v>0</v>
      </c>
      <c r="H6" s="152" t="s">
        <v>0</v>
      </c>
      <c r="I6" s="113" t="s">
        <v>4</v>
      </c>
      <c r="J6" s="107"/>
      <c r="K6" s="107"/>
      <c r="L6" s="114" t="s">
        <v>5</v>
      </c>
      <c r="M6" s="107"/>
      <c r="N6" s="107"/>
      <c r="O6" s="114" t="s">
        <v>6</v>
      </c>
      <c r="P6" s="107"/>
      <c r="Q6" s="122" t="s">
        <v>0</v>
      </c>
      <c r="R6" s="122" t="s">
        <v>0</v>
      </c>
      <c r="S6" s="122" t="s">
        <v>0</v>
      </c>
      <c r="T6" s="122" t="s">
        <v>0</v>
      </c>
    </row>
    <row r="7" spans="2:23" ht="37.5" x14ac:dyDescent="0.25">
      <c r="B7" s="152" t="s">
        <v>0</v>
      </c>
      <c r="C7" s="152" t="s">
        <v>0</v>
      </c>
      <c r="D7" s="152"/>
      <c r="E7" s="152"/>
      <c r="F7" s="152"/>
      <c r="G7" s="152" t="s">
        <v>0</v>
      </c>
      <c r="H7" s="152" t="s">
        <v>0</v>
      </c>
      <c r="I7" s="116" t="s">
        <v>7</v>
      </c>
      <c r="J7" s="107"/>
      <c r="K7" s="107"/>
      <c r="L7" s="117" t="s">
        <v>8</v>
      </c>
      <c r="M7" s="107"/>
      <c r="N7" s="107"/>
      <c r="O7" s="117" t="s">
        <v>9</v>
      </c>
      <c r="P7" s="107"/>
      <c r="Q7" s="117" t="s">
        <v>10</v>
      </c>
      <c r="R7" s="107"/>
      <c r="S7" s="107"/>
      <c r="T7" s="154" t="s">
        <v>11</v>
      </c>
    </row>
    <row r="8" spans="2:23" ht="37.5" x14ac:dyDescent="0.25">
      <c r="B8" s="152" t="s">
        <v>0</v>
      </c>
      <c r="C8" s="152" t="s">
        <v>0</v>
      </c>
      <c r="D8" s="152"/>
      <c r="E8" s="152"/>
      <c r="F8" s="152"/>
      <c r="G8" s="152" t="s">
        <v>0</v>
      </c>
      <c r="H8" s="152" t="s">
        <v>0</v>
      </c>
      <c r="I8" s="118">
        <v>85.05</v>
      </c>
      <c r="J8" s="107"/>
      <c r="K8" s="107"/>
      <c r="L8" s="114">
        <v>1605.25</v>
      </c>
      <c r="M8" s="107"/>
      <c r="N8" s="107"/>
      <c r="O8" s="114">
        <v>0</v>
      </c>
      <c r="P8" s="107"/>
      <c r="Q8" s="114">
        <v>85.05</v>
      </c>
      <c r="R8" s="107"/>
      <c r="S8" s="107"/>
      <c r="T8" s="155">
        <v>0</v>
      </c>
    </row>
    <row r="9" spans="2:23" ht="43.15" customHeight="1" x14ac:dyDescent="0.25">
      <c r="B9" s="120" t="s">
        <v>969</v>
      </c>
      <c r="C9" s="107"/>
      <c r="D9" s="107"/>
      <c r="E9" s="107"/>
      <c r="F9" s="107"/>
      <c r="G9" s="107"/>
      <c r="H9" s="107"/>
      <c r="I9" s="107"/>
      <c r="J9" s="107"/>
      <c r="K9" s="121" t="s">
        <v>0</v>
      </c>
      <c r="L9" s="122" t="s">
        <v>0</v>
      </c>
      <c r="M9" s="122" t="s">
        <v>0</v>
      </c>
      <c r="N9" s="122" t="s">
        <v>0</v>
      </c>
      <c r="O9" s="122" t="s">
        <v>0</v>
      </c>
      <c r="P9" s="122" t="s">
        <v>0</v>
      </c>
      <c r="Q9" s="122" t="s">
        <v>0</v>
      </c>
      <c r="R9" s="122" t="s">
        <v>0</v>
      </c>
      <c r="S9" s="122" t="s">
        <v>0</v>
      </c>
      <c r="T9" s="107"/>
      <c r="U9" s="107"/>
    </row>
    <row r="10" spans="2:23" x14ac:dyDescent="0.25">
      <c r="B10" s="156">
        <v>45793</v>
      </c>
      <c r="C10" s="107"/>
      <c r="D10" s="107"/>
      <c r="E10" s="107"/>
      <c r="F10" s="107"/>
      <c r="G10" s="107"/>
      <c r="H10" s="107"/>
      <c r="I10" s="122" t="s">
        <v>0</v>
      </c>
      <c r="J10" s="122" t="s">
        <v>0</v>
      </c>
      <c r="K10" s="122" t="s">
        <v>0</v>
      </c>
      <c r="L10" s="122" t="s">
        <v>0</v>
      </c>
      <c r="M10" s="122" t="s">
        <v>0</v>
      </c>
      <c r="N10" s="122" t="s">
        <v>0</v>
      </c>
      <c r="O10" s="122" t="s">
        <v>0</v>
      </c>
      <c r="P10" s="122" t="s">
        <v>0</v>
      </c>
      <c r="Q10" s="122" t="s">
        <v>0</v>
      </c>
      <c r="R10" s="122" t="s">
        <v>0</v>
      </c>
      <c r="S10" s="122" t="s">
        <v>0</v>
      </c>
      <c r="T10" s="122" t="s">
        <v>0</v>
      </c>
    </row>
    <row r="11" spans="2:23" ht="22.5" x14ac:dyDescent="0.25">
      <c r="B11" s="126" t="s">
        <v>13</v>
      </c>
      <c r="C11" s="127" t="s">
        <v>14</v>
      </c>
      <c r="D11" s="14" t="s">
        <v>505</v>
      </c>
      <c r="E11" s="14" t="s">
        <v>506</v>
      </c>
      <c r="F11" s="14" t="s">
        <v>634</v>
      </c>
      <c r="G11" s="127" t="s">
        <v>15</v>
      </c>
      <c r="H11" s="127" t="s">
        <v>16</v>
      </c>
      <c r="I11" s="127" t="s">
        <v>17</v>
      </c>
      <c r="J11" s="127" t="s">
        <v>18</v>
      </c>
      <c r="K11" s="127" t="s">
        <v>57</v>
      </c>
      <c r="L11" s="127" t="s">
        <v>23</v>
      </c>
      <c r="M11" s="127" t="s">
        <v>25</v>
      </c>
      <c r="N11" s="127" t="s">
        <v>26</v>
      </c>
      <c r="O11" s="127" t="s">
        <v>9</v>
      </c>
      <c r="P11" s="128" t="s">
        <v>27</v>
      </c>
      <c r="Q11" s="128" t="s">
        <v>28</v>
      </c>
      <c r="R11" s="128" t="s">
        <v>29</v>
      </c>
      <c r="S11" s="128" t="s">
        <v>30</v>
      </c>
      <c r="T11" s="127" t="s">
        <v>31</v>
      </c>
    </row>
    <row r="12" spans="2:23" ht="21" x14ac:dyDescent="0.25">
      <c r="B12" s="130">
        <v>1744916452</v>
      </c>
      <c r="C12" s="131" t="s">
        <v>529</v>
      </c>
      <c r="D12" s="17" t="str">
        <f>IFERROR(INDEX([1]Positions!$A:$A,MATCH(C12,[1]Positions!$C:$C,0)),"Other")</f>
        <v>Financial Services</v>
      </c>
      <c r="E12" s="77">
        <f ca="1">(NOW()-I12)/30.5</f>
        <v>1.3480436171831556</v>
      </c>
      <c r="F12" s="77" t="b">
        <f>ISNUMBER(H12)</f>
        <v>1</v>
      </c>
      <c r="G12" s="130" t="s">
        <v>32</v>
      </c>
      <c r="H12" s="132">
        <v>0.42449999999999999</v>
      </c>
      <c r="I12" s="133">
        <v>45751.7423017361</v>
      </c>
      <c r="J12" s="132">
        <v>17.54</v>
      </c>
      <c r="K12" s="132">
        <v>21.1</v>
      </c>
      <c r="L12" s="134">
        <v>7.45</v>
      </c>
      <c r="M12" s="130"/>
      <c r="N12" s="130"/>
      <c r="O12" s="130">
        <v>0</v>
      </c>
      <c r="P12" s="135">
        <v>0</v>
      </c>
      <c r="Q12" s="135">
        <v>0</v>
      </c>
      <c r="R12" s="135">
        <v>0</v>
      </c>
      <c r="S12" s="136">
        <v>1.51</v>
      </c>
      <c r="T12" s="130" t="s">
        <v>0</v>
      </c>
    </row>
    <row r="13" spans="2:23" ht="21" x14ac:dyDescent="0.25">
      <c r="B13" s="139">
        <v>1817264187</v>
      </c>
      <c r="C13" s="140" t="s">
        <v>961</v>
      </c>
      <c r="D13" s="17" t="str">
        <f>IFERROR(INDEX([1]Positions!$A:$A,MATCH(C13,[1]Positions!$C:$C,0)),"Other")</f>
        <v>Financial Services</v>
      </c>
      <c r="E13" s="77">
        <f t="shared" ref="E13:E76" ca="1" si="0">(NOW()-I13)/30.5</f>
        <v>0.10521437006846994</v>
      </c>
      <c r="F13" s="77" t="b">
        <f t="shared" ref="F13:F76" si="1">ISNUMBER(H13)</f>
        <v>1</v>
      </c>
      <c r="G13" s="139" t="s">
        <v>32</v>
      </c>
      <c r="H13" s="141">
        <v>0.47570000000000001</v>
      </c>
      <c r="I13" s="142">
        <v>45789.648593773098</v>
      </c>
      <c r="J13" s="141">
        <v>42.02</v>
      </c>
      <c r="K13" s="141">
        <v>42.15</v>
      </c>
      <c r="L13" s="143">
        <v>19.989999999999998</v>
      </c>
      <c r="M13" s="139"/>
      <c r="N13" s="139"/>
      <c r="O13" s="139">
        <v>0</v>
      </c>
      <c r="P13" s="144">
        <v>0</v>
      </c>
      <c r="Q13" s="144">
        <v>0</v>
      </c>
      <c r="R13" s="144">
        <v>0</v>
      </c>
      <c r="S13" s="148">
        <v>0.06</v>
      </c>
      <c r="T13" s="139" t="s">
        <v>0</v>
      </c>
    </row>
    <row r="14" spans="2:23" ht="21" x14ac:dyDescent="0.25">
      <c r="B14" s="130">
        <v>1566610015</v>
      </c>
      <c r="C14" s="131" t="s">
        <v>538</v>
      </c>
      <c r="D14" s="17" t="str">
        <f>IFERROR(INDEX([1]Positions!$A:$A,MATCH(C14,[1]Positions!$C:$C,0)),"Other")</f>
        <v>Energy &amp; Utilities</v>
      </c>
      <c r="E14" s="77">
        <f t="shared" ca="1" si="0"/>
        <v>5.2452774172749939</v>
      </c>
      <c r="F14" s="77" t="b">
        <f t="shared" si="1"/>
        <v>1</v>
      </c>
      <c r="G14" s="130" t="s">
        <v>32</v>
      </c>
      <c r="H14" s="132">
        <v>0.9385</v>
      </c>
      <c r="I14" s="133">
        <v>45632.876670833299</v>
      </c>
      <c r="J14" s="132">
        <v>21.31</v>
      </c>
      <c r="K14" s="132">
        <v>17.739999999999998</v>
      </c>
      <c r="L14" s="134">
        <v>20</v>
      </c>
      <c r="M14" s="130"/>
      <c r="N14" s="130"/>
      <c r="O14" s="130">
        <v>0</v>
      </c>
      <c r="P14" s="135">
        <v>0</v>
      </c>
      <c r="Q14" s="135">
        <v>0</v>
      </c>
      <c r="R14" s="135">
        <v>0</v>
      </c>
      <c r="S14" s="147">
        <v>-3.35</v>
      </c>
      <c r="T14" s="130" t="s">
        <v>0</v>
      </c>
    </row>
    <row r="15" spans="2:23" ht="21" x14ac:dyDescent="0.25">
      <c r="B15" s="139">
        <v>1644796307</v>
      </c>
      <c r="C15" s="140" t="s">
        <v>535</v>
      </c>
      <c r="D15" s="17" t="str">
        <f>IFERROR(INDEX([1]Positions!$A:$A,MATCH(C15,[1]Positions!$C:$C,0)),"Other")</f>
        <v>Consumer Defensive</v>
      </c>
      <c r="E15" s="77">
        <f t="shared" ca="1" si="0"/>
        <v>3.2459873755306927</v>
      </c>
      <c r="F15" s="77" t="b">
        <f t="shared" si="1"/>
        <v>1</v>
      </c>
      <c r="G15" s="139" t="s">
        <v>32</v>
      </c>
      <c r="H15" s="141">
        <v>1</v>
      </c>
      <c r="I15" s="142">
        <v>45693.8550171065</v>
      </c>
      <c r="J15" s="141">
        <v>20.36</v>
      </c>
      <c r="K15" s="141">
        <v>21.9</v>
      </c>
      <c r="L15" s="143">
        <v>20.36</v>
      </c>
      <c r="M15" s="139"/>
      <c r="N15" s="139"/>
      <c r="O15" s="139">
        <v>0</v>
      </c>
      <c r="P15" s="144">
        <v>0</v>
      </c>
      <c r="Q15" s="144">
        <v>0</v>
      </c>
      <c r="R15" s="144">
        <v>0</v>
      </c>
      <c r="S15" s="148">
        <v>1.54</v>
      </c>
      <c r="T15" s="139" t="s">
        <v>0</v>
      </c>
    </row>
    <row r="16" spans="2:23" ht="21" x14ac:dyDescent="0.25">
      <c r="B16" s="130">
        <v>1582737192</v>
      </c>
      <c r="C16" s="131" t="s">
        <v>530</v>
      </c>
      <c r="D16" s="17" t="str">
        <f>IFERROR(INDEX([1]Positions!$A:$A,MATCH(C16,[1]Positions!$C:$C,0)),"Other")</f>
        <v>Financial Services</v>
      </c>
      <c r="E16" s="77">
        <f t="shared" ca="1" si="0"/>
        <v>4.818235828019259</v>
      </c>
      <c r="F16" s="77" t="b">
        <f t="shared" si="1"/>
        <v>1</v>
      </c>
      <c r="G16" s="130" t="s">
        <v>32</v>
      </c>
      <c r="H16" s="132">
        <v>1E-3</v>
      </c>
      <c r="I16" s="133">
        <v>45645.901439305599</v>
      </c>
      <c r="J16" s="132">
        <v>524.42999999999995</v>
      </c>
      <c r="K16" s="132">
        <v>582.24</v>
      </c>
      <c r="L16" s="134">
        <v>0.52</v>
      </c>
      <c r="M16" s="130"/>
      <c r="N16" s="130"/>
      <c r="O16" s="130">
        <v>0</v>
      </c>
      <c r="P16" s="135">
        <v>0</v>
      </c>
      <c r="Q16" s="135">
        <v>0</v>
      </c>
      <c r="R16" s="135">
        <v>0</v>
      </c>
      <c r="S16" s="136">
        <v>0.06</v>
      </c>
      <c r="T16" s="130" t="s">
        <v>0</v>
      </c>
    </row>
    <row r="17" spans="2:20" ht="21" x14ac:dyDescent="0.25">
      <c r="B17" s="139">
        <v>1422773288</v>
      </c>
      <c r="C17" s="140" t="s">
        <v>532</v>
      </c>
      <c r="D17" s="17" t="str">
        <f>IFERROR(INDEX([1]Positions!$A:$A,MATCH(C17,[1]Positions!$C:$C,0)),"Other")</f>
        <v>Consumer Defensive</v>
      </c>
      <c r="E17" s="77">
        <f t="shared" ca="1" si="0"/>
        <v>8.9840441583176283</v>
      </c>
      <c r="F17" s="77" t="b">
        <f t="shared" si="1"/>
        <v>1</v>
      </c>
      <c r="G17" s="139" t="s">
        <v>32</v>
      </c>
      <c r="H17" s="141">
        <v>0.48299999999999998</v>
      </c>
      <c r="I17" s="142">
        <v>45518.844285231498</v>
      </c>
      <c r="J17" s="141">
        <v>51.24</v>
      </c>
      <c r="K17" s="141">
        <v>57.94</v>
      </c>
      <c r="L17" s="143">
        <v>24.75</v>
      </c>
      <c r="M17" s="139"/>
      <c r="N17" s="139"/>
      <c r="O17" s="139">
        <v>0</v>
      </c>
      <c r="P17" s="144">
        <v>0</v>
      </c>
      <c r="Q17" s="144">
        <v>0</v>
      </c>
      <c r="R17" s="144">
        <v>0</v>
      </c>
      <c r="S17" s="148">
        <v>3.24</v>
      </c>
      <c r="T17" s="139" t="s">
        <v>0</v>
      </c>
    </row>
    <row r="18" spans="2:20" x14ac:dyDescent="0.25">
      <c r="B18" s="130">
        <v>1727563010</v>
      </c>
      <c r="C18" s="131" t="s">
        <v>534</v>
      </c>
      <c r="D18" s="17" t="str">
        <f>IFERROR(INDEX([1]Positions!$A:$A,MATCH(C18,[1]Positions!$C:$C,0)),"Other")</f>
        <v>ETF</v>
      </c>
      <c r="E18" s="77">
        <f t="shared" ca="1" si="0"/>
        <v>1.6097234357930872</v>
      </c>
      <c r="F18" s="77" t="b">
        <f t="shared" si="1"/>
        <v>1</v>
      </c>
      <c r="G18" s="130" t="s">
        <v>32</v>
      </c>
      <c r="H18" s="132">
        <v>1</v>
      </c>
      <c r="I18" s="133">
        <v>45743.761067268497</v>
      </c>
      <c r="J18" s="132">
        <v>46.11</v>
      </c>
      <c r="K18" s="132">
        <v>47.69</v>
      </c>
      <c r="L18" s="134">
        <v>46.11</v>
      </c>
      <c r="M18" s="130"/>
      <c r="N18" s="130"/>
      <c r="O18" s="130">
        <v>0</v>
      </c>
      <c r="P18" s="135">
        <v>0</v>
      </c>
      <c r="Q18" s="135">
        <v>0</v>
      </c>
      <c r="R18" s="135">
        <v>0</v>
      </c>
      <c r="S18" s="136">
        <v>1.58</v>
      </c>
      <c r="T18" s="130" t="s">
        <v>0</v>
      </c>
    </row>
    <row r="19" spans="2:20" ht="21" x14ac:dyDescent="0.25">
      <c r="B19" s="139">
        <v>1599455288</v>
      </c>
      <c r="C19" s="140" t="s">
        <v>542</v>
      </c>
      <c r="D19" s="17" t="str">
        <f>IFERROR(INDEX([1]Positions!$A:$A,MATCH(C19,[1]Positions!$C:$C,0)),"Other")</f>
        <v>Energy &amp; Utilities</v>
      </c>
      <c r="E19" s="77">
        <f t="shared" ca="1" si="0"/>
        <v>4.2334468662717333</v>
      </c>
      <c r="F19" s="77" t="b">
        <f t="shared" si="1"/>
        <v>1</v>
      </c>
      <c r="G19" s="139" t="s">
        <v>32</v>
      </c>
      <c r="H19" s="141">
        <v>0.2195</v>
      </c>
      <c r="I19" s="142">
        <v>45663.737502638898</v>
      </c>
      <c r="J19" s="141">
        <v>45.55</v>
      </c>
      <c r="K19" s="141">
        <v>35.67</v>
      </c>
      <c r="L19" s="143">
        <v>10</v>
      </c>
      <c r="M19" s="139"/>
      <c r="N19" s="139"/>
      <c r="O19" s="139">
        <v>0</v>
      </c>
      <c r="P19" s="144">
        <v>0</v>
      </c>
      <c r="Q19" s="144">
        <v>0</v>
      </c>
      <c r="R19" s="144">
        <v>0</v>
      </c>
      <c r="S19" s="145">
        <v>-2.17</v>
      </c>
      <c r="T19" s="139" t="s">
        <v>0</v>
      </c>
    </row>
    <row r="20" spans="2:20" x14ac:dyDescent="0.25">
      <c r="B20" s="130">
        <v>1381417257</v>
      </c>
      <c r="C20" s="131" t="s">
        <v>59</v>
      </c>
      <c r="D20" s="17" t="str">
        <f>IFERROR(INDEX([1]Positions!$A:$A,MATCH(C20,[1]Positions!$C:$C,0)),"Other")</f>
        <v>ETF</v>
      </c>
      <c r="E20" s="77">
        <f t="shared" ca="1" si="0"/>
        <v>10.104224877429125</v>
      </c>
      <c r="F20" s="77" t="b">
        <f t="shared" si="1"/>
        <v>1</v>
      </c>
      <c r="G20" s="130" t="s">
        <v>32</v>
      </c>
      <c r="H20" s="132">
        <v>1</v>
      </c>
      <c r="I20" s="133">
        <v>45484.678773298598</v>
      </c>
      <c r="J20" s="132">
        <v>16.373999999999999</v>
      </c>
      <c r="K20" s="132">
        <v>16.065999999999999</v>
      </c>
      <c r="L20" s="134">
        <v>17.899999999999999</v>
      </c>
      <c r="M20" s="130"/>
      <c r="N20" s="130"/>
      <c r="O20" s="130">
        <v>0</v>
      </c>
      <c r="P20" s="135">
        <v>0</v>
      </c>
      <c r="Q20" s="135">
        <v>0</v>
      </c>
      <c r="R20" s="135">
        <v>0</v>
      </c>
      <c r="S20" s="147">
        <v>-0.03</v>
      </c>
      <c r="T20" s="130" t="s">
        <v>0</v>
      </c>
    </row>
    <row r="21" spans="2:20" ht="21" x14ac:dyDescent="0.25">
      <c r="B21" s="139">
        <v>1644789287</v>
      </c>
      <c r="C21" s="140" t="s">
        <v>531</v>
      </c>
      <c r="D21" s="17" t="str">
        <f>IFERROR(INDEX([1]Positions!$A:$A,MATCH(C21,[1]Positions!$C:$C,0)),"Other")</f>
        <v>Consumer Defensive</v>
      </c>
      <c r="E21" s="77">
        <f t="shared" ca="1" si="0"/>
        <v>3.2461115243633802</v>
      </c>
      <c r="F21" s="77" t="b">
        <f t="shared" si="1"/>
        <v>1</v>
      </c>
      <c r="G21" s="139" t="s">
        <v>32</v>
      </c>
      <c r="H21" s="141">
        <v>8.1299999999999997E-2</v>
      </c>
      <c r="I21" s="142">
        <v>45693.851230567103</v>
      </c>
      <c r="J21" s="141">
        <v>129.08000000000001</v>
      </c>
      <c r="K21" s="141">
        <v>137.35</v>
      </c>
      <c r="L21" s="143">
        <v>10.49</v>
      </c>
      <c r="M21" s="139"/>
      <c r="N21" s="139"/>
      <c r="O21" s="139">
        <v>0</v>
      </c>
      <c r="P21" s="144">
        <v>0</v>
      </c>
      <c r="Q21" s="144">
        <v>0</v>
      </c>
      <c r="R21" s="144">
        <v>0</v>
      </c>
      <c r="S21" s="148">
        <v>0.68</v>
      </c>
      <c r="T21" s="139" t="s">
        <v>0</v>
      </c>
    </row>
    <row r="22" spans="2:20" x14ac:dyDescent="0.25">
      <c r="B22" s="130">
        <v>1729617775</v>
      </c>
      <c r="C22" s="131" t="s">
        <v>513</v>
      </c>
      <c r="D22" s="17" t="str">
        <f>IFERROR(INDEX([1]Positions!$A:$A,MATCH(C22,[1]Positions!$C:$C,0)),"Other")</f>
        <v>Technology</v>
      </c>
      <c r="E22" s="77">
        <f t="shared" ca="1" si="0"/>
        <v>1.5784994987110115</v>
      </c>
      <c r="F22" s="77" t="b">
        <f t="shared" si="1"/>
        <v>1</v>
      </c>
      <c r="G22" s="130" t="s">
        <v>32</v>
      </c>
      <c r="H22" s="132">
        <v>9.0700000000000003E-2</v>
      </c>
      <c r="I22" s="133">
        <v>45744.7133973495</v>
      </c>
      <c r="J22" s="132">
        <v>165.35</v>
      </c>
      <c r="K22" s="132">
        <v>194.23</v>
      </c>
      <c r="L22" s="134">
        <v>15</v>
      </c>
      <c r="M22" s="130"/>
      <c r="N22" s="130"/>
      <c r="O22" s="130">
        <v>0</v>
      </c>
      <c r="P22" s="135">
        <v>0</v>
      </c>
      <c r="Q22" s="135">
        <v>0</v>
      </c>
      <c r="R22" s="135">
        <v>0</v>
      </c>
      <c r="S22" s="136">
        <v>2.62</v>
      </c>
      <c r="T22" s="130" t="s">
        <v>0</v>
      </c>
    </row>
    <row r="23" spans="2:20" ht="21" x14ac:dyDescent="0.25">
      <c r="B23" s="139">
        <v>1554741910</v>
      </c>
      <c r="C23" s="140" t="s">
        <v>529</v>
      </c>
      <c r="D23" s="17" t="str">
        <f>IFERROR(INDEX([1]Positions!$A:$A,MATCH(C23,[1]Positions!$C:$C,0)),"Other")</f>
        <v>Financial Services</v>
      </c>
      <c r="E23" s="77">
        <f t="shared" ca="1" si="0"/>
        <v>5.5445285538093616</v>
      </c>
      <c r="F23" s="77" t="b">
        <f t="shared" si="1"/>
        <v>1</v>
      </c>
      <c r="G23" s="139" t="s">
        <v>32</v>
      </c>
      <c r="H23" s="141">
        <v>0.34949999999999998</v>
      </c>
      <c r="I23" s="142">
        <v>45623.749511169</v>
      </c>
      <c r="J23" s="141">
        <v>15.3</v>
      </c>
      <c r="K23" s="141">
        <v>21.1</v>
      </c>
      <c r="L23" s="143">
        <v>5.35</v>
      </c>
      <c r="M23" s="139"/>
      <c r="N23" s="139"/>
      <c r="O23" s="139">
        <v>0</v>
      </c>
      <c r="P23" s="144">
        <v>0</v>
      </c>
      <c r="Q23" s="144">
        <v>0</v>
      </c>
      <c r="R23" s="144">
        <v>0</v>
      </c>
      <c r="S23" s="148">
        <v>2.02</v>
      </c>
      <c r="T23" s="139" t="s">
        <v>0</v>
      </c>
    </row>
    <row r="24" spans="2:20" ht="21" x14ac:dyDescent="0.25">
      <c r="B24" s="130">
        <v>1621495187</v>
      </c>
      <c r="C24" s="131" t="s">
        <v>542</v>
      </c>
      <c r="D24" s="17" t="str">
        <f>IFERROR(INDEX([1]Positions!$A:$A,MATCH(C24,[1]Positions!$C:$C,0)),"Other")</f>
        <v>Energy &amp; Utilities</v>
      </c>
      <c r="E24" s="77">
        <f t="shared" ca="1" si="0"/>
        <v>3.7385524620519583</v>
      </c>
      <c r="F24" s="77" t="b">
        <f t="shared" si="1"/>
        <v>1</v>
      </c>
      <c r="G24" s="130" t="s">
        <v>32</v>
      </c>
      <c r="H24" s="132">
        <v>0.23180000000000001</v>
      </c>
      <c r="I24" s="133">
        <v>45678.831781967601</v>
      </c>
      <c r="J24" s="132">
        <v>43.27</v>
      </c>
      <c r="K24" s="132">
        <v>35.67</v>
      </c>
      <c r="L24" s="134">
        <v>10.029999999999999</v>
      </c>
      <c r="M24" s="130"/>
      <c r="N24" s="130"/>
      <c r="O24" s="130">
        <v>0</v>
      </c>
      <c r="P24" s="135">
        <v>0</v>
      </c>
      <c r="Q24" s="135">
        <v>0</v>
      </c>
      <c r="R24" s="135">
        <v>0</v>
      </c>
      <c r="S24" s="147">
        <v>-1.76</v>
      </c>
      <c r="T24" s="130" t="s">
        <v>0</v>
      </c>
    </row>
    <row r="25" spans="2:20" ht="21" x14ac:dyDescent="0.25">
      <c r="B25" s="139">
        <v>1701100027</v>
      </c>
      <c r="C25" s="140" t="s">
        <v>538</v>
      </c>
      <c r="D25" s="17" t="str">
        <f>IFERROR(INDEX([1]Positions!$A:$A,MATCH(C25,[1]Positions!$C:$C,0)),"Other")</f>
        <v>Energy &amp; Utilities</v>
      </c>
      <c r="E25" s="77">
        <f t="shared" ca="1" si="0"/>
        <v>2.1306757821043529</v>
      </c>
      <c r="F25" s="77" t="b">
        <f t="shared" si="1"/>
        <v>1</v>
      </c>
      <c r="G25" s="139" t="s">
        <v>32</v>
      </c>
      <c r="H25" s="141">
        <v>0.78120000000000001</v>
      </c>
      <c r="I25" s="142">
        <v>45727.872020706003</v>
      </c>
      <c r="J25" s="141">
        <v>19.2</v>
      </c>
      <c r="K25" s="141">
        <v>17.739999999999998</v>
      </c>
      <c r="L25" s="143">
        <v>15</v>
      </c>
      <c r="M25" s="139"/>
      <c r="N25" s="139"/>
      <c r="O25" s="139">
        <v>0</v>
      </c>
      <c r="P25" s="144">
        <v>0</v>
      </c>
      <c r="Q25" s="144">
        <v>0</v>
      </c>
      <c r="R25" s="144">
        <v>0</v>
      </c>
      <c r="S25" s="145">
        <v>-1.1399999999999999</v>
      </c>
      <c r="T25" s="139" t="s">
        <v>0</v>
      </c>
    </row>
    <row r="26" spans="2:20" ht="21" x14ac:dyDescent="0.25">
      <c r="B26" s="130">
        <v>1744767540</v>
      </c>
      <c r="C26" s="131" t="s">
        <v>538</v>
      </c>
      <c r="D26" s="17" t="str">
        <f>IFERROR(INDEX([1]Positions!$A:$A,MATCH(C26,[1]Positions!$C:$C,0)),"Other")</f>
        <v>Energy &amp; Utilities</v>
      </c>
      <c r="E26" s="77">
        <f t="shared" ca="1" si="0"/>
        <v>1.348670981330587</v>
      </c>
      <c r="F26" s="77" t="b">
        <f t="shared" si="1"/>
        <v>1</v>
      </c>
      <c r="G26" s="130" t="s">
        <v>32</v>
      </c>
      <c r="H26" s="132">
        <v>0.64300000000000002</v>
      </c>
      <c r="I26" s="133">
        <v>45751.723167129603</v>
      </c>
      <c r="J26" s="132">
        <v>15.55</v>
      </c>
      <c r="K26" s="132">
        <v>17.739999999999998</v>
      </c>
      <c r="L26" s="134">
        <v>10</v>
      </c>
      <c r="M26" s="130"/>
      <c r="N26" s="130"/>
      <c r="O26" s="130">
        <v>0</v>
      </c>
      <c r="P26" s="135">
        <v>0</v>
      </c>
      <c r="Q26" s="135">
        <v>0</v>
      </c>
      <c r="R26" s="135">
        <v>0</v>
      </c>
      <c r="S26" s="136">
        <v>1.41</v>
      </c>
      <c r="T26" s="130" t="s">
        <v>0</v>
      </c>
    </row>
    <row r="27" spans="2:20" ht="21" x14ac:dyDescent="0.25">
      <c r="B27" s="139">
        <v>1653137218</v>
      </c>
      <c r="C27" s="140" t="s">
        <v>542</v>
      </c>
      <c r="D27" s="17" t="str">
        <f>IFERROR(INDEX([1]Positions!$A:$A,MATCH(C27,[1]Positions!$C:$C,0)),"Other")</f>
        <v>Energy &amp; Utilities</v>
      </c>
      <c r="E27" s="77">
        <f t="shared" ca="1" si="0"/>
        <v>3.0493806580159828</v>
      </c>
      <c r="F27" s="77" t="b">
        <f t="shared" si="1"/>
        <v>1</v>
      </c>
      <c r="G27" s="139" t="s">
        <v>32</v>
      </c>
      <c r="H27" s="141">
        <v>0.27700000000000002</v>
      </c>
      <c r="I27" s="142">
        <v>45699.851521990699</v>
      </c>
      <c r="J27" s="141">
        <v>36.1</v>
      </c>
      <c r="K27" s="141">
        <v>35.67</v>
      </c>
      <c r="L27" s="143">
        <v>10</v>
      </c>
      <c r="M27" s="139"/>
      <c r="N27" s="139"/>
      <c r="O27" s="139">
        <v>0</v>
      </c>
      <c r="P27" s="144">
        <v>0</v>
      </c>
      <c r="Q27" s="144">
        <v>0</v>
      </c>
      <c r="R27" s="144">
        <v>0</v>
      </c>
      <c r="S27" s="145">
        <v>-0.12</v>
      </c>
      <c r="T27" s="139" t="s">
        <v>0</v>
      </c>
    </row>
    <row r="28" spans="2:20" ht="21" x14ac:dyDescent="0.25">
      <c r="B28" s="130">
        <v>1806978791</v>
      </c>
      <c r="C28" s="131" t="s">
        <v>537</v>
      </c>
      <c r="D28" s="17" t="str">
        <f>IFERROR(INDEX([1]Positions!$A:$A,MATCH(C28,[1]Positions!$C:$C,0)),"Other")</f>
        <v>Energy &amp; Utilities</v>
      </c>
      <c r="E28" s="77">
        <f t="shared" ca="1" si="0"/>
        <v>0.29595198391098909</v>
      </c>
      <c r="F28" s="77" t="b">
        <f t="shared" si="1"/>
        <v>1</v>
      </c>
      <c r="G28" s="130" t="s">
        <v>32</v>
      </c>
      <c r="H28" s="132">
        <v>8.6699999999999999E-2</v>
      </c>
      <c r="I28" s="133">
        <v>45783.831096550901</v>
      </c>
      <c r="J28" s="132">
        <v>126.78</v>
      </c>
      <c r="K28" s="132">
        <v>185.82</v>
      </c>
      <c r="L28" s="134">
        <v>10.99</v>
      </c>
      <c r="M28" s="130"/>
      <c r="N28" s="130"/>
      <c r="O28" s="130">
        <v>0</v>
      </c>
      <c r="P28" s="135">
        <v>0</v>
      </c>
      <c r="Q28" s="135">
        <v>0</v>
      </c>
      <c r="R28" s="135">
        <v>0</v>
      </c>
      <c r="S28" s="136">
        <v>5.12</v>
      </c>
      <c r="T28" s="130" t="s">
        <v>0</v>
      </c>
    </row>
    <row r="29" spans="2:20" x14ac:dyDescent="0.25">
      <c r="B29" s="139">
        <v>1582708979</v>
      </c>
      <c r="C29" s="140" t="s">
        <v>513</v>
      </c>
      <c r="D29" s="17" t="str">
        <f>IFERROR(INDEX([1]Positions!$A:$A,MATCH(C29,[1]Positions!$C:$C,0)),"Other")</f>
        <v>Technology</v>
      </c>
      <c r="E29" s="77">
        <f t="shared" ca="1" si="0"/>
        <v>4.8186938444912988</v>
      </c>
      <c r="F29" s="77" t="b">
        <f t="shared" si="1"/>
        <v>1</v>
      </c>
      <c r="G29" s="139" t="s">
        <v>32</v>
      </c>
      <c r="H29" s="141">
        <v>7.6899999999999996E-2</v>
      </c>
      <c r="I29" s="142">
        <v>45645.887469803201</v>
      </c>
      <c r="J29" s="141">
        <v>195.11</v>
      </c>
      <c r="K29" s="141">
        <v>194.23</v>
      </c>
      <c r="L29" s="143">
        <v>15</v>
      </c>
      <c r="M29" s="139"/>
      <c r="N29" s="139"/>
      <c r="O29" s="139">
        <v>0</v>
      </c>
      <c r="P29" s="144">
        <v>0</v>
      </c>
      <c r="Q29" s="144">
        <v>0</v>
      </c>
      <c r="R29" s="144">
        <v>0</v>
      </c>
      <c r="S29" s="145">
        <v>-0.06</v>
      </c>
      <c r="T29" s="139" t="s">
        <v>0</v>
      </c>
    </row>
    <row r="30" spans="2:20" ht="21" x14ac:dyDescent="0.25">
      <c r="B30" s="130">
        <v>1662993636</v>
      </c>
      <c r="C30" s="131" t="s">
        <v>535</v>
      </c>
      <c r="D30" s="17" t="str">
        <f>IFERROR(INDEX([1]Positions!$A:$A,MATCH(C30,[1]Positions!$C:$C,0)),"Other")</f>
        <v>Consumer Defensive</v>
      </c>
      <c r="E30" s="77">
        <f t="shared" ca="1" si="0"/>
        <v>2.8192578271109148</v>
      </c>
      <c r="F30" s="77" t="b">
        <f t="shared" si="1"/>
        <v>1</v>
      </c>
      <c r="G30" s="130" t="s">
        <v>32</v>
      </c>
      <c r="H30" s="132">
        <v>1</v>
      </c>
      <c r="I30" s="133">
        <v>45706.870268333303</v>
      </c>
      <c r="J30" s="132">
        <v>20.65</v>
      </c>
      <c r="K30" s="132">
        <v>21.9</v>
      </c>
      <c r="L30" s="134">
        <v>20.65</v>
      </c>
      <c r="M30" s="130"/>
      <c r="N30" s="130"/>
      <c r="O30" s="130">
        <v>0</v>
      </c>
      <c r="P30" s="135">
        <v>0</v>
      </c>
      <c r="Q30" s="135">
        <v>0</v>
      </c>
      <c r="R30" s="135">
        <v>0</v>
      </c>
      <c r="S30" s="136">
        <v>1.25</v>
      </c>
      <c r="T30" s="130" t="s">
        <v>0</v>
      </c>
    </row>
    <row r="31" spans="2:20" ht="21" x14ac:dyDescent="0.25">
      <c r="B31" s="139">
        <v>1824482557</v>
      </c>
      <c r="C31" s="140" t="s">
        <v>532</v>
      </c>
      <c r="D31" s="17" t="str">
        <f>IFERROR(INDEX([1]Positions!$A:$A,MATCH(C31,[1]Positions!$C:$C,0)),"Other")</f>
        <v>Consumer Defensive</v>
      </c>
      <c r="E31" s="77">
        <f t="shared" ca="1" si="0"/>
        <v>6.8714788257999374E-3</v>
      </c>
      <c r="F31" s="77" t="b">
        <f t="shared" si="1"/>
        <v>1</v>
      </c>
      <c r="G31" s="139" t="s">
        <v>32</v>
      </c>
      <c r="H31" s="141">
        <v>0.2641</v>
      </c>
      <c r="I31" s="142">
        <v>45792.648051955999</v>
      </c>
      <c r="J31" s="141">
        <v>56.78</v>
      </c>
      <c r="K31" s="141">
        <v>57.94</v>
      </c>
      <c r="L31" s="143">
        <v>15</v>
      </c>
      <c r="M31" s="139"/>
      <c r="N31" s="139"/>
      <c r="O31" s="139">
        <v>0</v>
      </c>
      <c r="P31" s="144">
        <v>0</v>
      </c>
      <c r="Q31" s="144">
        <v>0</v>
      </c>
      <c r="R31" s="144">
        <v>0</v>
      </c>
      <c r="S31" s="148">
        <v>0.3</v>
      </c>
      <c r="T31" s="139" t="s">
        <v>0</v>
      </c>
    </row>
    <row r="32" spans="2:20" ht="21" x14ac:dyDescent="0.25">
      <c r="B32" s="130">
        <v>1631475148</v>
      </c>
      <c r="C32" s="131" t="s">
        <v>542</v>
      </c>
      <c r="D32" s="17" t="str">
        <f>IFERROR(INDEX([1]Positions!$A:$A,MATCH(C32,[1]Positions!$C:$C,0)),"Other")</f>
        <v>Energy &amp; Utilities</v>
      </c>
      <c r="E32" s="77">
        <f t="shared" ca="1" si="0"/>
        <v>3.508897706435671</v>
      </c>
      <c r="F32" s="77" t="b">
        <f t="shared" si="1"/>
        <v>1</v>
      </c>
      <c r="G32" s="130" t="s">
        <v>32</v>
      </c>
      <c r="H32" s="132">
        <v>0.25919999999999999</v>
      </c>
      <c r="I32" s="133">
        <v>45685.836252013898</v>
      </c>
      <c r="J32" s="132">
        <v>38.58</v>
      </c>
      <c r="K32" s="132">
        <v>35.67</v>
      </c>
      <c r="L32" s="134">
        <v>10</v>
      </c>
      <c r="M32" s="130"/>
      <c r="N32" s="130"/>
      <c r="O32" s="130">
        <v>0</v>
      </c>
      <c r="P32" s="135">
        <v>0</v>
      </c>
      <c r="Q32" s="135">
        <v>0</v>
      </c>
      <c r="R32" s="135">
        <v>0</v>
      </c>
      <c r="S32" s="147">
        <v>-0.75</v>
      </c>
      <c r="T32" s="130" t="s">
        <v>0</v>
      </c>
    </row>
    <row r="33" spans="2:20" x14ac:dyDescent="0.25">
      <c r="B33" s="139">
        <v>1727591551</v>
      </c>
      <c r="C33" s="140" t="s">
        <v>543</v>
      </c>
      <c r="D33" s="17" t="str">
        <f>IFERROR(INDEX([1]Positions!$A:$A,MATCH(C33,[1]Positions!$C:$C,0)),"Other")</f>
        <v>ETF</v>
      </c>
      <c r="E33" s="77">
        <f t="shared" ca="1" si="0"/>
        <v>1.6093028362160053</v>
      </c>
      <c r="F33" s="77" t="b">
        <f t="shared" si="1"/>
        <v>1</v>
      </c>
      <c r="G33" s="139" t="s">
        <v>32</v>
      </c>
      <c r="H33" s="141">
        <v>1</v>
      </c>
      <c r="I33" s="142">
        <v>45743.773895555598</v>
      </c>
      <c r="J33" s="141">
        <v>72.87</v>
      </c>
      <c r="K33" s="141">
        <v>72.42</v>
      </c>
      <c r="L33" s="143">
        <v>72.87</v>
      </c>
      <c r="M33" s="139"/>
      <c r="N33" s="139"/>
      <c r="O33" s="139">
        <v>0</v>
      </c>
      <c r="P33" s="144">
        <v>0</v>
      </c>
      <c r="Q33" s="144">
        <v>0</v>
      </c>
      <c r="R33" s="144">
        <v>0</v>
      </c>
      <c r="S33" s="145">
        <v>-0.45</v>
      </c>
      <c r="T33" s="139" t="s">
        <v>0</v>
      </c>
    </row>
    <row r="34" spans="2:20" ht="21" x14ac:dyDescent="0.25">
      <c r="B34" s="130">
        <v>1554741956</v>
      </c>
      <c r="C34" s="131" t="s">
        <v>529</v>
      </c>
      <c r="D34" s="17" t="str">
        <f>IFERROR(INDEX([1]Positions!$A:$A,MATCH(C34,[1]Positions!$C:$C,0)),"Other")</f>
        <v>Financial Services</v>
      </c>
      <c r="E34" s="77">
        <f t="shared" ca="1" si="0"/>
        <v>5.5445281864748885</v>
      </c>
      <c r="F34" s="77" t="b">
        <f t="shared" si="1"/>
        <v>1</v>
      </c>
      <c r="G34" s="130" t="s">
        <v>32</v>
      </c>
      <c r="H34" s="132">
        <v>1</v>
      </c>
      <c r="I34" s="133">
        <v>45623.749522372702</v>
      </c>
      <c r="J34" s="132">
        <v>15.3</v>
      </c>
      <c r="K34" s="132">
        <v>21.1</v>
      </c>
      <c r="L34" s="134">
        <v>15.3</v>
      </c>
      <c r="M34" s="130"/>
      <c r="N34" s="130"/>
      <c r="O34" s="130">
        <v>0</v>
      </c>
      <c r="P34" s="135">
        <v>0</v>
      </c>
      <c r="Q34" s="135">
        <v>0</v>
      </c>
      <c r="R34" s="135">
        <v>0</v>
      </c>
      <c r="S34" s="136">
        <v>5.8</v>
      </c>
      <c r="T34" s="130" t="s">
        <v>0</v>
      </c>
    </row>
    <row r="35" spans="2:20" ht="21" x14ac:dyDescent="0.25">
      <c r="B35" s="139">
        <v>1606697510</v>
      </c>
      <c r="C35" s="140" t="s">
        <v>530</v>
      </c>
      <c r="D35" s="17" t="str">
        <f>IFERROR(INDEX([1]Positions!$A:$A,MATCH(C35,[1]Positions!$C:$C,0)),"Other")</f>
        <v>Financial Services</v>
      </c>
      <c r="E35" s="77">
        <f t="shared" ca="1" si="0"/>
        <v>4.10396671448152</v>
      </c>
      <c r="F35" s="77" t="b">
        <f t="shared" si="1"/>
        <v>1</v>
      </c>
      <c r="G35" s="139" t="s">
        <v>32</v>
      </c>
      <c r="H35" s="141">
        <v>2.9499999999999998E-2</v>
      </c>
      <c r="I35" s="142">
        <v>45667.6866472685</v>
      </c>
      <c r="J35" s="141">
        <v>507.68</v>
      </c>
      <c r="K35" s="141">
        <v>582.24</v>
      </c>
      <c r="L35" s="143">
        <v>14.98</v>
      </c>
      <c r="M35" s="139"/>
      <c r="N35" s="139"/>
      <c r="O35" s="139">
        <v>0</v>
      </c>
      <c r="P35" s="144">
        <v>0</v>
      </c>
      <c r="Q35" s="144">
        <v>0</v>
      </c>
      <c r="R35" s="144">
        <v>0</v>
      </c>
      <c r="S35" s="148">
        <v>2.2000000000000002</v>
      </c>
      <c r="T35" s="139" t="s">
        <v>0</v>
      </c>
    </row>
    <row r="36" spans="2:20" x14ac:dyDescent="0.25">
      <c r="B36" s="130">
        <v>1511085920</v>
      </c>
      <c r="C36" s="131" t="s">
        <v>513</v>
      </c>
      <c r="D36" s="17" t="str">
        <f>IFERROR(INDEX([1]Positions!$A:$A,MATCH(C36,[1]Positions!$C:$C,0)),"Other")</f>
        <v>Technology</v>
      </c>
      <c r="E36" s="77">
        <f t="shared" ca="1" si="0"/>
        <v>6.5288968738619353</v>
      </c>
      <c r="F36" s="77" t="b">
        <f t="shared" si="1"/>
        <v>1</v>
      </c>
      <c r="G36" s="130" t="s">
        <v>32</v>
      </c>
      <c r="H36" s="132">
        <v>7.6100000000000001E-2</v>
      </c>
      <c r="I36" s="133">
        <v>45593.726277407397</v>
      </c>
      <c r="J36" s="132">
        <v>196.9</v>
      </c>
      <c r="K36" s="132">
        <v>194.23</v>
      </c>
      <c r="L36" s="134">
        <v>14.98</v>
      </c>
      <c r="M36" s="130"/>
      <c r="N36" s="130"/>
      <c r="O36" s="130">
        <v>0</v>
      </c>
      <c r="P36" s="135">
        <v>0</v>
      </c>
      <c r="Q36" s="135">
        <v>0</v>
      </c>
      <c r="R36" s="135">
        <v>0</v>
      </c>
      <c r="S36" s="147">
        <v>-0.2</v>
      </c>
      <c r="T36" s="130" t="s">
        <v>0</v>
      </c>
    </row>
    <row r="37" spans="2:20" x14ac:dyDescent="0.25">
      <c r="B37" s="139">
        <v>1378901781</v>
      </c>
      <c r="C37" s="140" t="s">
        <v>60</v>
      </c>
      <c r="D37" s="17" t="str">
        <f>IFERROR(INDEX([1]Positions!$A:$A,MATCH(C37,[1]Positions!$C:$C,0)),"Other")</f>
        <v>ETF</v>
      </c>
      <c r="E37" s="77">
        <f t="shared" ca="1" si="0"/>
        <v>10.168678245674885</v>
      </c>
      <c r="F37" s="77" t="b">
        <f t="shared" si="1"/>
        <v>1</v>
      </c>
      <c r="G37" s="139" t="s">
        <v>32</v>
      </c>
      <c r="H37" s="141">
        <v>1</v>
      </c>
      <c r="I37" s="142">
        <v>45482.712945567102</v>
      </c>
      <c r="J37" s="141">
        <v>20.58</v>
      </c>
      <c r="K37" s="141">
        <v>20.324999999999999</v>
      </c>
      <c r="L37" s="143">
        <v>20.58</v>
      </c>
      <c r="M37" s="139"/>
      <c r="N37" s="139"/>
      <c r="O37" s="139">
        <v>0</v>
      </c>
      <c r="P37" s="144">
        <v>0</v>
      </c>
      <c r="Q37" s="144">
        <v>0</v>
      </c>
      <c r="R37" s="144">
        <v>0</v>
      </c>
      <c r="S37" s="145">
        <v>-0.25</v>
      </c>
      <c r="T37" s="139" t="s">
        <v>0</v>
      </c>
    </row>
    <row r="38" spans="2:20" ht="21" x14ac:dyDescent="0.25">
      <c r="B38" s="130">
        <v>1495551484</v>
      </c>
      <c r="C38" s="131" t="s">
        <v>541</v>
      </c>
      <c r="D38" s="17" t="str">
        <f>IFERROR(INDEX([1]Positions!$A:$A,MATCH(C38,[1]Positions!$C:$C,0)),"Other")</f>
        <v>Consumer Defensive</v>
      </c>
      <c r="E38" s="77">
        <f t="shared" ca="1" si="0"/>
        <v>6.9557754485438519</v>
      </c>
      <c r="F38" s="77" t="b">
        <f t="shared" si="1"/>
        <v>1</v>
      </c>
      <c r="G38" s="130" t="s">
        <v>32</v>
      </c>
      <c r="H38" s="132">
        <v>0.19139999999999999</v>
      </c>
      <c r="I38" s="133">
        <v>45580.706480879599</v>
      </c>
      <c r="J38" s="132">
        <v>135.82</v>
      </c>
      <c r="K38" s="132">
        <v>138.76</v>
      </c>
      <c r="L38" s="134">
        <v>26</v>
      </c>
      <c r="M38" s="130"/>
      <c r="N38" s="130"/>
      <c r="O38" s="130">
        <v>0</v>
      </c>
      <c r="P38" s="135">
        <v>0</v>
      </c>
      <c r="Q38" s="135">
        <v>0</v>
      </c>
      <c r="R38" s="135">
        <v>0</v>
      </c>
      <c r="S38" s="136">
        <v>0.56000000000000005</v>
      </c>
      <c r="T38" s="130" t="s">
        <v>0</v>
      </c>
    </row>
    <row r="39" spans="2:20" ht="21" x14ac:dyDescent="0.25">
      <c r="B39" s="139">
        <v>1754304266</v>
      </c>
      <c r="C39" s="140" t="s">
        <v>538</v>
      </c>
      <c r="D39" s="17" t="str">
        <f>IFERROR(INDEX([1]Positions!$A:$A,MATCH(C39,[1]Positions!$C:$C,0)),"Other")</f>
        <v>Energy &amp; Utilities</v>
      </c>
      <c r="E39" s="77">
        <f t="shared" ca="1" si="0"/>
        <v>1.2123633094258859</v>
      </c>
      <c r="F39" s="77" t="b">
        <f t="shared" si="1"/>
        <v>1</v>
      </c>
      <c r="G39" s="139" t="s">
        <v>32</v>
      </c>
      <c r="H39" s="141">
        <v>0.7137</v>
      </c>
      <c r="I39" s="142">
        <v>45755.880551122696</v>
      </c>
      <c r="J39" s="141">
        <v>14</v>
      </c>
      <c r="K39" s="141">
        <v>17.739999999999998</v>
      </c>
      <c r="L39" s="143">
        <v>9.99</v>
      </c>
      <c r="M39" s="139"/>
      <c r="N39" s="139"/>
      <c r="O39" s="139">
        <v>0</v>
      </c>
      <c r="P39" s="144">
        <v>0</v>
      </c>
      <c r="Q39" s="144">
        <v>0</v>
      </c>
      <c r="R39" s="144">
        <v>0</v>
      </c>
      <c r="S39" s="148">
        <v>2.67</v>
      </c>
      <c r="T39" s="139" t="s">
        <v>0</v>
      </c>
    </row>
    <row r="40" spans="2:20" ht="21" x14ac:dyDescent="0.25">
      <c r="B40" s="130">
        <v>1701098878</v>
      </c>
      <c r="C40" s="131" t="s">
        <v>537</v>
      </c>
      <c r="D40" s="17" t="str">
        <f>IFERROR(INDEX([1]Positions!$A:$A,MATCH(C40,[1]Positions!$C:$C,0)),"Other")</f>
        <v>Energy &amp; Utilities</v>
      </c>
      <c r="E40" s="77">
        <f t="shared" ca="1" si="0"/>
        <v>2.1306870856093814</v>
      </c>
      <c r="F40" s="77" t="b">
        <f t="shared" si="1"/>
        <v>1</v>
      </c>
      <c r="G40" s="130" t="s">
        <v>32</v>
      </c>
      <c r="H40" s="132">
        <v>3.8300000000000001E-2</v>
      </c>
      <c r="I40" s="133">
        <v>45727.8716759491</v>
      </c>
      <c r="J40" s="132">
        <v>139.41</v>
      </c>
      <c r="K40" s="132">
        <v>185.82</v>
      </c>
      <c r="L40" s="134">
        <v>5.34</v>
      </c>
      <c r="M40" s="130"/>
      <c r="N40" s="130"/>
      <c r="O40" s="130">
        <v>0</v>
      </c>
      <c r="P40" s="135">
        <v>0</v>
      </c>
      <c r="Q40" s="135">
        <v>0</v>
      </c>
      <c r="R40" s="135">
        <v>0</v>
      </c>
      <c r="S40" s="136">
        <v>1.78</v>
      </c>
      <c r="T40" s="130" t="s">
        <v>0</v>
      </c>
    </row>
    <row r="41" spans="2:20" ht="21" x14ac:dyDescent="0.25">
      <c r="B41" s="139">
        <v>1811475599</v>
      </c>
      <c r="C41" s="140" t="s">
        <v>58</v>
      </c>
      <c r="D41" s="17" t="str">
        <f>IFERROR(INDEX([1]Positions!$A:$A,MATCH(C41,[1]Positions!$C:$C,0)),"Other")</f>
        <v>Financial Services</v>
      </c>
      <c r="E41" s="77">
        <f t="shared" ca="1" si="0"/>
        <v>0.23566922472745036</v>
      </c>
      <c r="F41" s="77" t="b">
        <f t="shared" si="1"/>
        <v>1</v>
      </c>
      <c r="G41" s="139" t="s">
        <v>32</v>
      </c>
      <c r="H41" s="141">
        <v>0.72560000000000002</v>
      </c>
      <c r="I41" s="142">
        <v>45785.669720705999</v>
      </c>
      <c r="J41" s="141">
        <v>12.75</v>
      </c>
      <c r="K41" s="141">
        <v>13.35</v>
      </c>
      <c r="L41" s="143">
        <v>10.51</v>
      </c>
      <c r="M41" s="139"/>
      <c r="N41" s="139"/>
      <c r="O41" s="139">
        <v>0</v>
      </c>
      <c r="P41" s="144">
        <v>0</v>
      </c>
      <c r="Q41" s="144">
        <v>0</v>
      </c>
      <c r="R41" s="144">
        <v>0</v>
      </c>
      <c r="S41" s="148">
        <v>0.26</v>
      </c>
      <c r="T41" s="139" t="s">
        <v>0</v>
      </c>
    </row>
    <row r="42" spans="2:20" ht="21" x14ac:dyDescent="0.25">
      <c r="B42" s="130">
        <v>1666451221</v>
      </c>
      <c r="C42" s="131" t="s">
        <v>533</v>
      </c>
      <c r="D42" s="17" t="str">
        <f>IFERROR(INDEX([1]Positions!$A:$A,MATCH(C42,[1]Positions!$C:$C,0)),"Other")</f>
        <v>Energy &amp; Utilities</v>
      </c>
      <c r="E42" s="77">
        <f t="shared" ca="1" si="0"/>
        <v>2.7599149415602042</v>
      </c>
      <c r="F42" s="77" t="b">
        <f t="shared" si="1"/>
        <v>1</v>
      </c>
      <c r="G42" s="130" t="s">
        <v>32</v>
      </c>
      <c r="H42" s="132">
        <v>1E-4</v>
      </c>
      <c r="I42" s="133">
        <v>45708.6802263426</v>
      </c>
      <c r="J42" s="132">
        <v>43</v>
      </c>
      <c r="K42" s="132">
        <v>43.4</v>
      </c>
      <c r="L42" s="134">
        <v>0</v>
      </c>
      <c r="M42" s="130"/>
      <c r="N42" s="130"/>
      <c r="O42" s="130">
        <v>0</v>
      </c>
      <c r="P42" s="135">
        <v>0</v>
      </c>
      <c r="Q42" s="135">
        <v>0</v>
      </c>
      <c r="R42" s="135">
        <v>0</v>
      </c>
      <c r="S42" s="136">
        <v>0</v>
      </c>
      <c r="T42" s="130" t="s">
        <v>0</v>
      </c>
    </row>
    <row r="43" spans="2:20" x14ac:dyDescent="0.25">
      <c r="B43" s="139">
        <v>1648737122</v>
      </c>
      <c r="C43" s="140" t="s">
        <v>521</v>
      </c>
      <c r="D43" s="17" t="str">
        <f>IFERROR(INDEX([1]Positions!$A:$A,MATCH(C43,[1]Positions!$C:$C,0)),"Other")</f>
        <v>Technology</v>
      </c>
      <c r="E43" s="77">
        <f t="shared" ca="1" si="0"/>
        <v>3.1803748379635612</v>
      </c>
      <c r="F43" s="77" t="b">
        <f t="shared" si="1"/>
        <v>1</v>
      </c>
      <c r="G43" s="139" t="s">
        <v>32</v>
      </c>
      <c r="H43" s="141">
        <v>2.69E-2</v>
      </c>
      <c r="I43" s="142">
        <v>45695.856199502297</v>
      </c>
      <c r="J43" s="141">
        <v>408.33</v>
      </c>
      <c r="K43" s="141">
        <v>452.95</v>
      </c>
      <c r="L43" s="143">
        <v>10.98</v>
      </c>
      <c r="M43" s="139"/>
      <c r="N43" s="139"/>
      <c r="O43" s="139">
        <v>0</v>
      </c>
      <c r="P43" s="144">
        <v>0</v>
      </c>
      <c r="Q43" s="144">
        <v>0</v>
      </c>
      <c r="R43" s="144">
        <v>0</v>
      </c>
      <c r="S43" s="148">
        <v>1.2</v>
      </c>
      <c r="T43" s="139" t="s">
        <v>0</v>
      </c>
    </row>
    <row r="44" spans="2:20" ht="21" x14ac:dyDescent="0.25">
      <c r="B44" s="130">
        <v>1806980496</v>
      </c>
      <c r="C44" s="131" t="s">
        <v>539</v>
      </c>
      <c r="D44" s="17" t="str">
        <f>IFERROR(INDEX([1]Positions!$A:$A,MATCH(C44,[1]Positions!$C:$C,0)),"Other")</f>
        <v>Financial Services</v>
      </c>
      <c r="E44" s="77">
        <f t="shared" ca="1" si="0"/>
        <v>0.29592547624550386</v>
      </c>
      <c r="F44" s="77" t="b">
        <f t="shared" si="1"/>
        <v>1</v>
      </c>
      <c r="G44" s="130" t="s">
        <v>32</v>
      </c>
      <c r="H44" s="132">
        <v>1</v>
      </c>
      <c r="I44" s="133">
        <v>45783.831905034698</v>
      </c>
      <c r="J44" s="132">
        <v>16.12</v>
      </c>
      <c r="K44" s="132">
        <v>17.329999999999998</v>
      </c>
      <c r="L44" s="134">
        <v>16.12</v>
      </c>
      <c r="M44" s="130"/>
      <c r="N44" s="130"/>
      <c r="O44" s="130">
        <v>0</v>
      </c>
      <c r="P44" s="135">
        <v>0</v>
      </c>
      <c r="Q44" s="135">
        <v>0</v>
      </c>
      <c r="R44" s="135">
        <v>0</v>
      </c>
      <c r="S44" s="136">
        <v>1.21</v>
      </c>
      <c r="T44" s="130" t="s">
        <v>0</v>
      </c>
    </row>
    <row r="45" spans="2:20" ht="21" x14ac:dyDescent="0.25">
      <c r="B45" s="139">
        <v>1582714896</v>
      </c>
      <c r="C45" s="140" t="s">
        <v>538</v>
      </c>
      <c r="D45" s="17" t="str">
        <f>IFERROR(INDEX([1]Positions!$A:$A,MATCH(C45,[1]Positions!$C:$C,0)),"Other")</f>
        <v>Energy &amp; Utilities</v>
      </c>
      <c r="E45" s="77">
        <f t="shared" ca="1" si="0"/>
        <v>4.8185891613536453</v>
      </c>
      <c r="F45" s="77" t="b">
        <f t="shared" si="1"/>
        <v>1</v>
      </c>
      <c r="G45" s="139" t="s">
        <v>32</v>
      </c>
      <c r="H45" s="141">
        <v>0.48470000000000002</v>
      </c>
      <c r="I45" s="142">
        <v>45645.8906626389</v>
      </c>
      <c r="J45" s="141">
        <v>20.62</v>
      </c>
      <c r="K45" s="141">
        <v>17.739999999999998</v>
      </c>
      <c r="L45" s="143">
        <v>9.99</v>
      </c>
      <c r="M45" s="139"/>
      <c r="N45" s="139"/>
      <c r="O45" s="139">
        <v>0</v>
      </c>
      <c r="P45" s="144">
        <v>0</v>
      </c>
      <c r="Q45" s="144">
        <v>0</v>
      </c>
      <c r="R45" s="144">
        <v>0</v>
      </c>
      <c r="S45" s="145">
        <v>-1.39</v>
      </c>
      <c r="T45" s="139" t="s">
        <v>0</v>
      </c>
    </row>
    <row r="46" spans="2:20" x14ac:dyDescent="0.25">
      <c r="B46" s="130">
        <v>1499061783</v>
      </c>
      <c r="C46" s="131" t="s">
        <v>528</v>
      </c>
      <c r="D46" s="17" t="str">
        <f>IFERROR(INDEX([1]Positions!$A:$A,MATCH(C46,[1]Positions!$C:$C,0)),"Other")</f>
        <v>Technology</v>
      </c>
      <c r="E46" s="77">
        <f t="shared" ca="1" si="0"/>
        <v>6.8891037093963545</v>
      </c>
      <c r="F46" s="77" t="b">
        <f t="shared" si="1"/>
        <v>1</v>
      </c>
      <c r="G46" s="130" t="s">
        <v>32</v>
      </c>
      <c r="H46" s="132">
        <v>1E-4</v>
      </c>
      <c r="I46" s="133">
        <v>45582.739968923597</v>
      </c>
      <c r="J46" s="132">
        <v>232.2</v>
      </c>
      <c r="K46" s="132">
        <v>211.32</v>
      </c>
      <c r="L46" s="134">
        <v>0.02</v>
      </c>
      <c r="M46" s="130"/>
      <c r="N46" s="130"/>
      <c r="O46" s="130">
        <v>0</v>
      </c>
      <c r="P46" s="135">
        <v>0</v>
      </c>
      <c r="Q46" s="135">
        <v>0</v>
      </c>
      <c r="R46" s="135">
        <v>0</v>
      </c>
      <c r="S46" s="136">
        <v>0</v>
      </c>
      <c r="T46" s="130" t="s">
        <v>0</v>
      </c>
    </row>
    <row r="47" spans="2:20" x14ac:dyDescent="0.25">
      <c r="B47" s="139">
        <v>1825032062</v>
      </c>
      <c r="C47" s="140" t="s">
        <v>540</v>
      </c>
      <c r="D47" s="17" t="str">
        <f>IFERROR(INDEX([1]Positions!$A:$A,MATCH(C47,[1]Positions!$C:$C,0)),"Other")</f>
        <v>Healthcare</v>
      </c>
      <c r="E47" s="77">
        <f t="shared" ca="1" si="0"/>
        <v>3.1747119766030248E-3</v>
      </c>
      <c r="F47" s="77" t="b">
        <f t="shared" si="1"/>
        <v>1</v>
      </c>
      <c r="G47" s="139" t="s">
        <v>32</v>
      </c>
      <c r="H47" s="141">
        <v>0.35589999999999999</v>
      </c>
      <c r="I47" s="142">
        <v>45792.7608033449</v>
      </c>
      <c r="J47" s="141">
        <v>28.09</v>
      </c>
      <c r="K47" s="141">
        <v>28.25</v>
      </c>
      <c r="L47" s="143">
        <v>10</v>
      </c>
      <c r="M47" s="139"/>
      <c r="N47" s="139"/>
      <c r="O47" s="139">
        <v>0</v>
      </c>
      <c r="P47" s="144">
        <v>0</v>
      </c>
      <c r="Q47" s="144">
        <v>0</v>
      </c>
      <c r="R47" s="144">
        <v>0</v>
      </c>
      <c r="S47" s="148">
        <v>0.05</v>
      </c>
      <c r="T47" s="139" t="s">
        <v>0</v>
      </c>
    </row>
    <row r="48" spans="2:20" x14ac:dyDescent="0.25">
      <c r="B48" s="130">
        <v>1554742887</v>
      </c>
      <c r="C48" s="131" t="s">
        <v>513</v>
      </c>
      <c r="D48" s="17" t="str">
        <f>IFERROR(INDEX([1]Positions!$A:$A,MATCH(C48,[1]Positions!$C:$C,0)),"Other")</f>
        <v>Technology</v>
      </c>
      <c r="E48" s="77">
        <f t="shared" ca="1" si="0"/>
        <v>5.5445147848355996</v>
      </c>
      <c r="F48" s="77" t="b">
        <f t="shared" si="1"/>
        <v>1</v>
      </c>
      <c r="G48" s="130" t="s">
        <v>32</v>
      </c>
      <c r="H48" s="132">
        <v>8.4000000000000005E-2</v>
      </c>
      <c r="I48" s="133">
        <v>45623.7499311227</v>
      </c>
      <c r="J48" s="132">
        <v>178.48</v>
      </c>
      <c r="K48" s="132">
        <v>194.23</v>
      </c>
      <c r="L48" s="134">
        <v>14.99</v>
      </c>
      <c r="M48" s="130"/>
      <c r="N48" s="130"/>
      <c r="O48" s="130">
        <v>0</v>
      </c>
      <c r="P48" s="135">
        <v>0</v>
      </c>
      <c r="Q48" s="135">
        <v>0</v>
      </c>
      <c r="R48" s="135">
        <v>0</v>
      </c>
      <c r="S48" s="136">
        <v>1.33</v>
      </c>
      <c r="T48" s="130" t="s">
        <v>0</v>
      </c>
    </row>
    <row r="49" spans="2:20" ht="21" x14ac:dyDescent="0.25">
      <c r="B49" s="139">
        <v>1642762235</v>
      </c>
      <c r="C49" s="140" t="s">
        <v>541</v>
      </c>
      <c r="D49" s="17" t="str">
        <f>IFERROR(INDEX([1]Positions!$A:$A,MATCH(C49,[1]Positions!$C:$C,0)),"Other")</f>
        <v>Consumer Defensive</v>
      </c>
      <c r="E49" s="77">
        <f t="shared" ca="1" si="0"/>
        <v>3.2784100432618288</v>
      </c>
      <c r="F49" s="77" t="b">
        <f t="shared" si="1"/>
        <v>1</v>
      </c>
      <c r="G49" s="139" t="s">
        <v>32</v>
      </c>
      <c r="H49" s="141">
        <v>0.15720000000000001</v>
      </c>
      <c r="I49" s="142">
        <v>45692.8661257407</v>
      </c>
      <c r="J49" s="141">
        <v>127.16</v>
      </c>
      <c r="K49" s="141">
        <v>138.76</v>
      </c>
      <c r="L49" s="143">
        <v>19.989999999999998</v>
      </c>
      <c r="M49" s="139"/>
      <c r="N49" s="139"/>
      <c r="O49" s="139">
        <v>0</v>
      </c>
      <c r="P49" s="144">
        <v>0</v>
      </c>
      <c r="Q49" s="144">
        <v>0</v>
      </c>
      <c r="R49" s="144">
        <v>0</v>
      </c>
      <c r="S49" s="148">
        <v>1.82</v>
      </c>
      <c r="T49" s="139" t="s">
        <v>0</v>
      </c>
    </row>
    <row r="50" spans="2:20" x14ac:dyDescent="0.25">
      <c r="B50" s="130">
        <v>1680993370</v>
      </c>
      <c r="C50" s="131" t="s">
        <v>534</v>
      </c>
      <c r="D50" s="17" t="str">
        <f>IFERROR(INDEX([1]Positions!$A:$A,MATCH(C50,[1]Positions!$C:$C,0)),"Other")</f>
        <v>ETF</v>
      </c>
      <c r="E50" s="77">
        <f t="shared" ca="1" si="0"/>
        <v>2.4918440475109982</v>
      </c>
      <c r="F50" s="77" t="b">
        <f t="shared" si="1"/>
        <v>1</v>
      </c>
      <c r="G50" s="130" t="s">
        <v>32</v>
      </c>
      <c r="H50" s="132">
        <v>1</v>
      </c>
      <c r="I50" s="133">
        <v>45716.856388611101</v>
      </c>
      <c r="J50" s="132">
        <v>44.49</v>
      </c>
      <c r="K50" s="132">
        <v>47.69</v>
      </c>
      <c r="L50" s="134">
        <v>44.49</v>
      </c>
      <c r="M50" s="130"/>
      <c r="N50" s="130"/>
      <c r="O50" s="130">
        <v>0</v>
      </c>
      <c r="P50" s="135">
        <v>0</v>
      </c>
      <c r="Q50" s="135">
        <v>0</v>
      </c>
      <c r="R50" s="135">
        <v>0</v>
      </c>
      <c r="S50" s="136">
        <v>3.2</v>
      </c>
      <c r="T50" s="130" t="s">
        <v>0</v>
      </c>
    </row>
    <row r="51" spans="2:20" x14ac:dyDescent="0.25">
      <c r="B51" s="139">
        <v>1532661507</v>
      </c>
      <c r="C51" s="140" t="s">
        <v>513</v>
      </c>
      <c r="D51" s="17" t="str">
        <f>IFERROR(INDEX([1]Positions!$A:$A,MATCH(C51,[1]Positions!$C:$C,0)),"Other")</f>
        <v>Technology</v>
      </c>
      <c r="E51" s="77">
        <f t="shared" ca="1" si="0"/>
        <v>6.0365613437306376</v>
      </c>
      <c r="F51" s="77" t="b">
        <f t="shared" si="1"/>
        <v>1</v>
      </c>
      <c r="G51" s="139" t="s">
        <v>32</v>
      </c>
      <c r="H51" s="141">
        <v>6.8099999999999994E-2</v>
      </c>
      <c r="I51" s="142">
        <v>45608.742511076402</v>
      </c>
      <c r="J51" s="141">
        <v>190.67</v>
      </c>
      <c r="K51" s="141">
        <v>194.23</v>
      </c>
      <c r="L51" s="143">
        <v>12.98</v>
      </c>
      <c r="M51" s="139"/>
      <c r="N51" s="139"/>
      <c r="O51" s="139">
        <v>0</v>
      </c>
      <c r="P51" s="144">
        <v>0</v>
      </c>
      <c r="Q51" s="144">
        <v>0</v>
      </c>
      <c r="R51" s="144">
        <v>0</v>
      </c>
      <c r="S51" s="148">
        <v>0.25</v>
      </c>
      <c r="T51" s="139" t="s">
        <v>0</v>
      </c>
    </row>
    <row r="52" spans="2:20" x14ac:dyDescent="0.25">
      <c r="B52" s="130">
        <v>1744930699</v>
      </c>
      <c r="C52" s="131" t="s">
        <v>543</v>
      </c>
      <c r="D52" s="17" t="str">
        <f>IFERROR(INDEX([1]Positions!$A:$A,MATCH(C52,[1]Positions!$C:$C,0)),"Other")</f>
        <v>ETF</v>
      </c>
      <c r="E52" s="77">
        <f t="shared" ca="1" si="0"/>
        <v>1.3479437431700807</v>
      </c>
      <c r="F52" s="77" t="b">
        <f t="shared" si="1"/>
        <v>1</v>
      </c>
      <c r="G52" s="130" t="s">
        <v>32</v>
      </c>
      <c r="H52" s="132">
        <v>1</v>
      </c>
      <c r="I52" s="133">
        <v>45751.745347893499</v>
      </c>
      <c r="J52" s="132">
        <v>74.13</v>
      </c>
      <c r="K52" s="132">
        <v>72.42</v>
      </c>
      <c r="L52" s="134">
        <v>74.13</v>
      </c>
      <c r="M52" s="130"/>
      <c r="N52" s="130"/>
      <c r="O52" s="130">
        <v>0</v>
      </c>
      <c r="P52" s="135">
        <v>0</v>
      </c>
      <c r="Q52" s="135">
        <v>0</v>
      </c>
      <c r="R52" s="135">
        <v>0</v>
      </c>
      <c r="S52" s="147">
        <v>-1.71</v>
      </c>
      <c r="T52" s="130" t="s">
        <v>0</v>
      </c>
    </row>
    <row r="53" spans="2:20" ht="21" x14ac:dyDescent="0.25">
      <c r="B53" s="139">
        <v>1776193271</v>
      </c>
      <c r="C53" s="140" t="s">
        <v>539</v>
      </c>
      <c r="D53" s="17" t="str">
        <f>IFERROR(INDEX([1]Positions!$A:$A,MATCH(C53,[1]Positions!$C:$C,0)),"Other")</f>
        <v>Financial Services</v>
      </c>
      <c r="E53" s="77">
        <f t="shared" ca="1" si="0"/>
        <v>0.91813497875027972</v>
      </c>
      <c r="F53" s="77" t="b">
        <f t="shared" si="1"/>
        <v>1</v>
      </c>
      <c r="G53" s="139" t="s">
        <v>32</v>
      </c>
      <c r="H53" s="141">
        <v>0.6724</v>
      </c>
      <c r="I53" s="142">
        <v>45764.854515208302</v>
      </c>
      <c r="J53" s="141">
        <v>14.87</v>
      </c>
      <c r="K53" s="141">
        <v>17.329999999999998</v>
      </c>
      <c r="L53" s="143">
        <v>10</v>
      </c>
      <c r="M53" s="139"/>
      <c r="N53" s="139"/>
      <c r="O53" s="139">
        <v>0</v>
      </c>
      <c r="P53" s="144">
        <v>0</v>
      </c>
      <c r="Q53" s="144">
        <v>0</v>
      </c>
      <c r="R53" s="144">
        <v>0</v>
      </c>
      <c r="S53" s="148">
        <v>1.65</v>
      </c>
      <c r="T53" s="139" t="s">
        <v>0</v>
      </c>
    </row>
    <row r="54" spans="2:20" ht="21" x14ac:dyDescent="0.25">
      <c r="B54" s="130">
        <v>1461331124</v>
      </c>
      <c r="C54" s="131" t="s">
        <v>532</v>
      </c>
      <c r="D54" s="17" t="str">
        <f>IFERROR(INDEX([1]Positions!$A:$A,MATCH(C54,[1]Positions!$C:$C,0)),"Other")</f>
        <v>Consumer Defensive</v>
      </c>
      <c r="E54" s="77">
        <f t="shared" ca="1" si="0"/>
        <v>7.8427505138125957</v>
      </c>
      <c r="F54" s="77" t="b">
        <f t="shared" si="1"/>
        <v>1</v>
      </c>
      <c r="G54" s="130" t="s">
        <v>32</v>
      </c>
      <c r="H54" s="132">
        <v>0.39219999999999999</v>
      </c>
      <c r="I54" s="133">
        <v>45553.653741388902</v>
      </c>
      <c r="J54" s="132">
        <v>50.99</v>
      </c>
      <c r="K54" s="132">
        <v>57.94</v>
      </c>
      <c r="L54" s="134">
        <v>20</v>
      </c>
      <c r="M54" s="130"/>
      <c r="N54" s="130"/>
      <c r="O54" s="130">
        <v>0</v>
      </c>
      <c r="P54" s="135">
        <v>0</v>
      </c>
      <c r="Q54" s="135">
        <v>0</v>
      </c>
      <c r="R54" s="135">
        <v>0</v>
      </c>
      <c r="S54" s="136">
        <v>2.72</v>
      </c>
      <c r="T54" s="130" t="s">
        <v>0</v>
      </c>
    </row>
    <row r="55" spans="2:20" ht="21" x14ac:dyDescent="0.25">
      <c r="B55" s="139">
        <v>1712849726</v>
      </c>
      <c r="C55" s="140" t="s">
        <v>537</v>
      </c>
      <c r="D55" s="17" t="str">
        <f>IFERROR(INDEX([1]Positions!$A:$A,MATCH(C55,[1]Positions!$C:$C,0)),"Other")</f>
        <v>Energy &amp; Utilities</v>
      </c>
      <c r="E55" s="77">
        <f t="shared" ca="1" si="0"/>
        <v>1.9017291150585898</v>
      </c>
      <c r="F55" s="77" t="b">
        <f t="shared" si="1"/>
        <v>1</v>
      </c>
      <c r="G55" s="139" t="s">
        <v>32</v>
      </c>
      <c r="H55" s="141">
        <v>8.6099999999999996E-2</v>
      </c>
      <c r="I55" s="142">
        <v>45734.854894050899</v>
      </c>
      <c r="J55" s="141">
        <v>127.72</v>
      </c>
      <c r="K55" s="141">
        <v>185.82</v>
      </c>
      <c r="L55" s="143">
        <v>11</v>
      </c>
      <c r="M55" s="139"/>
      <c r="N55" s="139"/>
      <c r="O55" s="139">
        <v>0</v>
      </c>
      <c r="P55" s="144">
        <v>0</v>
      </c>
      <c r="Q55" s="144">
        <v>0</v>
      </c>
      <c r="R55" s="144">
        <v>0</v>
      </c>
      <c r="S55" s="148">
        <v>5</v>
      </c>
      <c r="T55" s="139" t="s">
        <v>0</v>
      </c>
    </row>
    <row r="56" spans="2:20" ht="21" x14ac:dyDescent="0.25">
      <c r="B56" s="130">
        <v>1806977521</v>
      </c>
      <c r="C56" s="131" t="s">
        <v>542</v>
      </c>
      <c r="D56" s="17" t="str">
        <f>IFERROR(INDEX([1]Positions!$A:$A,MATCH(C56,[1]Positions!$C:$C,0)),"Other")</f>
        <v>Energy &amp; Utilities</v>
      </c>
      <c r="E56" s="77">
        <f t="shared" ca="1" si="0"/>
        <v>0.29596908242259456</v>
      </c>
      <c r="F56" s="77" t="b">
        <f t="shared" si="1"/>
        <v>1</v>
      </c>
      <c r="G56" s="130" t="s">
        <v>32</v>
      </c>
      <c r="H56" s="132">
        <v>0.3367</v>
      </c>
      <c r="I56" s="133">
        <v>45783.830575046297</v>
      </c>
      <c r="J56" s="132">
        <v>29.7</v>
      </c>
      <c r="K56" s="132">
        <v>35.67</v>
      </c>
      <c r="L56" s="134">
        <v>10</v>
      </c>
      <c r="M56" s="130"/>
      <c r="N56" s="130"/>
      <c r="O56" s="130">
        <v>0</v>
      </c>
      <c r="P56" s="135">
        <v>0</v>
      </c>
      <c r="Q56" s="135">
        <v>0</v>
      </c>
      <c r="R56" s="135">
        <v>0</v>
      </c>
      <c r="S56" s="136">
        <v>2.0099999999999998</v>
      </c>
      <c r="T56" s="130" t="s">
        <v>0</v>
      </c>
    </row>
    <row r="57" spans="2:20" ht="21" x14ac:dyDescent="0.25">
      <c r="B57" s="139">
        <v>1666461140</v>
      </c>
      <c r="C57" s="140" t="s">
        <v>542</v>
      </c>
      <c r="D57" s="17" t="str">
        <f>IFERROR(INDEX([1]Positions!$A:$A,MATCH(C57,[1]Positions!$C:$C,0)),"Other")</f>
        <v>Energy &amp; Utilities</v>
      </c>
      <c r="E57" s="77">
        <f t="shared" ca="1" si="0"/>
        <v>2.7598544634193027</v>
      </c>
      <c r="F57" s="77" t="b">
        <f t="shared" si="1"/>
        <v>1</v>
      </c>
      <c r="G57" s="139" t="s">
        <v>32</v>
      </c>
      <c r="H57" s="141">
        <v>0.2651</v>
      </c>
      <c r="I57" s="142">
        <v>45708.682070925897</v>
      </c>
      <c r="J57" s="141">
        <v>37.700000000000003</v>
      </c>
      <c r="K57" s="141">
        <v>35.67</v>
      </c>
      <c r="L57" s="143">
        <v>9.99</v>
      </c>
      <c r="M57" s="139"/>
      <c r="N57" s="139"/>
      <c r="O57" s="139">
        <v>0</v>
      </c>
      <c r="P57" s="144">
        <v>0</v>
      </c>
      <c r="Q57" s="144">
        <v>0</v>
      </c>
      <c r="R57" s="144">
        <v>0</v>
      </c>
      <c r="S57" s="145">
        <v>-0.53</v>
      </c>
      <c r="T57" s="139" t="s">
        <v>0</v>
      </c>
    </row>
    <row r="58" spans="2:20" x14ac:dyDescent="0.25">
      <c r="B58" s="130">
        <v>1648740228</v>
      </c>
      <c r="C58" s="131" t="s">
        <v>517</v>
      </c>
      <c r="D58" s="17" t="str">
        <f>IFERROR(INDEX([1]Positions!$A:$A,MATCH(C58,[1]Positions!$C:$C,0)),"Other")</f>
        <v>Technology</v>
      </c>
      <c r="E58" s="77">
        <f t="shared" ca="1" si="0"/>
        <v>3.18031829424879</v>
      </c>
      <c r="F58" s="77" t="b">
        <f t="shared" si="1"/>
        <v>1</v>
      </c>
      <c r="G58" s="130" t="s">
        <v>32</v>
      </c>
      <c r="H58" s="132">
        <v>5.3800000000000001E-2</v>
      </c>
      <c r="I58" s="133">
        <v>45695.857924085598</v>
      </c>
      <c r="J58" s="132">
        <v>185.82</v>
      </c>
      <c r="K58" s="132">
        <v>163.94</v>
      </c>
      <c r="L58" s="134">
        <v>10</v>
      </c>
      <c r="M58" s="130"/>
      <c r="N58" s="130"/>
      <c r="O58" s="130">
        <v>0</v>
      </c>
      <c r="P58" s="135">
        <v>0</v>
      </c>
      <c r="Q58" s="135">
        <v>0</v>
      </c>
      <c r="R58" s="135">
        <v>0</v>
      </c>
      <c r="S58" s="147">
        <v>-1.18</v>
      </c>
      <c r="T58" s="130" t="s">
        <v>0</v>
      </c>
    </row>
    <row r="59" spans="2:20" ht="21" x14ac:dyDescent="0.25">
      <c r="B59" s="139">
        <v>1806980482</v>
      </c>
      <c r="C59" s="140" t="s">
        <v>539</v>
      </c>
      <c r="D59" s="17" t="str">
        <f>IFERROR(INDEX([1]Positions!$A:$A,MATCH(C59,[1]Positions!$C:$C,0)),"Other")</f>
        <v>Financial Services</v>
      </c>
      <c r="E59" s="77">
        <f t="shared" ca="1" si="0"/>
        <v>0.29592576806173948</v>
      </c>
      <c r="F59" s="77" t="b">
        <f t="shared" si="1"/>
        <v>1</v>
      </c>
      <c r="G59" s="139" t="s">
        <v>32</v>
      </c>
      <c r="H59" s="141">
        <v>0.24060000000000001</v>
      </c>
      <c r="I59" s="142">
        <v>45783.831896134303</v>
      </c>
      <c r="J59" s="141">
        <v>16.12</v>
      </c>
      <c r="K59" s="141">
        <v>17.329999999999998</v>
      </c>
      <c r="L59" s="143">
        <v>3.88</v>
      </c>
      <c r="M59" s="139"/>
      <c r="N59" s="139"/>
      <c r="O59" s="139">
        <v>0</v>
      </c>
      <c r="P59" s="144">
        <v>0</v>
      </c>
      <c r="Q59" s="144">
        <v>0</v>
      </c>
      <c r="R59" s="144">
        <v>0</v>
      </c>
      <c r="S59" s="148">
        <v>0.28999999999999998</v>
      </c>
      <c r="T59" s="139" t="s">
        <v>0</v>
      </c>
    </row>
    <row r="60" spans="2:20" x14ac:dyDescent="0.25">
      <c r="B60" s="130">
        <v>1594315903</v>
      </c>
      <c r="C60" s="131" t="s">
        <v>59</v>
      </c>
      <c r="D60" s="17" t="str">
        <f>IFERROR(INDEX([1]Positions!$A:$A,MATCH(C60,[1]Positions!$C:$C,0)),"Other")</f>
        <v>ETF</v>
      </c>
      <c r="E60" s="77">
        <f t="shared" ca="1" si="0"/>
        <v>4.3747929356420663</v>
      </c>
      <c r="F60" s="77" t="b">
        <f t="shared" si="1"/>
        <v>1</v>
      </c>
      <c r="G60" s="130" t="s">
        <v>32</v>
      </c>
      <c r="H60" s="132">
        <v>1</v>
      </c>
      <c r="I60" s="133">
        <v>45659.426447523103</v>
      </c>
      <c r="J60" s="132">
        <v>16.425000000000001</v>
      </c>
      <c r="K60" s="132">
        <v>16.065999999999999</v>
      </c>
      <c r="L60" s="134">
        <v>17.11</v>
      </c>
      <c r="M60" s="130"/>
      <c r="N60" s="130"/>
      <c r="O60" s="130">
        <v>0</v>
      </c>
      <c r="P60" s="135">
        <v>0</v>
      </c>
      <c r="Q60" s="135">
        <v>0</v>
      </c>
      <c r="R60" s="135">
        <v>0</v>
      </c>
      <c r="S60" s="136">
        <v>0.76</v>
      </c>
      <c r="T60" s="130" t="s">
        <v>0</v>
      </c>
    </row>
    <row r="61" spans="2:20" ht="21" x14ac:dyDescent="0.25">
      <c r="B61" s="139">
        <v>1666459270</v>
      </c>
      <c r="C61" s="140" t="s">
        <v>529</v>
      </c>
      <c r="D61" s="17" t="str">
        <f>IFERROR(INDEX([1]Positions!$A:$A,MATCH(C61,[1]Positions!$C:$C,0)),"Other")</f>
        <v>Financial Services</v>
      </c>
      <c r="E61" s="77">
        <f t="shared" ca="1" si="0"/>
        <v>2.7598677625995105</v>
      </c>
      <c r="F61" s="77" t="b">
        <f t="shared" si="1"/>
        <v>1</v>
      </c>
      <c r="G61" s="139" t="s">
        <v>32</v>
      </c>
      <c r="H61" s="141">
        <v>1</v>
      </c>
      <c r="I61" s="142">
        <v>45708.681665300901</v>
      </c>
      <c r="J61" s="141">
        <v>17.18</v>
      </c>
      <c r="K61" s="141">
        <v>21.1</v>
      </c>
      <c r="L61" s="143">
        <v>17.18</v>
      </c>
      <c r="M61" s="139"/>
      <c r="N61" s="139"/>
      <c r="O61" s="139">
        <v>0</v>
      </c>
      <c r="P61" s="144">
        <v>0</v>
      </c>
      <c r="Q61" s="144">
        <v>0</v>
      </c>
      <c r="R61" s="144">
        <v>0</v>
      </c>
      <c r="S61" s="148">
        <v>3.92</v>
      </c>
      <c r="T61" s="139" t="s">
        <v>0</v>
      </c>
    </row>
    <row r="62" spans="2:20" ht="21" x14ac:dyDescent="0.25">
      <c r="B62" s="130">
        <v>1559802942</v>
      </c>
      <c r="C62" s="131" t="s">
        <v>516</v>
      </c>
      <c r="D62" s="17" t="str">
        <f>IFERROR(INDEX([1]Positions!$A:$A,MATCH(C62,[1]Positions!$C:$C,0)),"Other")</f>
        <v>Energy &amp; Utilities</v>
      </c>
      <c r="E62" s="77">
        <f t="shared" ca="1" si="0"/>
        <v>5.3769947715536848</v>
      </c>
      <c r="F62" s="77" t="b">
        <f t="shared" si="1"/>
        <v>1</v>
      </c>
      <c r="G62" s="130" t="s">
        <v>32</v>
      </c>
      <c r="H62" s="132">
        <v>0.25850000000000001</v>
      </c>
      <c r="I62" s="133">
        <v>45628.859291527799</v>
      </c>
      <c r="J62" s="132">
        <v>77.349999999999994</v>
      </c>
      <c r="K62" s="132">
        <v>74.56</v>
      </c>
      <c r="L62" s="134">
        <v>19.989999999999998</v>
      </c>
      <c r="M62" s="130"/>
      <c r="N62" s="130"/>
      <c r="O62" s="130">
        <v>0</v>
      </c>
      <c r="P62" s="135">
        <v>0</v>
      </c>
      <c r="Q62" s="135">
        <v>0</v>
      </c>
      <c r="R62" s="135">
        <v>0</v>
      </c>
      <c r="S62" s="147">
        <v>-0.72</v>
      </c>
      <c r="T62" s="130" t="s">
        <v>0</v>
      </c>
    </row>
    <row r="63" spans="2:20" ht="21" x14ac:dyDescent="0.25">
      <c r="B63" s="139">
        <v>1644788775</v>
      </c>
      <c r="C63" s="140" t="s">
        <v>508</v>
      </c>
      <c r="D63" s="17" t="str">
        <f>IFERROR(INDEX([1]Positions!$A:$A,MATCH(C63,[1]Positions!$C:$C,0)),"Other")</f>
        <v>Consumer Defensive</v>
      </c>
      <c r="E63" s="77">
        <f t="shared" ca="1" si="0"/>
        <v>3.2461212507602242</v>
      </c>
      <c r="F63" s="77" t="b">
        <f t="shared" si="1"/>
        <v>1</v>
      </c>
      <c r="G63" s="139" t="s">
        <v>32</v>
      </c>
      <c r="H63" s="141">
        <v>7.5800000000000006E-2</v>
      </c>
      <c r="I63" s="142">
        <v>45693.850933911999</v>
      </c>
      <c r="J63" s="141">
        <v>144.94</v>
      </c>
      <c r="K63" s="141">
        <v>131.47999999999999</v>
      </c>
      <c r="L63" s="143">
        <v>10.99</v>
      </c>
      <c r="M63" s="139"/>
      <c r="N63" s="139"/>
      <c r="O63" s="139">
        <v>0</v>
      </c>
      <c r="P63" s="144">
        <v>0</v>
      </c>
      <c r="Q63" s="144">
        <v>0</v>
      </c>
      <c r="R63" s="144">
        <v>0</v>
      </c>
      <c r="S63" s="145">
        <v>-1.02</v>
      </c>
      <c r="T63" s="139" t="s">
        <v>0</v>
      </c>
    </row>
    <row r="64" spans="2:20" ht="21" x14ac:dyDescent="0.25">
      <c r="B64" s="130">
        <v>1680994777</v>
      </c>
      <c r="C64" s="131" t="s">
        <v>538</v>
      </c>
      <c r="D64" s="17" t="str">
        <f>IFERROR(INDEX([1]Positions!$A:$A,MATCH(C64,[1]Positions!$C:$C,0)),"Other")</f>
        <v>Energy &amp; Utilities</v>
      </c>
      <c r="E64" s="77">
        <f t="shared" ca="1" si="0"/>
        <v>2.4918222396782901</v>
      </c>
      <c r="F64" s="77" t="b">
        <f t="shared" si="1"/>
        <v>1</v>
      </c>
      <c r="G64" s="130" t="s">
        <v>32</v>
      </c>
      <c r="H64" s="132">
        <v>0.7278</v>
      </c>
      <c r="I64" s="133">
        <v>45716.857053749998</v>
      </c>
      <c r="J64" s="132">
        <v>20.6</v>
      </c>
      <c r="K64" s="132">
        <v>17.739999999999998</v>
      </c>
      <c r="L64" s="134">
        <v>14.99</v>
      </c>
      <c r="M64" s="130"/>
      <c r="N64" s="130"/>
      <c r="O64" s="130">
        <v>0</v>
      </c>
      <c r="P64" s="135">
        <v>0</v>
      </c>
      <c r="Q64" s="135">
        <v>0</v>
      </c>
      <c r="R64" s="135">
        <v>0</v>
      </c>
      <c r="S64" s="147">
        <v>-2.08</v>
      </c>
      <c r="T64" s="130" t="s">
        <v>0</v>
      </c>
    </row>
    <row r="65" spans="2:20" ht="21" x14ac:dyDescent="0.25">
      <c r="B65" s="139">
        <v>1517510856</v>
      </c>
      <c r="C65" s="140" t="s">
        <v>508</v>
      </c>
      <c r="D65" s="17" t="str">
        <f>IFERROR(INDEX([1]Positions!$A:$A,MATCH(C65,[1]Positions!$C:$C,0)),"Other")</f>
        <v>Consumer Defensive</v>
      </c>
      <c r="E65" s="77">
        <f t="shared" ca="1" si="0"/>
        <v>6.4015568381897747</v>
      </c>
      <c r="F65" s="77" t="b">
        <f t="shared" si="1"/>
        <v>1</v>
      </c>
      <c r="G65" s="139" t="s">
        <v>32</v>
      </c>
      <c r="H65" s="141">
        <v>6.0199999999999997E-2</v>
      </c>
      <c r="I65" s="142">
        <v>45597.610148495398</v>
      </c>
      <c r="J65" s="141">
        <v>166.03</v>
      </c>
      <c r="K65" s="141">
        <v>131.47999999999999</v>
      </c>
      <c r="L65" s="143">
        <v>10</v>
      </c>
      <c r="M65" s="139"/>
      <c r="N65" s="139"/>
      <c r="O65" s="139">
        <v>0</v>
      </c>
      <c r="P65" s="144">
        <v>0</v>
      </c>
      <c r="Q65" s="144">
        <v>0</v>
      </c>
      <c r="R65" s="144">
        <v>0</v>
      </c>
      <c r="S65" s="145">
        <v>-2.08</v>
      </c>
      <c r="T65" s="139" t="s">
        <v>0</v>
      </c>
    </row>
    <row r="66" spans="2:20" ht="21" x14ac:dyDescent="0.25">
      <c r="B66" s="130">
        <v>1563288050</v>
      </c>
      <c r="C66" s="131" t="s">
        <v>508</v>
      </c>
      <c r="D66" s="17" t="str">
        <f>IFERROR(INDEX([1]Positions!$A:$A,MATCH(C66,[1]Positions!$C:$C,0)),"Other")</f>
        <v>Consumer Defensive</v>
      </c>
      <c r="E66" s="77">
        <f t="shared" ca="1" si="0"/>
        <v>5.3115343533699173</v>
      </c>
      <c r="F66" s="77" t="b">
        <f t="shared" si="1"/>
        <v>1</v>
      </c>
      <c r="G66" s="130" t="s">
        <v>32</v>
      </c>
      <c r="H66" s="132">
        <v>6.2600000000000003E-2</v>
      </c>
      <c r="I66" s="133">
        <v>45630.855834282404</v>
      </c>
      <c r="J66" s="132">
        <v>159.74</v>
      </c>
      <c r="K66" s="132">
        <v>131.47999999999999</v>
      </c>
      <c r="L66" s="134">
        <v>10</v>
      </c>
      <c r="M66" s="130"/>
      <c r="N66" s="130"/>
      <c r="O66" s="130">
        <v>0</v>
      </c>
      <c r="P66" s="135">
        <v>0</v>
      </c>
      <c r="Q66" s="135">
        <v>0</v>
      </c>
      <c r="R66" s="135">
        <v>0</v>
      </c>
      <c r="S66" s="147">
        <v>-1.77</v>
      </c>
      <c r="T66" s="130" t="s">
        <v>0</v>
      </c>
    </row>
    <row r="67" spans="2:20" x14ac:dyDescent="0.25">
      <c r="B67" s="139">
        <v>1744879358</v>
      </c>
      <c r="C67" s="140" t="s">
        <v>513</v>
      </c>
      <c r="D67" s="17" t="str">
        <f>IFERROR(INDEX([1]Positions!$A:$A,MATCH(C67,[1]Positions!$C:$C,0)),"Other")</f>
        <v>Technology</v>
      </c>
      <c r="E67" s="77">
        <f t="shared" ca="1" si="0"/>
        <v>1.3481433655898236</v>
      </c>
      <c r="F67" s="77" t="b">
        <f t="shared" si="1"/>
        <v>1</v>
      </c>
      <c r="G67" s="139" t="s">
        <v>32</v>
      </c>
      <c r="H67" s="141">
        <v>0.27010000000000001</v>
      </c>
      <c r="I67" s="142">
        <v>45751.739259409696</v>
      </c>
      <c r="J67" s="141">
        <v>148.09</v>
      </c>
      <c r="K67" s="141">
        <v>194.23</v>
      </c>
      <c r="L67" s="143">
        <v>40</v>
      </c>
      <c r="M67" s="139"/>
      <c r="N67" s="139"/>
      <c r="O67" s="139">
        <v>0</v>
      </c>
      <c r="P67" s="144">
        <v>0</v>
      </c>
      <c r="Q67" s="144">
        <v>0</v>
      </c>
      <c r="R67" s="144">
        <v>0</v>
      </c>
      <c r="S67" s="148">
        <v>12.46</v>
      </c>
      <c r="T67" s="139" t="s">
        <v>0</v>
      </c>
    </row>
    <row r="68" spans="2:20" ht="21" x14ac:dyDescent="0.25">
      <c r="B68" s="130">
        <v>1817256440</v>
      </c>
      <c r="C68" s="131" t="s">
        <v>533</v>
      </c>
      <c r="D68" s="17" t="str">
        <f>IFERROR(INDEX([1]Positions!$A:$A,MATCH(C68,[1]Positions!$C:$C,0)),"Other")</f>
        <v>Energy &amp; Utilities</v>
      </c>
      <c r="E68" s="77">
        <f t="shared" ca="1" si="0"/>
        <v>0.10523806238636664</v>
      </c>
      <c r="F68" s="77" t="b">
        <f t="shared" si="1"/>
        <v>1</v>
      </c>
      <c r="G68" s="130" t="s">
        <v>32</v>
      </c>
      <c r="H68" s="132">
        <v>0.22670000000000001</v>
      </c>
      <c r="I68" s="133">
        <v>45789.647871157402</v>
      </c>
      <c r="J68" s="132">
        <v>44.1</v>
      </c>
      <c r="K68" s="132">
        <v>43.4</v>
      </c>
      <c r="L68" s="134">
        <v>10</v>
      </c>
      <c r="M68" s="130"/>
      <c r="N68" s="130"/>
      <c r="O68" s="130">
        <v>0</v>
      </c>
      <c r="P68" s="135">
        <v>0</v>
      </c>
      <c r="Q68" s="135">
        <v>0</v>
      </c>
      <c r="R68" s="135">
        <v>0</v>
      </c>
      <c r="S68" s="147">
        <v>-0.16</v>
      </c>
      <c r="T68" s="130" t="s">
        <v>0</v>
      </c>
    </row>
    <row r="69" spans="2:20" ht="21" x14ac:dyDescent="0.25">
      <c r="B69" s="139">
        <v>1635194117</v>
      </c>
      <c r="C69" s="140" t="s">
        <v>542</v>
      </c>
      <c r="D69" s="17" t="str">
        <f>IFERROR(INDEX([1]Positions!$A:$A,MATCH(C69,[1]Positions!$C:$C,0)),"Other")</f>
        <v>Energy &amp; Utilities</v>
      </c>
      <c r="E69" s="77">
        <f t="shared" ca="1" si="0"/>
        <v>3.4427982665437127</v>
      </c>
      <c r="F69" s="77" t="b">
        <f t="shared" si="1"/>
        <v>1</v>
      </c>
      <c r="G69" s="139" t="s">
        <v>32</v>
      </c>
      <c r="H69" s="141">
        <v>0.24790000000000001</v>
      </c>
      <c r="I69" s="142">
        <v>45687.852284930603</v>
      </c>
      <c r="J69" s="141">
        <v>40.33</v>
      </c>
      <c r="K69" s="141">
        <v>35.67</v>
      </c>
      <c r="L69" s="143">
        <v>10</v>
      </c>
      <c r="M69" s="139"/>
      <c r="N69" s="139"/>
      <c r="O69" s="139">
        <v>0</v>
      </c>
      <c r="P69" s="144">
        <v>0</v>
      </c>
      <c r="Q69" s="144">
        <v>0</v>
      </c>
      <c r="R69" s="144">
        <v>0</v>
      </c>
      <c r="S69" s="145">
        <v>-1.1599999999999999</v>
      </c>
      <c r="T69" s="139" t="s">
        <v>0</v>
      </c>
    </row>
    <row r="70" spans="2:20" ht="21" x14ac:dyDescent="0.25">
      <c r="B70" s="130">
        <v>1811475646</v>
      </c>
      <c r="C70" s="131" t="s">
        <v>58</v>
      </c>
      <c r="D70" s="17" t="str">
        <f>IFERROR(INDEX([1]Positions!$A:$A,MATCH(C70,[1]Positions!$C:$C,0)),"Other")</f>
        <v>Financial Services</v>
      </c>
      <c r="E70" s="77">
        <f t="shared" ca="1" si="0"/>
        <v>0.23566871205202616</v>
      </c>
      <c r="F70" s="77" t="b">
        <f t="shared" si="1"/>
        <v>1</v>
      </c>
      <c r="G70" s="130" t="s">
        <v>32</v>
      </c>
      <c r="H70" s="132">
        <v>1</v>
      </c>
      <c r="I70" s="133">
        <v>45785.669736342599</v>
      </c>
      <c r="J70" s="132">
        <v>12.75</v>
      </c>
      <c r="K70" s="132">
        <v>13.35</v>
      </c>
      <c r="L70" s="134">
        <v>14.49</v>
      </c>
      <c r="M70" s="130"/>
      <c r="N70" s="130"/>
      <c r="O70" s="130">
        <v>0</v>
      </c>
      <c r="P70" s="135">
        <v>0</v>
      </c>
      <c r="Q70" s="135">
        <v>0</v>
      </c>
      <c r="R70" s="135">
        <v>0</v>
      </c>
      <c r="S70" s="136">
        <v>0.36</v>
      </c>
      <c r="T70" s="130" t="s">
        <v>0</v>
      </c>
    </row>
    <row r="71" spans="2:20" ht="21" x14ac:dyDescent="0.25">
      <c r="B71" s="139">
        <v>1796453499</v>
      </c>
      <c r="C71" s="140" t="s">
        <v>539</v>
      </c>
      <c r="D71" s="17" t="str">
        <f>IFERROR(INDEX([1]Positions!$A:$A,MATCH(C71,[1]Positions!$C:$C,0)),"Other")</f>
        <v>Financial Services</v>
      </c>
      <c r="E71" s="77">
        <f t="shared" ca="1" si="0"/>
        <v>0.49871966454055405</v>
      </c>
      <c r="F71" s="77" t="b">
        <f t="shared" si="1"/>
        <v>1</v>
      </c>
      <c r="G71" s="139" t="s">
        <v>32</v>
      </c>
      <c r="H71" s="141">
        <v>0.64219999999999999</v>
      </c>
      <c r="I71" s="142">
        <v>45777.646682291699</v>
      </c>
      <c r="J71" s="141">
        <v>15.57</v>
      </c>
      <c r="K71" s="141">
        <v>17.329999999999998</v>
      </c>
      <c r="L71" s="143">
        <v>10</v>
      </c>
      <c r="M71" s="139"/>
      <c r="N71" s="139"/>
      <c r="O71" s="139">
        <v>0</v>
      </c>
      <c r="P71" s="144">
        <v>0</v>
      </c>
      <c r="Q71" s="144">
        <v>0</v>
      </c>
      <c r="R71" s="144">
        <v>0</v>
      </c>
      <c r="S71" s="148">
        <v>1.1299999999999999</v>
      </c>
      <c r="T71" s="139" t="s">
        <v>0</v>
      </c>
    </row>
    <row r="72" spans="2:20" ht="21" x14ac:dyDescent="0.25">
      <c r="B72" s="130">
        <v>1824476420</v>
      </c>
      <c r="C72" s="131" t="s">
        <v>508</v>
      </c>
      <c r="D72" s="17" t="str">
        <f>IFERROR(INDEX([1]Positions!$A:$A,MATCH(C72,[1]Positions!$C:$C,0)),"Other")</f>
        <v>Consumer Defensive</v>
      </c>
      <c r="E72" s="77">
        <f t="shared" ca="1" si="0"/>
        <v>6.9013304486450905E-3</v>
      </c>
      <c r="F72" s="77" t="b">
        <f t="shared" si="1"/>
        <v>1</v>
      </c>
      <c r="G72" s="130" t="s">
        <v>32</v>
      </c>
      <c r="H72" s="132">
        <v>0.15479999999999999</v>
      </c>
      <c r="I72" s="133">
        <v>45792.647141481502</v>
      </c>
      <c r="J72" s="132">
        <v>129.16999999999999</v>
      </c>
      <c r="K72" s="132">
        <v>131.47999999999999</v>
      </c>
      <c r="L72" s="134">
        <v>20</v>
      </c>
      <c r="M72" s="130"/>
      <c r="N72" s="130"/>
      <c r="O72" s="130">
        <v>0</v>
      </c>
      <c r="P72" s="135">
        <v>0</v>
      </c>
      <c r="Q72" s="135">
        <v>0</v>
      </c>
      <c r="R72" s="135">
        <v>0</v>
      </c>
      <c r="S72" s="136">
        <v>0.35</v>
      </c>
      <c r="T72" s="130" t="s">
        <v>0</v>
      </c>
    </row>
    <row r="73" spans="2:20" ht="21" x14ac:dyDescent="0.25">
      <c r="B73" s="139">
        <v>1582735114</v>
      </c>
      <c r="C73" s="140" t="s">
        <v>527</v>
      </c>
      <c r="D73" s="17" t="str">
        <f>IFERROR(INDEX([1]Positions!$A:$A,MATCH(C73,[1]Positions!$C:$C,0)),"Other")</f>
        <v>Consumer Cyclical</v>
      </c>
      <c r="E73" s="77">
        <f t="shared" ca="1" si="0"/>
        <v>4.8182578369766116</v>
      </c>
      <c r="F73" s="77" t="b">
        <f t="shared" si="1"/>
        <v>1</v>
      </c>
      <c r="G73" s="139" t="s">
        <v>32</v>
      </c>
      <c r="H73" s="141">
        <v>2.9999999999999997E-4</v>
      </c>
      <c r="I73" s="142">
        <v>45645.900768032399</v>
      </c>
      <c r="J73" s="141">
        <v>130.51</v>
      </c>
      <c r="K73" s="141">
        <v>146.97</v>
      </c>
      <c r="L73" s="143">
        <v>0.04</v>
      </c>
      <c r="M73" s="139"/>
      <c r="N73" s="139"/>
      <c r="O73" s="139">
        <v>0</v>
      </c>
      <c r="P73" s="144">
        <v>0</v>
      </c>
      <c r="Q73" s="144">
        <v>0</v>
      </c>
      <c r="R73" s="144">
        <v>0</v>
      </c>
      <c r="S73" s="148">
        <v>0</v>
      </c>
      <c r="T73" s="139" t="s">
        <v>0</v>
      </c>
    </row>
    <row r="74" spans="2:20" x14ac:dyDescent="0.25">
      <c r="B74" s="130">
        <v>1680991980</v>
      </c>
      <c r="C74" s="131" t="s">
        <v>513</v>
      </c>
      <c r="D74" s="17" t="str">
        <f>IFERROR(INDEX([1]Positions!$A:$A,MATCH(C74,[1]Positions!$C:$C,0)),"Other")</f>
        <v>Technology</v>
      </c>
      <c r="E74" s="77">
        <f t="shared" ca="1" si="0"/>
        <v>2.4918678646781252</v>
      </c>
      <c r="F74" s="77" t="b">
        <f t="shared" si="1"/>
        <v>1</v>
      </c>
      <c r="G74" s="130" t="s">
        <v>32</v>
      </c>
      <c r="H74" s="132">
        <v>0.1958</v>
      </c>
      <c r="I74" s="133">
        <v>45716.855662187503</v>
      </c>
      <c r="J74" s="132">
        <v>178.67</v>
      </c>
      <c r="K74" s="132">
        <v>194.23</v>
      </c>
      <c r="L74" s="134">
        <v>34.979999999999997</v>
      </c>
      <c r="M74" s="130"/>
      <c r="N74" s="130"/>
      <c r="O74" s="130">
        <v>0</v>
      </c>
      <c r="P74" s="135">
        <v>0</v>
      </c>
      <c r="Q74" s="135">
        <v>0</v>
      </c>
      <c r="R74" s="135">
        <v>0</v>
      </c>
      <c r="S74" s="136">
        <v>3.05</v>
      </c>
      <c r="T74" s="130" t="s">
        <v>0</v>
      </c>
    </row>
    <row r="75" spans="2:20" ht="21" x14ac:dyDescent="0.25">
      <c r="B75" s="139">
        <v>1414752069</v>
      </c>
      <c r="C75" s="140" t="s">
        <v>516</v>
      </c>
      <c r="D75" s="17" t="str">
        <f>IFERROR(INDEX([1]Positions!$A:$A,MATCH(C75,[1]Positions!$C:$C,0)),"Other")</f>
        <v>Energy &amp; Utilities</v>
      </c>
      <c r="E75" s="77">
        <f t="shared" ca="1" si="0"/>
        <v>9.2130209877798386</v>
      </c>
      <c r="F75" s="77" t="b">
        <f t="shared" si="1"/>
        <v>1</v>
      </c>
      <c r="G75" s="139" t="s">
        <v>32</v>
      </c>
      <c r="H75" s="141">
        <v>0.1933</v>
      </c>
      <c r="I75" s="142">
        <v>45511.860491932901</v>
      </c>
      <c r="J75" s="141">
        <v>77.53</v>
      </c>
      <c r="K75" s="141">
        <v>74.56</v>
      </c>
      <c r="L75" s="143">
        <v>14.99</v>
      </c>
      <c r="M75" s="139"/>
      <c r="N75" s="139"/>
      <c r="O75" s="139">
        <v>0</v>
      </c>
      <c r="P75" s="144">
        <v>0</v>
      </c>
      <c r="Q75" s="144">
        <v>0</v>
      </c>
      <c r="R75" s="144">
        <v>0</v>
      </c>
      <c r="S75" s="145">
        <v>-0.57999999999999996</v>
      </c>
      <c r="T75" s="139" t="s">
        <v>0</v>
      </c>
    </row>
    <row r="76" spans="2:20" ht="21" x14ac:dyDescent="0.25">
      <c r="B76" s="130">
        <v>1599449649</v>
      </c>
      <c r="C76" s="131" t="s">
        <v>538</v>
      </c>
      <c r="D76" s="17" t="str">
        <f>IFERROR(INDEX([1]Positions!$A:$A,MATCH(C76,[1]Positions!$C:$C,0)),"Other")</f>
        <v>Energy &amp; Utilities</v>
      </c>
      <c r="E76" s="77">
        <f t="shared" ca="1" si="0"/>
        <v>4.2335084198552302</v>
      </c>
      <c r="F76" s="77" t="b">
        <f t="shared" si="1"/>
        <v>1</v>
      </c>
      <c r="G76" s="130" t="s">
        <v>32</v>
      </c>
      <c r="H76" s="132">
        <v>0.41449999999999998</v>
      </c>
      <c r="I76" s="133">
        <v>45663.735625254601</v>
      </c>
      <c r="J76" s="132">
        <v>24.11</v>
      </c>
      <c r="K76" s="132">
        <v>17.739999999999998</v>
      </c>
      <c r="L76" s="134">
        <v>9.99</v>
      </c>
      <c r="M76" s="130"/>
      <c r="N76" s="130"/>
      <c r="O76" s="130">
        <v>0</v>
      </c>
      <c r="P76" s="135">
        <v>0</v>
      </c>
      <c r="Q76" s="135">
        <v>0</v>
      </c>
      <c r="R76" s="135">
        <v>0</v>
      </c>
      <c r="S76" s="147">
        <v>-2.64</v>
      </c>
      <c r="T76" s="130" t="s">
        <v>0</v>
      </c>
    </row>
    <row r="77" spans="2:20" ht="21" x14ac:dyDescent="0.25">
      <c r="B77" s="139">
        <v>1559803221</v>
      </c>
      <c r="C77" s="140" t="s">
        <v>508</v>
      </c>
      <c r="D77" s="17" t="str">
        <f>IFERROR(INDEX([1]Positions!$A:$A,MATCH(C77,[1]Positions!$C:$C,0)),"Other")</f>
        <v>Consumer Defensive</v>
      </c>
      <c r="E77" s="77">
        <f t="shared" ref="E77:E109" ca="1" si="2">(NOW()-I77)/30.5</f>
        <v>5.3769873045699779</v>
      </c>
      <c r="F77" s="77" t="b">
        <f t="shared" ref="F77:F109" si="3">ISNUMBER(H77)</f>
        <v>1</v>
      </c>
      <c r="G77" s="139" t="s">
        <v>32</v>
      </c>
      <c r="H77" s="141">
        <v>9.1999999999999998E-2</v>
      </c>
      <c r="I77" s="142">
        <v>45628.859519270802</v>
      </c>
      <c r="J77" s="141">
        <v>162.85</v>
      </c>
      <c r="K77" s="141">
        <v>131.47999999999999</v>
      </c>
      <c r="L77" s="143">
        <v>14.98</v>
      </c>
      <c r="M77" s="139"/>
      <c r="N77" s="139"/>
      <c r="O77" s="139">
        <v>0</v>
      </c>
      <c r="P77" s="144">
        <v>0</v>
      </c>
      <c r="Q77" s="144">
        <v>0</v>
      </c>
      <c r="R77" s="144">
        <v>0</v>
      </c>
      <c r="S77" s="145">
        <v>-2.88</v>
      </c>
      <c r="T77" s="139" t="s">
        <v>0</v>
      </c>
    </row>
    <row r="78" spans="2:20" ht="21" x14ac:dyDescent="0.25">
      <c r="B78" s="130">
        <v>1358151307</v>
      </c>
      <c r="C78" s="131" t="s">
        <v>508</v>
      </c>
      <c r="D78" s="17" t="str">
        <f>IFERROR(INDEX([1]Positions!$A:$A,MATCH(C78,[1]Positions!$C:$C,0)),"Other")</f>
        <v>Consumer Defensive</v>
      </c>
      <c r="E78" s="77">
        <f t="shared" ca="1" si="2"/>
        <v>10.884339066865218</v>
      </c>
      <c r="F78" s="77" t="b">
        <f t="shared" si="3"/>
        <v>1</v>
      </c>
      <c r="G78" s="130" t="s">
        <v>32</v>
      </c>
      <c r="H78" s="132">
        <v>0.1081</v>
      </c>
      <c r="I78" s="133">
        <v>45460.885290520797</v>
      </c>
      <c r="J78" s="132">
        <v>165.93</v>
      </c>
      <c r="K78" s="132">
        <v>131.47999999999999</v>
      </c>
      <c r="L78" s="134">
        <v>17.940000000000001</v>
      </c>
      <c r="M78" s="130"/>
      <c r="N78" s="130"/>
      <c r="O78" s="130">
        <v>0</v>
      </c>
      <c r="P78" s="135">
        <v>0</v>
      </c>
      <c r="Q78" s="135">
        <v>0</v>
      </c>
      <c r="R78" s="135">
        <v>0</v>
      </c>
      <c r="S78" s="147">
        <v>-3.72</v>
      </c>
      <c r="T78" s="130" t="s">
        <v>0</v>
      </c>
    </row>
    <row r="79" spans="2:20" ht="21" x14ac:dyDescent="0.25">
      <c r="B79" s="139">
        <v>1754302454</v>
      </c>
      <c r="C79" s="140" t="s">
        <v>542</v>
      </c>
      <c r="D79" s="17" t="str">
        <f>IFERROR(INDEX([1]Positions!$A:$A,MATCH(C79,[1]Positions!$C:$C,0)),"Other")</f>
        <v>Energy &amp; Utilities</v>
      </c>
      <c r="E79" s="77">
        <f t="shared" ca="1" si="2"/>
        <v>1.2123730760487559</v>
      </c>
      <c r="F79" s="77" t="b">
        <f t="shared" si="3"/>
        <v>1</v>
      </c>
      <c r="G79" s="139" t="s">
        <v>32</v>
      </c>
      <c r="H79" s="141">
        <v>0.36730000000000002</v>
      </c>
      <c r="I79" s="142">
        <v>45755.880253240699</v>
      </c>
      <c r="J79" s="141">
        <v>27.17</v>
      </c>
      <c r="K79" s="141">
        <v>35.67</v>
      </c>
      <c r="L79" s="143">
        <v>9.98</v>
      </c>
      <c r="M79" s="139"/>
      <c r="N79" s="139"/>
      <c r="O79" s="139">
        <v>0</v>
      </c>
      <c r="P79" s="144">
        <v>0</v>
      </c>
      <c r="Q79" s="144">
        <v>0</v>
      </c>
      <c r="R79" s="144">
        <v>0</v>
      </c>
      <c r="S79" s="148">
        <v>3.12</v>
      </c>
      <c r="T79" s="139" t="s">
        <v>0</v>
      </c>
    </row>
    <row r="80" spans="2:20" x14ac:dyDescent="0.25">
      <c r="B80" s="130">
        <v>1712850989</v>
      </c>
      <c r="C80" s="131" t="s">
        <v>517</v>
      </c>
      <c r="D80" s="17" t="str">
        <f>IFERROR(INDEX([1]Positions!$A:$A,MATCH(C80,[1]Positions!$C:$C,0)),"Other")</f>
        <v>Technology</v>
      </c>
      <c r="E80" s="77">
        <f t="shared" ca="1" si="2"/>
        <v>1.90170046903568</v>
      </c>
      <c r="F80" s="77" t="b">
        <f t="shared" si="3"/>
        <v>1</v>
      </c>
      <c r="G80" s="130" t="s">
        <v>32</v>
      </c>
      <c r="H80" s="132">
        <v>0.1244</v>
      </c>
      <c r="I80" s="133">
        <v>45734.855767754598</v>
      </c>
      <c r="J80" s="132">
        <v>160.63999999999999</v>
      </c>
      <c r="K80" s="132">
        <v>163.94</v>
      </c>
      <c r="L80" s="134">
        <v>19.98</v>
      </c>
      <c r="M80" s="130"/>
      <c r="N80" s="130"/>
      <c r="O80" s="130">
        <v>0</v>
      </c>
      <c r="P80" s="135">
        <v>0</v>
      </c>
      <c r="Q80" s="135">
        <v>0</v>
      </c>
      <c r="R80" s="135">
        <v>0</v>
      </c>
      <c r="S80" s="136">
        <v>0.41</v>
      </c>
      <c r="T80" s="130" t="s">
        <v>0</v>
      </c>
    </row>
    <row r="81" spans="2:20" ht="21" x14ac:dyDescent="0.25">
      <c r="B81" s="139">
        <v>1744916497</v>
      </c>
      <c r="C81" s="140" t="s">
        <v>529</v>
      </c>
      <c r="D81" s="17" t="str">
        <f>IFERROR(INDEX([1]Positions!$A:$A,MATCH(C81,[1]Positions!$C:$C,0)),"Other")</f>
        <v>Financial Services</v>
      </c>
      <c r="E81" s="77">
        <f t="shared" ca="1" si="2"/>
        <v>1.3480431614290984</v>
      </c>
      <c r="F81" s="77" t="b">
        <f t="shared" si="3"/>
        <v>1</v>
      </c>
      <c r="G81" s="139" t="s">
        <v>32</v>
      </c>
      <c r="H81" s="141">
        <v>1</v>
      </c>
      <c r="I81" s="142">
        <v>45751.742315636599</v>
      </c>
      <c r="J81" s="141">
        <v>17.54</v>
      </c>
      <c r="K81" s="141">
        <v>21.1</v>
      </c>
      <c r="L81" s="143">
        <v>17.54</v>
      </c>
      <c r="M81" s="139"/>
      <c r="N81" s="139"/>
      <c r="O81" s="139">
        <v>0</v>
      </c>
      <c r="P81" s="144">
        <v>0</v>
      </c>
      <c r="Q81" s="144">
        <v>0</v>
      </c>
      <c r="R81" s="144">
        <v>0</v>
      </c>
      <c r="S81" s="148">
        <v>3.56</v>
      </c>
      <c r="T81" s="139" t="s">
        <v>0</v>
      </c>
    </row>
    <row r="82" spans="2:20" ht="21" x14ac:dyDescent="0.25">
      <c r="B82" s="130">
        <v>1824475555</v>
      </c>
      <c r="C82" s="131" t="s">
        <v>535</v>
      </c>
      <c r="D82" s="17" t="str">
        <f>IFERROR(INDEX([1]Positions!$A:$A,MATCH(C82,[1]Positions!$C:$C,0)),"Other")</f>
        <v>Consumer Defensive</v>
      </c>
      <c r="E82" s="77">
        <f t="shared" ca="1" si="2"/>
        <v>6.9053085142990848E-3</v>
      </c>
      <c r="F82" s="77" t="b">
        <f t="shared" si="3"/>
        <v>1</v>
      </c>
      <c r="G82" s="130" t="s">
        <v>32</v>
      </c>
      <c r="H82" s="132">
        <v>1</v>
      </c>
      <c r="I82" s="133">
        <v>45792.6470201505</v>
      </c>
      <c r="J82" s="132">
        <v>21.66</v>
      </c>
      <c r="K82" s="132">
        <v>21.9</v>
      </c>
      <c r="L82" s="134">
        <v>21.66</v>
      </c>
      <c r="M82" s="130"/>
      <c r="N82" s="130"/>
      <c r="O82" s="130">
        <v>0</v>
      </c>
      <c r="P82" s="135">
        <v>0</v>
      </c>
      <c r="Q82" s="135">
        <v>0</v>
      </c>
      <c r="R82" s="135">
        <v>0</v>
      </c>
      <c r="S82" s="136">
        <v>0.24</v>
      </c>
      <c r="T82" s="130" t="s">
        <v>0</v>
      </c>
    </row>
    <row r="83" spans="2:20" ht="21" x14ac:dyDescent="0.25">
      <c r="B83" s="139">
        <v>1648733962</v>
      </c>
      <c r="C83" s="140" t="s">
        <v>531</v>
      </c>
      <c r="D83" s="17" t="str">
        <f>IFERROR(INDEX([1]Positions!$A:$A,MATCH(C83,[1]Positions!$C:$C,0)),"Other")</f>
        <v>Consumer Defensive</v>
      </c>
      <c r="E83" s="77">
        <f t="shared" ca="1" si="2"/>
        <v>3.1804260731635132</v>
      </c>
      <c r="F83" s="77" t="b">
        <f t="shared" si="3"/>
        <v>1</v>
      </c>
      <c r="G83" s="139" t="s">
        <v>32</v>
      </c>
      <c r="H83" s="141">
        <v>8.1000000000000003E-2</v>
      </c>
      <c r="I83" s="142">
        <v>45695.854636828699</v>
      </c>
      <c r="J83" s="141">
        <v>129.56</v>
      </c>
      <c r="K83" s="141">
        <v>137.35</v>
      </c>
      <c r="L83" s="143">
        <v>10.49</v>
      </c>
      <c r="M83" s="139"/>
      <c r="N83" s="139"/>
      <c r="O83" s="139">
        <v>0</v>
      </c>
      <c r="P83" s="144">
        <v>0</v>
      </c>
      <c r="Q83" s="144">
        <v>0</v>
      </c>
      <c r="R83" s="144">
        <v>0</v>
      </c>
      <c r="S83" s="148">
        <v>0.64</v>
      </c>
      <c r="T83" s="139" t="s">
        <v>0</v>
      </c>
    </row>
    <row r="84" spans="2:20" ht="21" x14ac:dyDescent="0.25">
      <c r="B84" s="130">
        <v>1806979127</v>
      </c>
      <c r="C84" s="131" t="s">
        <v>538</v>
      </c>
      <c r="D84" s="17" t="str">
        <f>IFERROR(INDEX([1]Positions!$A:$A,MATCH(C84,[1]Positions!$C:$C,0)),"Other")</f>
        <v>Energy &amp; Utilities</v>
      </c>
      <c r="E84" s="77">
        <f t="shared" ca="1" si="2"/>
        <v>0.29594687272419534</v>
      </c>
      <c r="F84" s="77" t="b">
        <f t="shared" si="3"/>
        <v>1</v>
      </c>
      <c r="G84" s="130" t="s">
        <v>32</v>
      </c>
      <c r="H84" s="132">
        <v>0.6361</v>
      </c>
      <c r="I84" s="133">
        <v>45783.831252442098</v>
      </c>
      <c r="J84" s="132">
        <v>15.72</v>
      </c>
      <c r="K84" s="132">
        <v>17.739999999999998</v>
      </c>
      <c r="L84" s="134">
        <v>10</v>
      </c>
      <c r="M84" s="130"/>
      <c r="N84" s="130"/>
      <c r="O84" s="130">
        <v>0</v>
      </c>
      <c r="P84" s="135">
        <v>0</v>
      </c>
      <c r="Q84" s="135">
        <v>0</v>
      </c>
      <c r="R84" s="135">
        <v>0</v>
      </c>
      <c r="S84" s="136">
        <v>1.28</v>
      </c>
      <c r="T84" s="130" t="s">
        <v>0</v>
      </c>
    </row>
    <row r="85" spans="2:20" ht="21" x14ac:dyDescent="0.25">
      <c r="B85" s="139">
        <v>1582723120</v>
      </c>
      <c r="C85" s="140" t="s">
        <v>532</v>
      </c>
      <c r="D85" s="17" t="str">
        <f>IFERROR(INDEX([1]Positions!$A:$A,MATCH(C85,[1]Positions!$C:$C,0)),"Other")</f>
        <v>Consumer Defensive</v>
      </c>
      <c r="E85" s="77">
        <f t="shared" ca="1" si="2"/>
        <v>4.8184431363832294</v>
      </c>
      <c r="F85" s="77" t="b">
        <f t="shared" si="3"/>
        <v>1</v>
      </c>
      <c r="G85" s="139" t="s">
        <v>32</v>
      </c>
      <c r="H85" s="141">
        <v>0.3755</v>
      </c>
      <c r="I85" s="142">
        <v>45645.895116400497</v>
      </c>
      <c r="J85" s="141">
        <v>53.26</v>
      </c>
      <c r="K85" s="141">
        <v>57.94</v>
      </c>
      <c r="L85" s="143">
        <v>20</v>
      </c>
      <c r="M85" s="139"/>
      <c r="N85" s="139"/>
      <c r="O85" s="139">
        <v>0</v>
      </c>
      <c r="P85" s="144">
        <v>0</v>
      </c>
      <c r="Q85" s="144">
        <v>0</v>
      </c>
      <c r="R85" s="144">
        <v>0</v>
      </c>
      <c r="S85" s="148">
        <v>1.76</v>
      </c>
      <c r="T85" s="139" t="s">
        <v>0</v>
      </c>
    </row>
    <row r="86" spans="2:20" ht="21" x14ac:dyDescent="0.25">
      <c r="B86" s="130">
        <v>1662995258</v>
      </c>
      <c r="C86" s="131" t="s">
        <v>516</v>
      </c>
      <c r="D86" s="17" t="str">
        <f>IFERROR(INDEX([1]Positions!$A:$A,MATCH(C86,[1]Positions!$C:$C,0)),"Other")</f>
        <v>Energy &amp; Utilities</v>
      </c>
      <c r="E86" s="77">
        <f t="shared" ca="1" si="2"/>
        <v>2.8192268142848347</v>
      </c>
      <c r="F86" s="77" t="b">
        <f t="shared" si="3"/>
        <v>1</v>
      </c>
      <c r="G86" s="130" t="s">
        <v>32</v>
      </c>
      <c r="H86" s="132">
        <v>0.29430000000000001</v>
      </c>
      <c r="I86" s="133">
        <v>45706.871214224499</v>
      </c>
      <c r="J86" s="132">
        <v>67.97</v>
      </c>
      <c r="K86" s="132">
        <v>74.56</v>
      </c>
      <c r="L86" s="134">
        <v>20</v>
      </c>
      <c r="M86" s="130"/>
      <c r="N86" s="130"/>
      <c r="O86" s="130">
        <v>0</v>
      </c>
      <c r="P86" s="135">
        <v>0</v>
      </c>
      <c r="Q86" s="135">
        <v>0</v>
      </c>
      <c r="R86" s="135">
        <v>0</v>
      </c>
      <c r="S86" s="136">
        <v>1.94</v>
      </c>
      <c r="T86" s="130" t="s">
        <v>0</v>
      </c>
    </row>
    <row r="87" spans="2:20" ht="21" x14ac:dyDescent="0.25">
      <c r="B87" s="139">
        <v>1559803984</v>
      </c>
      <c r="C87" s="140" t="s">
        <v>531</v>
      </c>
      <c r="D87" s="17" t="str">
        <f>IFERROR(INDEX([1]Positions!$A:$A,MATCH(C87,[1]Positions!$C:$C,0)),"Other")</f>
        <v>Consumer Defensive</v>
      </c>
      <c r="E87" s="77">
        <f t="shared" ca="1" si="2"/>
        <v>5.3769668271864353</v>
      </c>
      <c r="F87" s="77" t="b">
        <f t="shared" si="3"/>
        <v>1</v>
      </c>
      <c r="G87" s="139" t="s">
        <v>32</v>
      </c>
      <c r="H87" s="141">
        <v>0.1076</v>
      </c>
      <c r="I87" s="142">
        <v>45628.860143831</v>
      </c>
      <c r="J87" s="141">
        <v>139.4</v>
      </c>
      <c r="K87" s="141">
        <v>137.35</v>
      </c>
      <c r="L87" s="143">
        <v>15</v>
      </c>
      <c r="M87" s="139"/>
      <c r="N87" s="139"/>
      <c r="O87" s="139">
        <v>0</v>
      </c>
      <c r="P87" s="144">
        <v>0</v>
      </c>
      <c r="Q87" s="144">
        <v>0</v>
      </c>
      <c r="R87" s="144">
        <v>0</v>
      </c>
      <c r="S87" s="145">
        <v>-0.22</v>
      </c>
      <c r="T87" s="139" t="s">
        <v>0</v>
      </c>
    </row>
    <row r="88" spans="2:20" x14ac:dyDescent="0.25">
      <c r="B88" s="130">
        <v>1633116336</v>
      </c>
      <c r="C88" s="131" t="s">
        <v>534</v>
      </c>
      <c r="D88" s="17" t="str">
        <f>IFERROR(INDEX([1]Positions!$A:$A,MATCH(C88,[1]Positions!$C:$C,0)),"Other")</f>
        <v>ETF</v>
      </c>
      <c r="E88" s="77">
        <f t="shared" ca="1" si="2"/>
        <v>3.4762265478913505</v>
      </c>
      <c r="F88" s="77" t="b">
        <f t="shared" si="3"/>
        <v>1</v>
      </c>
      <c r="G88" s="130" t="s">
        <v>32</v>
      </c>
      <c r="H88" s="132">
        <v>1</v>
      </c>
      <c r="I88" s="133">
        <v>45686.8327223495</v>
      </c>
      <c r="J88" s="132">
        <v>44.24</v>
      </c>
      <c r="K88" s="132">
        <v>47.69</v>
      </c>
      <c r="L88" s="134">
        <v>44.24</v>
      </c>
      <c r="M88" s="130"/>
      <c r="N88" s="130"/>
      <c r="O88" s="130">
        <v>0</v>
      </c>
      <c r="P88" s="135">
        <v>0</v>
      </c>
      <c r="Q88" s="135">
        <v>0</v>
      </c>
      <c r="R88" s="135">
        <v>0</v>
      </c>
      <c r="S88" s="136">
        <v>3.45</v>
      </c>
      <c r="T88" s="130" t="s">
        <v>0</v>
      </c>
    </row>
    <row r="89" spans="2:20" x14ac:dyDescent="0.25">
      <c r="B89" s="139">
        <v>1727564345</v>
      </c>
      <c r="C89" s="140" t="s">
        <v>540</v>
      </c>
      <c r="D89" s="17" t="str">
        <f>IFERROR(INDEX([1]Positions!$A:$A,MATCH(C89,[1]Positions!$C:$C,0)),"Other")</f>
        <v>Healthcare</v>
      </c>
      <c r="E89" s="77">
        <f t="shared" ca="1" si="2"/>
        <v>1.6097009623569691</v>
      </c>
      <c r="F89" s="77" t="b">
        <f t="shared" si="3"/>
        <v>1</v>
      </c>
      <c r="G89" s="139" t="s">
        <v>32</v>
      </c>
      <c r="H89" s="141">
        <v>0.32740000000000002</v>
      </c>
      <c r="I89" s="142">
        <v>45743.761752708298</v>
      </c>
      <c r="J89" s="141">
        <v>30.54</v>
      </c>
      <c r="K89" s="141">
        <v>28.25</v>
      </c>
      <c r="L89" s="143">
        <v>10</v>
      </c>
      <c r="M89" s="139"/>
      <c r="N89" s="139"/>
      <c r="O89" s="139">
        <v>0</v>
      </c>
      <c r="P89" s="144">
        <v>0</v>
      </c>
      <c r="Q89" s="144">
        <v>0</v>
      </c>
      <c r="R89" s="144">
        <v>0</v>
      </c>
      <c r="S89" s="145">
        <v>-0.75</v>
      </c>
      <c r="T89" s="139" t="s">
        <v>0</v>
      </c>
    </row>
    <row r="90" spans="2:20" x14ac:dyDescent="0.25">
      <c r="B90" s="130">
        <v>1533882988</v>
      </c>
      <c r="C90" s="131" t="s">
        <v>60</v>
      </c>
      <c r="D90" s="17" t="str">
        <f>IFERROR(INDEX([1]Positions!$A:$A,MATCH(C90,[1]Positions!$C:$C,0)),"Other")</f>
        <v>ETF</v>
      </c>
      <c r="E90" s="77">
        <f t="shared" ca="1" si="2"/>
        <v>6.0081946432913016</v>
      </c>
      <c r="F90" s="77" t="b">
        <f t="shared" si="3"/>
        <v>1</v>
      </c>
      <c r="G90" s="130" t="s">
        <v>32</v>
      </c>
      <c r="H90" s="132">
        <v>0.5</v>
      </c>
      <c r="I90" s="133">
        <v>45609.607695439801</v>
      </c>
      <c r="J90" s="132">
        <v>21.905000000000001</v>
      </c>
      <c r="K90" s="132">
        <v>20.324999999999999</v>
      </c>
      <c r="L90" s="134">
        <v>10.95</v>
      </c>
      <c r="M90" s="130"/>
      <c r="N90" s="130"/>
      <c r="O90" s="130">
        <v>0</v>
      </c>
      <c r="P90" s="135">
        <v>0</v>
      </c>
      <c r="Q90" s="135">
        <v>0</v>
      </c>
      <c r="R90" s="135">
        <v>0</v>
      </c>
      <c r="S90" s="147">
        <v>-0.79</v>
      </c>
      <c r="T90" s="130" t="s">
        <v>0</v>
      </c>
    </row>
    <row r="91" spans="2:20" ht="21" x14ac:dyDescent="0.25">
      <c r="B91" s="139">
        <v>1599431096</v>
      </c>
      <c r="C91" s="140" t="s">
        <v>508</v>
      </c>
      <c r="D91" s="17" t="str">
        <f>IFERROR(INDEX([1]Positions!$A:$A,MATCH(C91,[1]Positions!$C:$C,0)),"Other")</f>
        <v>Consumer Defensive</v>
      </c>
      <c r="E91" s="77">
        <f t="shared" ca="1" si="2"/>
        <v>4.2336880244387665</v>
      </c>
      <c r="F91" s="77" t="b">
        <f t="shared" si="3"/>
        <v>1</v>
      </c>
      <c r="G91" s="139" t="s">
        <v>32</v>
      </c>
      <c r="H91" s="141">
        <v>0.1013</v>
      </c>
      <c r="I91" s="142">
        <v>45663.730147314804</v>
      </c>
      <c r="J91" s="141">
        <v>148.02000000000001</v>
      </c>
      <c r="K91" s="141">
        <v>131.47999999999999</v>
      </c>
      <c r="L91" s="143">
        <v>14.99</v>
      </c>
      <c r="M91" s="139"/>
      <c r="N91" s="139"/>
      <c r="O91" s="139">
        <v>0</v>
      </c>
      <c r="P91" s="144">
        <v>0</v>
      </c>
      <c r="Q91" s="144">
        <v>0</v>
      </c>
      <c r="R91" s="144">
        <v>0</v>
      </c>
      <c r="S91" s="145">
        <v>-1.67</v>
      </c>
      <c r="T91" s="139" t="s">
        <v>0</v>
      </c>
    </row>
    <row r="92" spans="2:20" x14ac:dyDescent="0.25">
      <c r="B92" s="130">
        <v>1381375440</v>
      </c>
      <c r="C92" s="131" t="s">
        <v>513</v>
      </c>
      <c r="D92" s="17" t="str">
        <f>IFERROR(INDEX([1]Positions!$A:$A,MATCH(C92,[1]Positions!$C:$C,0)),"Other")</f>
        <v>Technology</v>
      </c>
      <c r="E92" s="77">
        <f t="shared" ca="1" si="2"/>
        <v>10.104473734442211</v>
      </c>
      <c r="F92" s="77" t="b">
        <f t="shared" si="3"/>
        <v>1</v>
      </c>
      <c r="G92" s="130" t="s">
        <v>32</v>
      </c>
      <c r="H92" s="132">
        <v>0.1057</v>
      </c>
      <c r="I92" s="133">
        <v>45484.671183159699</v>
      </c>
      <c r="J92" s="132">
        <v>189.11</v>
      </c>
      <c r="K92" s="132">
        <v>194.23</v>
      </c>
      <c r="L92" s="134">
        <v>19.989999999999998</v>
      </c>
      <c r="M92" s="130"/>
      <c r="N92" s="130"/>
      <c r="O92" s="130">
        <v>0</v>
      </c>
      <c r="P92" s="135">
        <v>0</v>
      </c>
      <c r="Q92" s="135">
        <v>0</v>
      </c>
      <c r="R92" s="135">
        <v>0</v>
      </c>
      <c r="S92" s="136">
        <v>0.54</v>
      </c>
      <c r="T92" s="130" t="s">
        <v>0</v>
      </c>
    </row>
    <row r="93" spans="2:20" ht="21" x14ac:dyDescent="0.25">
      <c r="B93" s="139">
        <v>1481609355</v>
      </c>
      <c r="C93" s="140" t="s">
        <v>531</v>
      </c>
      <c r="D93" s="17" t="str">
        <f>IFERROR(INDEX([1]Positions!$A:$A,MATCH(C93,[1]Positions!$C:$C,0)),"Other")</f>
        <v>Consumer Defensive</v>
      </c>
      <c r="E93" s="77">
        <f t="shared" ca="1" si="2"/>
        <v>7.3470211418488223</v>
      </c>
      <c r="F93" s="77" t="b">
        <f t="shared" si="3"/>
        <v>1</v>
      </c>
      <c r="G93" s="139" t="s">
        <v>32</v>
      </c>
      <c r="H93" s="141">
        <v>0.107</v>
      </c>
      <c r="I93" s="142">
        <v>45568.773487233797</v>
      </c>
      <c r="J93" s="141">
        <v>140.18</v>
      </c>
      <c r="K93" s="141">
        <v>137.35</v>
      </c>
      <c r="L93" s="143">
        <v>15</v>
      </c>
      <c r="M93" s="139"/>
      <c r="N93" s="139"/>
      <c r="O93" s="139">
        <v>0</v>
      </c>
      <c r="P93" s="144">
        <v>0</v>
      </c>
      <c r="Q93" s="144">
        <v>0</v>
      </c>
      <c r="R93" s="144">
        <v>0</v>
      </c>
      <c r="S93" s="145">
        <v>-0.3</v>
      </c>
      <c r="T93" s="139" t="s">
        <v>0</v>
      </c>
    </row>
    <row r="94" spans="2:20" ht="21" x14ac:dyDescent="0.25">
      <c r="B94" s="130">
        <v>1450043624</v>
      </c>
      <c r="C94" s="131" t="s">
        <v>531</v>
      </c>
      <c r="D94" s="17" t="str">
        <f>IFERROR(INDEX([1]Positions!$A:$A,MATCH(C94,[1]Positions!$C:$C,0)),"Other")</f>
        <v>Consumer Defensive</v>
      </c>
      <c r="E94" s="77">
        <f t="shared" ca="1" si="2"/>
        <v>8.137901534609302</v>
      </c>
      <c r="F94" s="77" t="b">
        <f t="shared" si="3"/>
        <v>1</v>
      </c>
      <c r="G94" s="130" t="s">
        <v>32</v>
      </c>
      <c r="H94" s="132">
        <v>2.3099999999999999E-2</v>
      </c>
      <c r="I94" s="133">
        <v>45544.651635254602</v>
      </c>
      <c r="J94" s="132">
        <v>147.47999999999999</v>
      </c>
      <c r="K94" s="132">
        <v>137.35</v>
      </c>
      <c r="L94" s="134">
        <v>3.41</v>
      </c>
      <c r="M94" s="130"/>
      <c r="N94" s="130"/>
      <c r="O94" s="130">
        <v>0</v>
      </c>
      <c r="P94" s="135">
        <v>0</v>
      </c>
      <c r="Q94" s="135">
        <v>0</v>
      </c>
      <c r="R94" s="135">
        <v>0</v>
      </c>
      <c r="S94" s="147">
        <v>-0.24</v>
      </c>
      <c r="T94" s="130" t="s">
        <v>0</v>
      </c>
    </row>
    <row r="95" spans="2:20" x14ac:dyDescent="0.25">
      <c r="B95" s="139">
        <v>1701100481</v>
      </c>
      <c r="C95" s="140" t="s">
        <v>513</v>
      </c>
      <c r="D95" s="17" t="str">
        <f>IFERROR(INDEX([1]Positions!$A:$A,MATCH(C95,[1]Positions!$C:$C,0)),"Other")</f>
        <v>Technology</v>
      </c>
      <c r="E95" s="77">
        <f t="shared" ca="1" si="2"/>
        <v>2.1306717467373124</v>
      </c>
      <c r="F95" s="77" t="b">
        <f t="shared" si="3"/>
        <v>1</v>
      </c>
      <c r="G95" s="139" t="s">
        <v>32</v>
      </c>
      <c r="H95" s="141">
        <v>8.7300000000000003E-2</v>
      </c>
      <c r="I95" s="142">
        <v>45727.872143784698</v>
      </c>
      <c r="J95" s="141">
        <v>171.67</v>
      </c>
      <c r="K95" s="141">
        <v>194.23</v>
      </c>
      <c r="L95" s="143">
        <v>14.99</v>
      </c>
      <c r="M95" s="139"/>
      <c r="N95" s="139"/>
      <c r="O95" s="139">
        <v>0</v>
      </c>
      <c r="P95" s="144">
        <v>0</v>
      </c>
      <c r="Q95" s="144">
        <v>0</v>
      </c>
      <c r="R95" s="144">
        <v>0</v>
      </c>
      <c r="S95" s="148">
        <v>1.97</v>
      </c>
      <c r="T95" s="139" t="s">
        <v>0</v>
      </c>
    </row>
    <row r="96" spans="2:20" ht="21" x14ac:dyDescent="0.25">
      <c r="B96" s="130">
        <v>1744929368</v>
      </c>
      <c r="C96" s="131" t="s">
        <v>523</v>
      </c>
      <c r="D96" s="17" t="str">
        <f>IFERROR(INDEX([1]Positions!$A:$A,MATCH(C96,[1]Positions!$C:$C,0)),"Other")</f>
        <v>Financial Services</v>
      </c>
      <c r="E96" s="77">
        <f t="shared" ca="1" si="2"/>
        <v>1.3479548637668382</v>
      </c>
      <c r="F96" s="77" t="b">
        <f t="shared" si="3"/>
        <v>1</v>
      </c>
      <c r="G96" s="130" t="s">
        <v>32</v>
      </c>
      <c r="H96" s="132">
        <v>1.9199999999999998E-2</v>
      </c>
      <c r="I96" s="133">
        <v>45751.745008715297</v>
      </c>
      <c r="J96" s="132">
        <v>324.48</v>
      </c>
      <c r="K96" s="132">
        <v>362.15</v>
      </c>
      <c r="L96" s="134">
        <v>6.23</v>
      </c>
      <c r="M96" s="130"/>
      <c r="N96" s="130"/>
      <c r="O96" s="130">
        <v>0</v>
      </c>
      <c r="P96" s="135">
        <v>0</v>
      </c>
      <c r="Q96" s="135">
        <v>0</v>
      </c>
      <c r="R96" s="135">
        <v>0</v>
      </c>
      <c r="S96" s="136">
        <v>0.72</v>
      </c>
      <c r="T96" s="130" t="s">
        <v>0</v>
      </c>
    </row>
    <row r="97" spans="2:20" ht="21" x14ac:dyDescent="0.25">
      <c r="B97" s="139">
        <v>1825032378</v>
      </c>
      <c r="C97" s="140" t="s">
        <v>536</v>
      </c>
      <c r="D97" s="17" t="str">
        <f>IFERROR(INDEX([1]Positions!$A:$A,MATCH(C97,[1]Positions!$C:$C,0)),"Other")</f>
        <v>Consumer Defensive</v>
      </c>
      <c r="E97" s="77">
        <f t="shared" ca="1" si="2"/>
        <v>3.1705012914274256E-3</v>
      </c>
      <c r="F97" s="77" t="b">
        <f t="shared" si="3"/>
        <v>1</v>
      </c>
      <c r="G97" s="139" t="s">
        <v>32</v>
      </c>
      <c r="H97" s="141">
        <v>0.28939999999999999</v>
      </c>
      <c r="I97" s="142">
        <v>45792.760931770797</v>
      </c>
      <c r="J97" s="141">
        <v>34.549999999999997</v>
      </c>
      <c r="K97" s="141">
        <v>35.299999999999997</v>
      </c>
      <c r="L97" s="143">
        <v>10</v>
      </c>
      <c r="M97" s="139"/>
      <c r="N97" s="139"/>
      <c r="O97" s="139">
        <v>0</v>
      </c>
      <c r="P97" s="144">
        <v>0</v>
      </c>
      <c r="Q97" s="144">
        <v>0</v>
      </c>
      <c r="R97" s="144">
        <v>0</v>
      </c>
      <c r="S97" s="148">
        <v>0.22</v>
      </c>
      <c r="T97" s="139" t="s">
        <v>0</v>
      </c>
    </row>
    <row r="98" spans="2:20" ht="21" x14ac:dyDescent="0.25">
      <c r="B98" s="130">
        <v>1666457581</v>
      </c>
      <c r="C98" s="131" t="s">
        <v>536</v>
      </c>
      <c r="D98" s="17" t="str">
        <f>IFERROR(INDEX([1]Positions!$A:$A,MATCH(C98,[1]Positions!$C:$C,0)),"Other")</f>
        <v>Consumer Defensive</v>
      </c>
      <c r="E98" s="77">
        <f t="shared" ca="1" si="2"/>
        <v>2.7598780479666694</v>
      </c>
      <c r="F98" s="77" t="b">
        <f t="shared" si="3"/>
        <v>1</v>
      </c>
      <c r="G98" s="130" t="s">
        <v>32</v>
      </c>
      <c r="H98" s="132">
        <v>0.52270000000000005</v>
      </c>
      <c r="I98" s="133">
        <v>45708.681351597203</v>
      </c>
      <c r="J98" s="132">
        <v>38.229999999999997</v>
      </c>
      <c r="K98" s="132">
        <v>35.299999999999997</v>
      </c>
      <c r="L98" s="134">
        <v>19.98</v>
      </c>
      <c r="M98" s="130"/>
      <c r="N98" s="130"/>
      <c r="O98" s="130">
        <v>0</v>
      </c>
      <c r="P98" s="135">
        <v>0</v>
      </c>
      <c r="Q98" s="135">
        <v>0</v>
      </c>
      <c r="R98" s="135">
        <v>0</v>
      </c>
      <c r="S98" s="147">
        <v>-1.53</v>
      </c>
      <c r="T98" s="130" t="s">
        <v>0</v>
      </c>
    </row>
    <row r="99" spans="2:20" ht="21" x14ac:dyDescent="0.25">
      <c r="B99" s="139">
        <v>1648735305</v>
      </c>
      <c r="C99" s="140" t="s">
        <v>538</v>
      </c>
      <c r="D99" s="17" t="str">
        <f>IFERROR(INDEX([1]Positions!$A:$A,MATCH(C99,[1]Positions!$C:$C,0)),"Other")</f>
        <v>Energy &amp; Utilities</v>
      </c>
      <c r="E99" s="77">
        <f t="shared" ca="1" si="2"/>
        <v>3.1804041082257037</v>
      </c>
      <c r="F99" s="77" t="b">
        <f t="shared" si="3"/>
        <v>1</v>
      </c>
      <c r="G99" s="139" t="s">
        <v>32</v>
      </c>
      <c r="H99" s="141">
        <v>0.45760000000000001</v>
      </c>
      <c r="I99" s="142">
        <v>45695.855306759302</v>
      </c>
      <c r="J99" s="141">
        <v>21.85</v>
      </c>
      <c r="K99" s="141">
        <v>17.739999999999998</v>
      </c>
      <c r="L99" s="143">
        <v>10</v>
      </c>
      <c r="M99" s="139"/>
      <c r="N99" s="139"/>
      <c r="O99" s="139">
        <v>0</v>
      </c>
      <c r="P99" s="144">
        <v>0</v>
      </c>
      <c r="Q99" s="144">
        <v>0</v>
      </c>
      <c r="R99" s="144">
        <v>0</v>
      </c>
      <c r="S99" s="145">
        <v>-1.88</v>
      </c>
      <c r="T99" s="139" t="s">
        <v>0</v>
      </c>
    </row>
    <row r="100" spans="2:20" ht="21" x14ac:dyDescent="0.25">
      <c r="B100" s="130">
        <v>1811432805</v>
      </c>
      <c r="C100" s="131" t="s">
        <v>537</v>
      </c>
      <c r="D100" s="17" t="str">
        <f>IFERROR(INDEX([1]Positions!$A:$A,MATCH(C100,[1]Positions!$C:$C,0)),"Other")</f>
        <v>Energy &amp; Utilities</v>
      </c>
      <c r="E100" s="77">
        <f t="shared" ca="1" si="2"/>
        <v>0.23594098170784103</v>
      </c>
      <c r="F100" s="77" t="b">
        <f t="shared" si="3"/>
        <v>1</v>
      </c>
      <c r="G100" s="130" t="s">
        <v>32</v>
      </c>
      <c r="H100" s="132">
        <v>8.5599999999999996E-2</v>
      </c>
      <c r="I100" s="133">
        <v>45785.661432118097</v>
      </c>
      <c r="J100" s="132">
        <v>128.46</v>
      </c>
      <c r="K100" s="132">
        <v>185.82</v>
      </c>
      <c r="L100" s="134">
        <v>11</v>
      </c>
      <c r="M100" s="130"/>
      <c r="N100" s="130"/>
      <c r="O100" s="130">
        <v>0</v>
      </c>
      <c r="P100" s="135">
        <v>0</v>
      </c>
      <c r="Q100" s="135">
        <v>0</v>
      </c>
      <c r="R100" s="135">
        <v>0</v>
      </c>
      <c r="S100" s="136">
        <v>4.91</v>
      </c>
      <c r="T100" s="130" t="s">
        <v>0</v>
      </c>
    </row>
    <row r="101" spans="2:20" x14ac:dyDescent="0.25">
      <c r="B101" s="139">
        <v>1583696868</v>
      </c>
      <c r="C101" s="140" t="s">
        <v>60</v>
      </c>
      <c r="D101" s="17" t="str">
        <f>IFERROR(INDEX([1]Positions!$A:$A,MATCH(C101,[1]Positions!$C:$C,0)),"Other")</f>
        <v>ETF</v>
      </c>
      <c r="E101" s="77">
        <f t="shared" ca="1" si="2"/>
        <v>4.795314500605989</v>
      </c>
      <c r="F101" s="77" t="b">
        <f t="shared" si="3"/>
        <v>1</v>
      </c>
      <c r="G101" s="139" t="s">
        <v>32</v>
      </c>
      <c r="H101" s="141">
        <v>0.5</v>
      </c>
      <c r="I101" s="142">
        <v>45646.600539791703</v>
      </c>
      <c r="J101" s="141">
        <v>20.645</v>
      </c>
      <c r="K101" s="141">
        <v>20.324999999999999</v>
      </c>
      <c r="L101" s="143">
        <v>10.32</v>
      </c>
      <c r="M101" s="139"/>
      <c r="N101" s="139"/>
      <c r="O101" s="139">
        <v>0</v>
      </c>
      <c r="P101" s="144">
        <v>0</v>
      </c>
      <c r="Q101" s="144">
        <v>0</v>
      </c>
      <c r="R101" s="144">
        <v>0</v>
      </c>
      <c r="S101" s="145">
        <v>-0.16</v>
      </c>
      <c r="T101" s="139" t="s">
        <v>0</v>
      </c>
    </row>
    <row r="102" spans="2:20" ht="21" x14ac:dyDescent="0.25">
      <c r="B102" s="130">
        <v>1666459175</v>
      </c>
      <c r="C102" s="131" t="s">
        <v>529</v>
      </c>
      <c r="D102" s="17" t="str">
        <f>IFERROR(INDEX([1]Positions!$A:$A,MATCH(C102,[1]Positions!$C:$C,0)),"Other")</f>
        <v>Financial Services</v>
      </c>
      <c r="E102" s="77">
        <f t="shared" ca="1" si="2"/>
        <v>2.7598681663633915</v>
      </c>
      <c r="F102" s="77" t="b">
        <f t="shared" si="3"/>
        <v>1</v>
      </c>
      <c r="G102" s="130" t="s">
        <v>32</v>
      </c>
      <c r="H102" s="132">
        <v>0.1641</v>
      </c>
      <c r="I102" s="133">
        <v>45708.681652986103</v>
      </c>
      <c r="J102" s="132">
        <v>17.18</v>
      </c>
      <c r="K102" s="132">
        <v>21.1</v>
      </c>
      <c r="L102" s="134">
        <v>2.82</v>
      </c>
      <c r="M102" s="130"/>
      <c r="N102" s="130"/>
      <c r="O102" s="130">
        <v>0</v>
      </c>
      <c r="P102" s="135">
        <v>0</v>
      </c>
      <c r="Q102" s="135">
        <v>0</v>
      </c>
      <c r="R102" s="135">
        <v>0</v>
      </c>
      <c r="S102" s="136">
        <v>0.64</v>
      </c>
      <c r="T102" s="130" t="s">
        <v>0</v>
      </c>
    </row>
    <row r="103" spans="2:20" ht="21" x14ac:dyDescent="0.25">
      <c r="B103" s="139">
        <v>1599448103</v>
      </c>
      <c r="C103" s="140" t="s">
        <v>532</v>
      </c>
      <c r="D103" s="17" t="str">
        <f>IFERROR(INDEX([1]Positions!$A:$A,MATCH(C103,[1]Positions!$C:$C,0)),"Other")</f>
        <v>Consumer Defensive</v>
      </c>
      <c r="E103" s="77">
        <f t="shared" ca="1" si="2"/>
        <v>4.2335267194127377</v>
      </c>
      <c r="F103" s="77" t="b">
        <f t="shared" si="3"/>
        <v>1</v>
      </c>
      <c r="G103" s="139" t="s">
        <v>32</v>
      </c>
      <c r="H103" s="141">
        <v>0.28389999999999999</v>
      </c>
      <c r="I103" s="142">
        <v>45663.735067118098</v>
      </c>
      <c r="J103" s="141">
        <v>52.83</v>
      </c>
      <c r="K103" s="141">
        <v>57.94</v>
      </c>
      <c r="L103" s="143">
        <v>15</v>
      </c>
      <c r="M103" s="139"/>
      <c r="N103" s="139"/>
      <c r="O103" s="139">
        <v>0</v>
      </c>
      <c r="P103" s="144">
        <v>0</v>
      </c>
      <c r="Q103" s="144">
        <v>0</v>
      </c>
      <c r="R103" s="144">
        <v>0</v>
      </c>
      <c r="S103" s="148">
        <v>1.45</v>
      </c>
      <c r="T103" s="139" t="s">
        <v>0</v>
      </c>
    </row>
    <row r="104" spans="2:20" x14ac:dyDescent="0.25">
      <c r="B104" s="130">
        <v>1635194724</v>
      </c>
      <c r="C104" s="131" t="s">
        <v>540</v>
      </c>
      <c r="D104" s="17" t="str">
        <f>IFERROR(INDEX([1]Positions!$A:$A,MATCH(C104,[1]Positions!$C:$C,0)),"Other")</f>
        <v>Healthcare</v>
      </c>
      <c r="E104" s="77">
        <f t="shared" ca="1" si="2"/>
        <v>3.4427840888748791</v>
      </c>
      <c r="F104" s="77" t="b">
        <f t="shared" si="3"/>
        <v>1</v>
      </c>
      <c r="G104" s="130" t="s">
        <v>32</v>
      </c>
      <c r="H104" s="132">
        <v>0.28749999999999998</v>
      </c>
      <c r="I104" s="133">
        <v>45687.852717349502</v>
      </c>
      <c r="J104" s="132">
        <v>34.78</v>
      </c>
      <c r="K104" s="132">
        <v>28.25</v>
      </c>
      <c r="L104" s="134">
        <v>10</v>
      </c>
      <c r="M104" s="130"/>
      <c r="N104" s="130"/>
      <c r="O104" s="130">
        <v>0</v>
      </c>
      <c r="P104" s="135">
        <v>0</v>
      </c>
      <c r="Q104" s="135">
        <v>0</v>
      </c>
      <c r="R104" s="135">
        <v>0</v>
      </c>
      <c r="S104" s="147">
        <v>-1.88</v>
      </c>
      <c r="T104" s="130" t="s">
        <v>0</v>
      </c>
    </row>
    <row r="105" spans="2:20" ht="21" x14ac:dyDescent="0.25">
      <c r="B105" s="139">
        <v>1824477589</v>
      </c>
      <c r="C105" s="140" t="s">
        <v>533</v>
      </c>
      <c r="D105" s="17" t="str">
        <f>IFERROR(INDEX([1]Positions!$A:$A,MATCH(C105,[1]Positions!$C:$C,0)),"Other")</f>
        <v>Energy &amp; Utilities</v>
      </c>
      <c r="E105" s="77">
        <f t="shared" ca="1" si="2"/>
        <v>6.8951552060096842E-3</v>
      </c>
      <c r="F105" s="77" t="b">
        <f t="shared" si="3"/>
        <v>1</v>
      </c>
      <c r="G105" s="139" t="s">
        <v>32</v>
      </c>
      <c r="H105" s="141">
        <v>0.2344</v>
      </c>
      <c r="I105" s="142">
        <v>45792.647329826403</v>
      </c>
      <c r="J105" s="141">
        <v>42.66</v>
      </c>
      <c r="K105" s="141">
        <v>43.4</v>
      </c>
      <c r="L105" s="143">
        <v>10</v>
      </c>
      <c r="M105" s="139"/>
      <c r="N105" s="139"/>
      <c r="O105" s="139">
        <v>0</v>
      </c>
      <c r="P105" s="144">
        <v>0</v>
      </c>
      <c r="Q105" s="144">
        <v>0</v>
      </c>
      <c r="R105" s="144">
        <v>0</v>
      </c>
      <c r="S105" s="148">
        <v>0.17</v>
      </c>
      <c r="T105" s="139" t="s">
        <v>0</v>
      </c>
    </row>
    <row r="106" spans="2:20" ht="21" x14ac:dyDescent="0.25">
      <c r="B106" s="130">
        <v>1727574394</v>
      </c>
      <c r="C106" s="131" t="s">
        <v>535</v>
      </c>
      <c r="D106" s="17" t="str">
        <f>IFERROR(INDEX([1]Positions!$A:$A,MATCH(C106,[1]Positions!$C:$C,0)),"Other")</f>
        <v>Consumer Defensive</v>
      </c>
      <c r="E106" s="77">
        <f t="shared" ca="1" si="2"/>
        <v>1.6095424681240178</v>
      </c>
      <c r="F106" s="77" t="b">
        <f t="shared" si="3"/>
        <v>1</v>
      </c>
      <c r="G106" s="130" t="s">
        <v>32</v>
      </c>
      <c r="H106" s="132">
        <v>1</v>
      </c>
      <c r="I106" s="133">
        <v>45743.766586782403</v>
      </c>
      <c r="J106" s="132">
        <v>21.13</v>
      </c>
      <c r="K106" s="132">
        <v>21.9</v>
      </c>
      <c r="L106" s="134">
        <v>21.13</v>
      </c>
      <c r="M106" s="130"/>
      <c r="N106" s="130"/>
      <c r="O106" s="130">
        <v>0</v>
      </c>
      <c r="P106" s="135">
        <v>0</v>
      </c>
      <c r="Q106" s="135">
        <v>0</v>
      </c>
      <c r="R106" s="135">
        <v>0</v>
      </c>
      <c r="S106" s="136">
        <v>0.77</v>
      </c>
      <c r="T106" s="130" t="s">
        <v>0</v>
      </c>
    </row>
    <row r="107" spans="2:20" x14ac:dyDescent="0.25">
      <c r="B107" s="139">
        <v>1517514880</v>
      </c>
      <c r="C107" s="140" t="s">
        <v>521</v>
      </c>
      <c r="D107" s="17" t="str">
        <f>IFERROR(INDEX([1]Positions!$A:$A,MATCH(C107,[1]Positions!$C:$C,0)),"Other")</f>
        <v>Technology</v>
      </c>
      <c r="E107" s="77">
        <f t="shared" ca="1" si="2"/>
        <v>6.4015331037502854</v>
      </c>
      <c r="F107" s="77" t="b">
        <f t="shared" si="3"/>
        <v>1</v>
      </c>
      <c r="G107" s="139" t="s">
        <v>32</v>
      </c>
      <c r="H107" s="141">
        <v>2.3099999999999999E-2</v>
      </c>
      <c r="I107" s="142">
        <v>45597.610872395802</v>
      </c>
      <c r="J107" s="141">
        <v>409.38</v>
      </c>
      <c r="K107" s="141">
        <v>452.95</v>
      </c>
      <c r="L107" s="143">
        <v>9.4600000000000009</v>
      </c>
      <c r="M107" s="139"/>
      <c r="N107" s="139"/>
      <c r="O107" s="139">
        <v>0</v>
      </c>
      <c r="P107" s="144">
        <v>0</v>
      </c>
      <c r="Q107" s="144">
        <v>0</v>
      </c>
      <c r="R107" s="144">
        <v>0</v>
      </c>
      <c r="S107" s="148">
        <v>1</v>
      </c>
      <c r="T107" s="139" t="s">
        <v>0</v>
      </c>
    </row>
    <row r="108" spans="2:20" ht="21" x14ac:dyDescent="0.25">
      <c r="B108" s="130">
        <v>1599435465</v>
      </c>
      <c r="C108" s="131" t="s">
        <v>530</v>
      </c>
      <c r="D108" s="17" t="str">
        <f>IFERROR(INDEX([1]Positions!$A:$A,MATCH(C108,[1]Positions!$C:$C,0)),"Other")</f>
        <v>Financial Services</v>
      </c>
      <c r="E108" s="77">
        <f t="shared" ca="1" si="2"/>
        <v>4.2336549525667788</v>
      </c>
      <c r="F108" s="77" t="b">
        <f t="shared" si="3"/>
        <v>1</v>
      </c>
      <c r="G108" s="130" t="s">
        <v>32</v>
      </c>
      <c r="H108" s="132">
        <v>2.8899999999999999E-2</v>
      </c>
      <c r="I108" s="133">
        <v>45663.731156006899</v>
      </c>
      <c r="J108" s="132">
        <v>517.70000000000005</v>
      </c>
      <c r="K108" s="132">
        <v>582.24</v>
      </c>
      <c r="L108" s="134">
        <v>14.96</v>
      </c>
      <c r="M108" s="130"/>
      <c r="N108" s="130"/>
      <c r="O108" s="130">
        <v>0</v>
      </c>
      <c r="P108" s="135">
        <v>0</v>
      </c>
      <c r="Q108" s="135">
        <v>0</v>
      </c>
      <c r="R108" s="135">
        <v>0</v>
      </c>
      <c r="S108" s="136">
        <v>1.87</v>
      </c>
      <c r="T108" s="130" t="s">
        <v>0</v>
      </c>
    </row>
    <row r="109" spans="2:20" x14ac:dyDescent="0.25">
      <c r="B109" s="149" t="s">
        <v>56</v>
      </c>
      <c r="C109" s="149" t="s">
        <v>0</v>
      </c>
      <c r="D109" s="17" t="str">
        <f>IFERROR(INDEX([1]Positions!$A:$A,MATCH(C109,[1]Positions!$C:$C,0)),"Other")</f>
        <v>Other</v>
      </c>
      <c r="E109" s="77" t="e">
        <f t="shared" ca="1" si="2"/>
        <v>#VALUE!</v>
      </c>
      <c r="F109" s="77" t="b">
        <f t="shared" si="3"/>
        <v>0</v>
      </c>
      <c r="G109" s="149" t="s">
        <v>0</v>
      </c>
      <c r="H109" s="149" t="s">
        <v>0</v>
      </c>
      <c r="I109" s="149" t="s">
        <v>0</v>
      </c>
      <c r="J109" s="149" t="s">
        <v>0</v>
      </c>
      <c r="K109" s="149" t="s">
        <v>0</v>
      </c>
      <c r="L109" s="149" t="s">
        <v>0</v>
      </c>
      <c r="M109" s="149" t="s">
        <v>0</v>
      </c>
      <c r="N109" s="149" t="s">
        <v>0</v>
      </c>
      <c r="O109" s="149" t="s">
        <v>0</v>
      </c>
      <c r="P109" s="150">
        <v>0</v>
      </c>
      <c r="Q109" s="150">
        <v>0</v>
      </c>
      <c r="R109" s="150">
        <v>0</v>
      </c>
      <c r="S109" s="150">
        <v>64.760000000000005</v>
      </c>
      <c r="T109" s="149" t="s">
        <v>0</v>
      </c>
    </row>
  </sheetData>
  <autoFilter ref="B11:T107" xr:uid="{00000000-0001-0000-0100-000000000000}"/>
  <mergeCells count="19">
    <mergeCell ref="B9:J9"/>
    <mergeCell ref="T9:U9"/>
    <mergeCell ref="B10:H10"/>
    <mergeCell ref="Q7:S7"/>
    <mergeCell ref="I8:K8"/>
    <mergeCell ref="L8:N8"/>
    <mergeCell ref="O8:P8"/>
    <mergeCell ref="Q8:S8"/>
    <mergeCell ref="I6:K6"/>
    <mergeCell ref="L6:N6"/>
    <mergeCell ref="O6:P6"/>
    <mergeCell ref="I7:K7"/>
    <mergeCell ref="L7:N7"/>
    <mergeCell ref="O7:P7"/>
    <mergeCell ref="W1:W2"/>
    <mergeCell ref="B2:B3"/>
    <mergeCell ref="I5:K5"/>
    <mergeCell ref="L5:N5"/>
    <mergeCell ref="O5:P5"/>
  </mergeCells>
  <pageMargins left="0.39370078740157499" right="0.39370078740157499" top="0.39370078740157499" bottom="1.36888188976378" header="0.39370078740157499" footer="0.39370078740157499"/>
  <pageSetup paperSize="0" orientation="landscape" horizontalDpi="300" verticalDpi="300"/>
  <headerFooter alignWithMargins="0">
    <oddFooter>&amp;L&amp;"Segoe UI,Regular"&amp;10&amp;P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P12"/>
  <sheetViews>
    <sheetView showGridLines="0" workbookViewId="0">
      <pane ySplit="4" topLeftCell="A5" activePane="bottomLeft" state="frozen"/>
      <selection pane="bottomLeft"/>
    </sheetView>
  </sheetViews>
  <sheetFormatPr defaultRowHeight="15" x14ac:dyDescent="0.25"/>
  <cols>
    <col min="1" max="1" width="2" customWidth="1"/>
    <col min="2" max="2" width="13.85546875" customWidth="1"/>
    <col min="3" max="3" width="30" customWidth="1"/>
    <col min="4" max="4" width="15.28515625" customWidth="1"/>
    <col min="5" max="5" width="11.5703125" customWidth="1"/>
    <col min="6" max="6" width="17.5703125" customWidth="1"/>
    <col min="7" max="7" width="13.42578125" customWidth="1"/>
    <col min="8" max="8" width="13.5703125" customWidth="1"/>
    <col min="9" max="9" width="13.42578125" customWidth="1"/>
    <col min="10" max="10" width="10.85546875" customWidth="1"/>
    <col min="11" max="11" width="22.7109375" customWidth="1"/>
    <col min="12" max="12" width="22.140625" customWidth="1"/>
    <col min="13" max="13" width="52.85546875" customWidth="1"/>
    <col min="14" max="14" width="0" hidden="1" customWidth="1"/>
    <col min="15" max="15" width="43.42578125" customWidth="1"/>
    <col min="16" max="16" width="10.28515625" customWidth="1"/>
    <col min="17" max="17" width="6" customWidth="1"/>
  </cols>
  <sheetData>
    <row r="1" spans="2:16" ht="11.45" customHeight="1" x14ac:dyDescent="0.25">
      <c r="P1" s="87"/>
    </row>
    <row r="2" spans="2:16" ht="20.45" customHeight="1" x14ac:dyDescent="0.25">
      <c r="B2" s="87"/>
      <c r="P2" s="87"/>
    </row>
    <row r="3" spans="2:16" ht="12.2" customHeight="1" x14ac:dyDescent="0.25">
      <c r="B3" s="87"/>
    </row>
    <row r="4" spans="2:16" ht="2.25" customHeight="1" x14ac:dyDescent="0.25"/>
    <row r="5" spans="2:16" ht="37.5" x14ac:dyDescent="0.25">
      <c r="B5" s="11" t="s">
        <v>0</v>
      </c>
      <c r="C5" s="11" t="s">
        <v>0</v>
      </c>
      <c r="D5" s="88" t="s">
        <v>1</v>
      </c>
      <c r="E5" s="87"/>
      <c r="F5" s="87"/>
      <c r="G5" s="89" t="s">
        <v>2</v>
      </c>
      <c r="H5" s="87"/>
      <c r="I5" s="87"/>
      <c r="J5" s="89" t="s">
        <v>3</v>
      </c>
      <c r="K5" s="87"/>
      <c r="L5" s="31" t="s">
        <v>0</v>
      </c>
      <c r="M5" s="32">
        <v>45786.091304976799</v>
      </c>
    </row>
    <row r="6" spans="2:16" ht="37.5" x14ac:dyDescent="0.25">
      <c r="B6" s="11" t="s">
        <v>0</v>
      </c>
      <c r="C6" s="11" t="s">
        <v>0</v>
      </c>
      <c r="D6" s="91" t="s">
        <v>4</v>
      </c>
      <c r="E6" s="87"/>
      <c r="F6" s="87"/>
      <c r="G6" s="92" t="s">
        <v>5</v>
      </c>
      <c r="H6" s="87"/>
      <c r="I6" s="87"/>
      <c r="J6" s="92" t="s">
        <v>6</v>
      </c>
      <c r="K6" s="87"/>
      <c r="L6" s="31" t="s">
        <v>0</v>
      </c>
      <c r="M6" s="31" t="s">
        <v>0</v>
      </c>
    </row>
    <row r="7" spans="2:16" ht="37.5" x14ac:dyDescent="0.25">
      <c r="B7" s="11" t="s">
        <v>0</v>
      </c>
      <c r="C7" s="11" t="s">
        <v>0</v>
      </c>
      <c r="D7" s="94" t="s">
        <v>7</v>
      </c>
      <c r="E7" s="87"/>
      <c r="F7" s="87"/>
      <c r="G7" s="95" t="s">
        <v>8</v>
      </c>
      <c r="H7" s="87"/>
      <c r="I7" s="87"/>
      <c r="J7" s="95" t="s">
        <v>9</v>
      </c>
      <c r="K7" s="87"/>
      <c r="L7" s="8" t="s">
        <v>10</v>
      </c>
      <c r="M7" s="8" t="s">
        <v>11</v>
      </c>
    </row>
    <row r="8" spans="2:16" ht="37.5" x14ac:dyDescent="0.25">
      <c r="B8" s="11" t="s">
        <v>0</v>
      </c>
      <c r="C8" s="11" t="s">
        <v>0</v>
      </c>
      <c r="D8" s="99">
        <v>93.01</v>
      </c>
      <c r="E8" s="87"/>
      <c r="F8" s="87"/>
      <c r="G8" s="92">
        <v>1531.79</v>
      </c>
      <c r="H8" s="87"/>
      <c r="I8" s="87"/>
      <c r="J8" s="92">
        <v>0</v>
      </c>
      <c r="K8" s="87"/>
      <c r="L8" s="6">
        <v>93.01</v>
      </c>
      <c r="M8" s="10">
        <v>0</v>
      </c>
    </row>
    <row r="9" spans="2:16" ht="43.15" customHeight="1" x14ac:dyDescent="0.25">
      <c r="B9" s="96" t="s">
        <v>61</v>
      </c>
      <c r="C9" s="87"/>
      <c r="D9" s="87"/>
      <c r="E9" s="87"/>
      <c r="F9" s="12" t="s">
        <v>0</v>
      </c>
      <c r="G9" s="31" t="s">
        <v>0</v>
      </c>
      <c r="H9" s="31" t="s">
        <v>0</v>
      </c>
      <c r="I9" s="31" t="s">
        <v>0</v>
      </c>
      <c r="J9" s="31" t="s">
        <v>0</v>
      </c>
      <c r="K9" s="31" t="s">
        <v>0</v>
      </c>
      <c r="L9" s="31" t="s">
        <v>0</v>
      </c>
      <c r="M9" s="87"/>
      <c r="N9" s="87"/>
    </row>
    <row r="10" spans="2:16" x14ac:dyDescent="0.25">
      <c r="B10" s="103">
        <v>45786</v>
      </c>
      <c r="C10" s="87"/>
      <c r="D10" s="9" t="s">
        <v>0</v>
      </c>
      <c r="E10" s="9" t="s">
        <v>0</v>
      </c>
      <c r="F10" s="9" t="s">
        <v>0</v>
      </c>
      <c r="G10" s="9" t="s">
        <v>0</v>
      </c>
      <c r="H10" s="9" t="s">
        <v>0</v>
      </c>
      <c r="I10" s="9" t="s">
        <v>0</v>
      </c>
      <c r="J10" s="9" t="s">
        <v>0</v>
      </c>
      <c r="K10" s="9" t="s">
        <v>0</v>
      </c>
      <c r="L10" s="9" t="s">
        <v>0</v>
      </c>
      <c r="M10" s="9" t="s">
        <v>0</v>
      </c>
    </row>
    <row r="11" spans="2:16" ht="22.5" x14ac:dyDescent="0.25">
      <c r="B11" s="14" t="s">
        <v>62</v>
      </c>
      <c r="C11" s="14" t="s">
        <v>14</v>
      </c>
      <c r="D11" s="14" t="s">
        <v>23</v>
      </c>
      <c r="E11" s="14" t="s">
        <v>63</v>
      </c>
      <c r="F11" s="14" t="s">
        <v>64</v>
      </c>
      <c r="G11" s="14" t="s">
        <v>9</v>
      </c>
      <c r="H11" s="14" t="s">
        <v>15</v>
      </c>
      <c r="I11" s="14" t="s">
        <v>65</v>
      </c>
      <c r="J11" s="14" t="s">
        <v>66</v>
      </c>
      <c r="K11" s="14" t="s">
        <v>25</v>
      </c>
      <c r="L11" s="14" t="s">
        <v>26</v>
      </c>
      <c r="M11" s="14" t="s">
        <v>17</v>
      </c>
    </row>
    <row r="12" spans="2:16" x14ac:dyDescent="0.25">
      <c r="B12" s="29" t="s">
        <v>0</v>
      </c>
      <c r="C12" s="30" t="s">
        <v>0</v>
      </c>
      <c r="D12" s="30" t="s">
        <v>0</v>
      </c>
      <c r="E12" s="30" t="s">
        <v>0</v>
      </c>
      <c r="F12" s="30" t="s">
        <v>0</v>
      </c>
      <c r="G12" s="30" t="s">
        <v>0</v>
      </c>
      <c r="H12" s="30" t="s">
        <v>0</v>
      </c>
      <c r="I12" s="30" t="s">
        <v>0</v>
      </c>
      <c r="J12" s="30" t="s">
        <v>0</v>
      </c>
      <c r="K12" s="30" t="s">
        <v>0</v>
      </c>
      <c r="L12" s="30" t="s">
        <v>0</v>
      </c>
      <c r="M12" s="30" t="s">
        <v>0</v>
      </c>
    </row>
  </sheetData>
  <mergeCells count="17">
    <mergeCell ref="B10:C10"/>
    <mergeCell ref="D8:F8"/>
    <mergeCell ref="G8:I8"/>
    <mergeCell ref="J8:K8"/>
    <mergeCell ref="B9:E9"/>
    <mergeCell ref="M9:N9"/>
    <mergeCell ref="D6:F6"/>
    <mergeCell ref="G6:I6"/>
    <mergeCell ref="J6:K6"/>
    <mergeCell ref="D7:F7"/>
    <mergeCell ref="G7:I7"/>
    <mergeCell ref="J7:K7"/>
    <mergeCell ref="P1:P2"/>
    <mergeCell ref="B2:B3"/>
    <mergeCell ref="D5:F5"/>
    <mergeCell ref="G5:I5"/>
    <mergeCell ref="J5:K5"/>
  </mergeCells>
  <pageMargins left="0.39370078740157499" right="0.39370078740157499" top="0.39370078740157499" bottom="1.36888188976378" header="0.39370078740157499" footer="0.39370078740157499"/>
  <pageSetup paperSize="0" orientation="landscape" horizontalDpi="300" verticalDpi="300"/>
  <headerFooter alignWithMargins="0">
    <oddFooter>&amp;L&amp;"Segoe UI,Regular"&amp;10&amp;P</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732"/>
  <sheetViews>
    <sheetView showGridLines="0" workbookViewId="0">
      <pane ySplit="4" topLeftCell="A5" activePane="bottomLeft" state="frozen"/>
      <selection pane="bottomLeft" activeCell="F9" sqref="F9"/>
    </sheetView>
  </sheetViews>
  <sheetFormatPr defaultRowHeight="15" x14ac:dyDescent="0.25"/>
  <cols>
    <col min="1" max="1" width="2" style="106" customWidth="1"/>
    <col min="2" max="2" width="13.85546875" style="106" customWidth="1"/>
    <col min="3" max="3" width="29.7109375" style="106" customWidth="1"/>
    <col min="4" max="4" width="27.28515625" style="106" customWidth="1"/>
    <col min="5" max="5" width="31.140625" style="106" customWidth="1"/>
    <col min="6" max="9" width="27" style="106" customWidth="1"/>
    <col min="10" max="10" width="33.5703125" style="106" customWidth="1"/>
    <col min="11" max="11" width="22.140625" style="106" customWidth="1"/>
    <col min="12" max="12" width="0" style="106" hidden="1" customWidth="1"/>
    <col min="13" max="13" width="96.28515625" style="106" customWidth="1"/>
    <col min="14" max="14" width="10.28515625" style="106" customWidth="1"/>
    <col min="15" max="15" width="6" style="106" customWidth="1"/>
    <col min="16" max="16384" width="9.140625" style="106"/>
  </cols>
  <sheetData>
    <row r="1" spans="2:14" ht="11.45" customHeight="1" x14ac:dyDescent="0.25">
      <c r="N1" s="107"/>
    </row>
    <row r="2" spans="2:14" ht="20.45" customHeight="1" x14ac:dyDescent="0.25">
      <c r="B2" s="107"/>
      <c r="N2" s="107"/>
    </row>
    <row r="3" spans="2:14" ht="12.2" customHeight="1" x14ac:dyDescent="0.25">
      <c r="B3" s="107"/>
    </row>
    <row r="4" spans="2:14" ht="2.25" customHeight="1" x14ac:dyDescent="0.25"/>
    <row r="5" spans="2:14" ht="37.5" x14ac:dyDescent="0.25">
      <c r="B5" s="152" t="s">
        <v>0</v>
      </c>
      <c r="C5" s="152" t="s">
        <v>0</v>
      </c>
      <c r="D5" s="157" t="s">
        <v>1</v>
      </c>
      <c r="E5" s="158" t="s">
        <v>2</v>
      </c>
      <c r="F5" s="158" t="s">
        <v>3</v>
      </c>
      <c r="G5" s="158"/>
      <c r="H5" s="158"/>
      <c r="I5" s="158"/>
      <c r="J5" s="158" t="s">
        <v>0</v>
      </c>
      <c r="K5" s="153">
        <v>45793.063235080997</v>
      </c>
    </row>
    <row r="6" spans="2:14" ht="37.5" x14ac:dyDescent="0.25">
      <c r="B6" s="152" t="s">
        <v>0</v>
      </c>
      <c r="C6" s="152" t="s">
        <v>0</v>
      </c>
      <c r="D6" s="108" t="s">
        <v>4</v>
      </c>
      <c r="E6" s="159" t="s">
        <v>5</v>
      </c>
      <c r="F6" s="159" t="s">
        <v>6</v>
      </c>
      <c r="G6" s="159"/>
      <c r="H6" s="159"/>
      <c r="I6" s="159"/>
      <c r="J6" s="159" t="s">
        <v>0</v>
      </c>
      <c r="K6" s="159" t="s">
        <v>0</v>
      </c>
    </row>
    <row r="7" spans="2:14" ht="37.5" x14ac:dyDescent="0.25">
      <c r="B7" s="152" t="s">
        <v>0</v>
      </c>
      <c r="C7" s="152" t="s">
        <v>0</v>
      </c>
      <c r="D7" s="126" t="s">
        <v>7</v>
      </c>
      <c r="E7" s="154" t="s">
        <v>8</v>
      </c>
      <c r="F7" s="154" t="s">
        <v>9</v>
      </c>
      <c r="G7" s="154"/>
      <c r="H7" s="154"/>
      <c r="I7" s="154"/>
      <c r="J7" s="154" t="s">
        <v>10</v>
      </c>
      <c r="K7" s="154" t="s">
        <v>11</v>
      </c>
    </row>
    <row r="8" spans="2:14" ht="37.5" x14ac:dyDescent="0.25">
      <c r="B8" s="152" t="s">
        <v>0</v>
      </c>
      <c r="C8" s="152" t="s">
        <v>0</v>
      </c>
      <c r="D8" s="160">
        <v>85.05</v>
      </c>
      <c r="E8" s="159">
        <v>1605.25</v>
      </c>
      <c r="F8" s="159">
        <v>0</v>
      </c>
      <c r="G8" s="159"/>
      <c r="H8" s="159"/>
      <c r="I8" s="159"/>
      <c r="J8" s="159">
        <v>85.05</v>
      </c>
      <c r="K8" s="155">
        <v>0</v>
      </c>
    </row>
    <row r="9" spans="2:14" ht="43.15" customHeight="1" x14ac:dyDescent="0.25">
      <c r="B9" s="120" t="s">
        <v>970</v>
      </c>
      <c r="C9" s="107"/>
      <c r="D9" s="107"/>
      <c r="E9" s="107"/>
      <c r="F9" s="121" t="s">
        <v>0</v>
      </c>
      <c r="G9" s="121"/>
      <c r="H9" s="121"/>
      <c r="I9" s="121"/>
      <c r="J9" s="122" t="s">
        <v>0</v>
      </c>
      <c r="K9" s="107"/>
      <c r="L9" s="107"/>
    </row>
    <row r="10" spans="2:14" x14ac:dyDescent="0.25">
      <c r="B10" s="123" t="s">
        <v>967</v>
      </c>
      <c r="C10" s="107"/>
      <c r="D10" s="107"/>
      <c r="E10" s="122" t="s">
        <v>0</v>
      </c>
      <c r="F10" s="122" t="s">
        <v>0</v>
      </c>
      <c r="G10" s="122"/>
      <c r="H10" s="122"/>
      <c r="I10" s="122"/>
      <c r="J10" s="122" t="s">
        <v>0</v>
      </c>
      <c r="K10" s="122" t="s">
        <v>0</v>
      </c>
    </row>
    <row r="11" spans="2:14" x14ac:dyDescent="0.25">
      <c r="B11" s="127" t="s">
        <v>62</v>
      </c>
      <c r="C11" s="127" t="s">
        <v>15</v>
      </c>
      <c r="D11" s="127" t="s">
        <v>67</v>
      </c>
      <c r="E11" s="127" t="s">
        <v>31</v>
      </c>
      <c r="F11" s="128" t="s">
        <v>14</v>
      </c>
      <c r="G11" s="15" t="s">
        <v>505</v>
      </c>
      <c r="H11" s="15" t="s">
        <v>634</v>
      </c>
      <c r="I11" s="15" t="s">
        <v>635</v>
      </c>
      <c r="J11" s="128" t="s">
        <v>68</v>
      </c>
      <c r="K11" s="159" t="s">
        <v>0</v>
      </c>
    </row>
    <row r="12" spans="2:14" x14ac:dyDescent="0.25">
      <c r="B12" s="130">
        <v>807882095</v>
      </c>
      <c r="C12" s="130" t="s">
        <v>73</v>
      </c>
      <c r="D12" s="133">
        <v>45789.647871169</v>
      </c>
      <c r="E12" s="130" t="s">
        <v>742</v>
      </c>
      <c r="F12" s="161" t="s">
        <v>533</v>
      </c>
      <c r="G12" s="33" t="str">
        <f>IFERROR(INDEX([1]Positions!$A:$A,MATCH(F12,[1]Positions!$C:$C,0)),"Other")</f>
        <v>Energy &amp; Utilities</v>
      </c>
      <c r="H12" s="33" t="b">
        <f t="shared" ref="H12:H75" si="0">ISNUMBER(D12)</f>
        <v>1</v>
      </c>
      <c r="I12" s="33" t="str">
        <f t="shared" ref="I12:I75" si="1">TEXT(D12,"YYYY-MM-DD")</f>
        <v>2025-05-12</v>
      </c>
      <c r="J12" s="147">
        <v>-10</v>
      </c>
      <c r="K12" s="159" t="s">
        <v>0</v>
      </c>
    </row>
    <row r="13" spans="2:14" x14ac:dyDescent="0.25">
      <c r="B13" s="139">
        <v>743536649</v>
      </c>
      <c r="C13" s="139" t="s">
        <v>77</v>
      </c>
      <c r="D13" s="142">
        <v>45726.375425254599</v>
      </c>
      <c r="E13" s="139" t="s">
        <v>79</v>
      </c>
      <c r="F13" s="162" t="s">
        <v>49</v>
      </c>
      <c r="G13" s="33" t="str">
        <f>IFERROR(INDEX([1]Positions!$A:$A,MATCH(F13,[1]Positions!$C:$C,0)),"Other")</f>
        <v>MISC</v>
      </c>
      <c r="H13" s="33" t="b">
        <f t="shared" si="0"/>
        <v>1</v>
      </c>
      <c r="I13" s="33" t="str">
        <f t="shared" si="1"/>
        <v>2025-03-10</v>
      </c>
      <c r="J13" s="148">
        <v>0.21</v>
      </c>
      <c r="K13" s="159" t="s">
        <v>0</v>
      </c>
    </row>
    <row r="14" spans="2:14" x14ac:dyDescent="0.25">
      <c r="B14" s="130">
        <v>743536650</v>
      </c>
      <c r="C14" s="130" t="s">
        <v>80</v>
      </c>
      <c r="D14" s="133">
        <v>45726.375425266197</v>
      </c>
      <c r="E14" s="130" t="s">
        <v>81</v>
      </c>
      <c r="F14" s="161" t="s">
        <v>49</v>
      </c>
      <c r="G14" s="33" t="str">
        <f>IFERROR(INDEX([1]Positions!$A:$A,MATCH(F14,[1]Positions!$C:$C,0)),"Other")</f>
        <v>MISC</v>
      </c>
      <c r="H14" s="33" t="b">
        <f t="shared" si="0"/>
        <v>1</v>
      </c>
      <c r="I14" s="33" t="str">
        <f t="shared" si="1"/>
        <v>2025-03-10</v>
      </c>
      <c r="J14" s="136">
        <v>5.98</v>
      </c>
      <c r="K14" s="159" t="s">
        <v>0</v>
      </c>
    </row>
    <row r="15" spans="2:14" x14ac:dyDescent="0.25">
      <c r="B15" s="139">
        <v>743538255</v>
      </c>
      <c r="C15" s="139" t="s">
        <v>77</v>
      </c>
      <c r="D15" s="142">
        <v>45726.375497951398</v>
      </c>
      <c r="E15" s="139" t="s">
        <v>84</v>
      </c>
      <c r="F15" s="162" t="s">
        <v>50</v>
      </c>
      <c r="G15" s="33" t="str">
        <f>IFERROR(INDEX([1]Positions!$A:$A,MATCH(F15,[1]Positions!$C:$C,0)),"Other")</f>
        <v>MISC</v>
      </c>
      <c r="H15" s="33" t="b">
        <f t="shared" si="0"/>
        <v>1</v>
      </c>
      <c r="I15" s="33" t="str">
        <f t="shared" si="1"/>
        <v>2025-03-10</v>
      </c>
      <c r="J15" s="148">
        <v>0.3</v>
      </c>
      <c r="K15" s="159" t="s">
        <v>0</v>
      </c>
    </row>
    <row r="16" spans="2:14" x14ac:dyDescent="0.25">
      <c r="B16" s="130">
        <v>743538256</v>
      </c>
      <c r="C16" s="130" t="s">
        <v>80</v>
      </c>
      <c r="D16" s="133">
        <v>45726.375497951398</v>
      </c>
      <c r="E16" s="130" t="s">
        <v>85</v>
      </c>
      <c r="F16" s="161" t="s">
        <v>50</v>
      </c>
      <c r="G16" s="33" t="str">
        <f>IFERROR(INDEX([1]Positions!$A:$A,MATCH(F16,[1]Positions!$C:$C,0)),"Other")</f>
        <v>MISC</v>
      </c>
      <c r="H16" s="33" t="b">
        <f t="shared" si="0"/>
        <v>1</v>
      </c>
      <c r="I16" s="33" t="str">
        <f t="shared" si="1"/>
        <v>2025-03-10</v>
      </c>
      <c r="J16" s="136">
        <v>8.51</v>
      </c>
      <c r="K16" s="159" t="s">
        <v>0</v>
      </c>
    </row>
    <row r="17" spans="2:11" x14ac:dyDescent="0.25">
      <c r="B17" s="139">
        <v>743538257</v>
      </c>
      <c r="C17" s="139" t="s">
        <v>77</v>
      </c>
      <c r="D17" s="142">
        <v>45726.375497963003</v>
      </c>
      <c r="E17" s="139" t="s">
        <v>88</v>
      </c>
      <c r="F17" s="162" t="s">
        <v>50</v>
      </c>
      <c r="G17" s="33" t="str">
        <f>IFERROR(INDEX([1]Positions!$A:$A,MATCH(F17,[1]Positions!$C:$C,0)),"Other")</f>
        <v>MISC</v>
      </c>
      <c r="H17" s="33" t="b">
        <f t="shared" si="0"/>
        <v>1</v>
      </c>
      <c r="I17" s="33" t="str">
        <f t="shared" si="1"/>
        <v>2025-03-10</v>
      </c>
      <c r="J17" s="148">
        <v>0.06</v>
      </c>
      <c r="K17" s="159" t="s">
        <v>0</v>
      </c>
    </row>
    <row r="18" spans="2:11" x14ac:dyDescent="0.25">
      <c r="B18" s="130">
        <v>743538259</v>
      </c>
      <c r="C18" s="130" t="s">
        <v>80</v>
      </c>
      <c r="D18" s="133">
        <v>45726.375497963003</v>
      </c>
      <c r="E18" s="130" t="s">
        <v>89</v>
      </c>
      <c r="F18" s="161" t="s">
        <v>50</v>
      </c>
      <c r="G18" s="33" t="str">
        <f>IFERROR(INDEX([1]Positions!$A:$A,MATCH(F18,[1]Positions!$C:$C,0)),"Other")</f>
        <v>MISC</v>
      </c>
      <c r="H18" s="33" t="b">
        <f t="shared" si="0"/>
        <v>1</v>
      </c>
      <c r="I18" s="33" t="str">
        <f t="shared" si="1"/>
        <v>2025-03-10</v>
      </c>
      <c r="J18" s="136">
        <v>1.45</v>
      </c>
      <c r="K18" s="159" t="s">
        <v>0</v>
      </c>
    </row>
    <row r="19" spans="2:11" x14ac:dyDescent="0.25">
      <c r="B19" s="139">
        <v>743538262</v>
      </c>
      <c r="C19" s="139" t="s">
        <v>77</v>
      </c>
      <c r="D19" s="142">
        <v>45726.375497986097</v>
      </c>
      <c r="E19" s="139" t="s">
        <v>91</v>
      </c>
      <c r="F19" s="162" t="s">
        <v>50</v>
      </c>
      <c r="G19" s="33" t="str">
        <f>IFERROR(INDEX([1]Positions!$A:$A,MATCH(F19,[1]Positions!$C:$C,0)),"Other")</f>
        <v>MISC</v>
      </c>
      <c r="H19" s="33" t="b">
        <f t="shared" si="0"/>
        <v>1</v>
      </c>
      <c r="I19" s="33" t="str">
        <f t="shared" si="1"/>
        <v>2025-03-10</v>
      </c>
      <c r="J19" s="148">
        <v>0.05</v>
      </c>
      <c r="K19" s="159" t="s">
        <v>0</v>
      </c>
    </row>
    <row r="20" spans="2:11" x14ac:dyDescent="0.25">
      <c r="B20" s="130">
        <v>743538263</v>
      </c>
      <c r="C20" s="130" t="s">
        <v>80</v>
      </c>
      <c r="D20" s="133">
        <v>45726.375497986097</v>
      </c>
      <c r="E20" s="130" t="s">
        <v>92</v>
      </c>
      <c r="F20" s="161" t="s">
        <v>50</v>
      </c>
      <c r="G20" s="33" t="str">
        <f>IFERROR(INDEX([1]Positions!$A:$A,MATCH(F20,[1]Positions!$C:$C,0)),"Other")</f>
        <v>MISC</v>
      </c>
      <c r="H20" s="33" t="b">
        <f t="shared" si="0"/>
        <v>1</v>
      </c>
      <c r="I20" s="33" t="str">
        <f t="shared" si="1"/>
        <v>2025-03-10</v>
      </c>
      <c r="J20" s="136">
        <v>1.62</v>
      </c>
      <c r="K20" s="159" t="s">
        <v>0</v>
      </c>
    </row>
    <row r="21" spans="2:11" x14ac:dyDescent="0.25">
      <c r="B21" s="139">
        <v>743538266</v>
      </c>
      <c r="C21" s="139" t="s">
        <v>77</v>
      </c>
      <c r="D21" s="142">
        <v>45726.375497997702</v>
      </c>
      <c r="E21" s="139" t="s">
        <v>93</v>
      </c>
      <c r="F21" s="162" t="s">
        <v>50</v>
      </c>
      <c r="G21" s="33" t="str">
        <f>IFERROR(INDEX([1]Positions!$A:$A,MATCH(F21,[1]Positions!$C:$C,0)),"Other")</f>
        <v>MISC</v>
      </c>
      <c r="H21" s="33" t="b">
        <f t="shared" si="0"/>
        <v>1</v>
      </c>
      <c r="I21" s="33" t="str">
        <f t="shared" si="1"/>
        <v>2025-03-10</v>
      </c>
      <c r="J21" s="148">
        <v>0.01</v>
      </c>
      <c r="K21" s="159" t="s">
        <v>0</v>
      </c>
    </row>
    <row r="22" spans="2:11" x14ac:dyDescent="0.25">
      <c r="B22" s="130">
        <v>743538267</v>
      </c>
      <c r="C22" s="130" t="s">
        <v>80</v>
      </c>
      <c r="D22" s="133">
        <v>45726.375497997702</v>
      </c>
      <c r="E22" s="130" t="s">
        <v>94</v>
      </c>
      <c r="F22" s="161" t="s">
        <v>50</v>
      </c>
      <c r="G22" s="33" t="str">
        <f>IFERROR(INDEX([1]Positions!$A:$A,MATCH(F22,[1]Positions!$C:$C,0)),"Other")</f>
        <v>MISC</v>
      </c>
      <c r="H22" s="33" t="b">
        <f t="shared" si="0"/>
        <v>1</v>
      </c>
      <c r="I22" s="33" t="str">
        <f t="shared" si="1"/>
        <v>2025-03-10</v>
      </c>
      <c r="J22" s="136">
        <v>0.05</v>
      </c>
      <c r="K22" s="159" t="s">
        <v>0</v>
      </c>
    </row>
    <row r="23" spans="2:11" x14ac:dyDescent="0.25">
      <c r="B23" s="139">
        <v>743548157</v>
      </c>
      <c r="C23" s="139" t="s">
        <v>77</v>
      </c>
      <c r="D23" s="142">
        <v>45726.376037395799</v>
      </c>
      <c r="E23" s="139" t="s">
        <v>96</v>
      </c>
      <c r="F23" s="162" t="s">
        <v>51</v>
      </c>
      <c r="G23" s="33" t="str">
        <f>IFERROR(INDEX([1]Positions!$A:$A,MATCH(F23,[1]Positions!$C:$C,0)),"Other")</f>
        <v>MISC</v>
      </c>
      <c r="H23" s="33" t="b">
        <f t="shared" si="0"/>
        <v>1</v>
      </c>
      <c r="I23" s="33" t="str">
        <f t="shared" si="1"/>
        <v>2025-03-10</v>
      </c>
      <c r="J23" s="148">
        <v>0.13</v>
      </c>
      <c r="K23" s="159" t="s">
        <v>0</v>
      </c>
    </row>
    <row r="24" spans="2:11" x14ac:dyDescent="0.25">
      <c r="B24" s="130">
        <v>743548158</v>
      </c>
      <c r="C24" s="130" t="s">
        <v>80</v>
      </c>
      <c r="D24" s="133">
        <v>45726.376037395799</v>
      </c>
      <c r="E24" s="130" t="s">
        <v>97</v>
      </c>
      <c r="F24" s="161" t="s">
        <v>51</v>
      </c>
      <c r="G24" s="33" t="str">
        <f>IFERROR(INDEX([1]Positions!$A:$A,MATCH(F24,[1]Positions!$C:$C,0)),"Other")</f>
        <v>MISC</v>
      </c>
      <c r="H24" s="33" t="b">
        <f t="shared" si="0"/>
        <v>1</v>
      </c>
      <c r="I24" s="33" t="str">
        <f t="shared" si="1"/>
        <v>2025-03-10</v>
      </c>
      <c r="J24" s="136">
        <v>2.4700000000000002</v>
      </c>
      <c r="K24" s="159" t="s">
        <v>0</v>
      </c>
    </row>
    <row r="25" spans="2:11" x14ac:dyDescent="0.25">
      <c r="B25" s="139">
        <v>743548159</v>
      </c>
      <c r="C25" s="139" t="s">
        <v>77</v>
      </c>
      <c r="D25" s="142">
        <v>45726.376037419002</v>
      </c>
      <c r="E25" s="139" t="s">
        <v>99</v>
      </c>
      <c r="F25" s="162" t="s">
        <v>51</v>
      </c>
      <c r="G25" s="33" t="str">
        <f>IFERROR(INDEX([1]Positions!$A:$A,MATCH(F25,[1]Positions!$C:$C,0)),"Other")</f>
        <v>MISC</v>
      </c>
      <c r="H25" s="33" t="b">
        <f t="shared" si="0"/>
        <v>1</v>
      </c>
      <c r="I25" s="33" t="str">
        <f t="shared" si="1"/>
        <v>2025-03-10</v>
      </c>
      <c r="J25" s="148">
        <v>0.3</v>
      </c>
      <c r="K25" s="159" t="s">
        <v>0</v>
      </c>
    </row>
    <row r="26" spans="2:11" x14ac:dyDescent="0.25">
      <c r="B26" s="130">
        <v>743548160</v>
      </c>
      <c r="C26" s="130" t="s">
        <v>80</v>
      </c>
      <c r="D26" s="133">
        <v>45726.376037419002</v>
      </c>
      <c r="E26" s="130" t="s">
        <v>100</v>
      </c>
      <c r="F26" s="161" t="s">
        <v>51</v>
      </c>
      <c r="G26" s="33" t="str">
        <f>IFERROR(INDEX([1]Positions!$A:$A,MATCH(F26,[1]Positions!$C:$C,0)),"Other")</f>
        <v>MISC</v>
      </c>
      <c r="H26" s="33" t="b">
        <f t="shared" si="0"/>
        <v>1</v>
      </c>
      <c r="I26" s="33" t="str">
        <f t="shared" si="1"/>
        <v>2025-03-10</v>
      </c>
      <c r="J26" s="136">
        <v>4.97</v>
      </c>
      <c r="K26" s="159" t="s">
        <v>0</v>
      </c>
    </row>
    <row r="27" spans="2:11" x14ac:dyDescent="0.25">
      <c r="B27" s="139">
        <v>743548161</v>
      </c>
      <c r="C27" s="139" t="s">
        <v>77</v>
      </c>
      <c r="D27" s="142">
        <v>45726.3760374306</v>
      </c>
      <c r="E27" s="139" t="s">
        <v>103</v>
      </c>
      <c r="F27" s="162" t="s">
        <v>51</v>
      </c>
      <c r="G27" s="33" t="str">
        <f>IFERROR(INDEX([1]Positions!$A:$A,MATCH(F27,[1]Positions!$C:$C,0)),"Other")</f>
        <v>MISC</v>
      </c>
      <c r="H27" s="33" t="b">
        <f t="shared" si="0"/>
        <v>1</v>
      </c>
      <c r="I27" s="33" t="str">
        <f t="shared" si="1"/>
        <v>2025-03-10</v>
      </c>
      <c r="J27" s="148">
        <v>0.12</v>
      </c>
      <c r="K27" s="159" t="s">
        <v>0</v>
      </c>
    </row>
    <row r="28" spans="2:11" x14ac:dyDescent="0.25">
      <c r="B28" s="130">
        <v>743548162</v>
      </c>
      <c r="C28" s="130" t="s">
        <v>80</v>
      </c>
      <c r="D28" s="133">
        <v>45726.3760374306</v>
      </c>
      <c r="E28" s="130" t="s">
        <v>104</v>
      </c>
      <c r="F28" s="161" t="s">
        <v>51</v>
      </c>
      <c r="G28" s="33" t="str">
        <f>IFERROR(INDEX([1]Positions!$A:$A,MATCH(F28,[1]Positions!$C:$C,0)),"Other")</f>
        <v>MISC</v>
      </c>
      <c r="H28" s="33" t="b">
        <f t="shared" si="0"/>
        <v>1</v>
      </c>
      <c r="I28" s="33" t="str">
        <f t="shared" si="1"/>
        <v>2025-03-10</v>
      </c>
      <c r="J28" s="136">
        <v>2.46</v>
      </c>
      <c r="K28" s="159" t="s">
        <v>0</v>
      </c>
    </row>
    <row r="29" spans="2:11" x14ac:dyDescent="0.25">
      <c r="B29" s="139">
        <v>743548163</v>
      </c>
      <c r="C29" s="139" t="s">
        <v>77</v>
      </c>
      <c r="D29" s="142">
        <v>45726.376037442104</v>
      </c>
      <c r="E29" s="139" t="s">
        <v>105</v>
      </c>
      <c r="F29" s="162" t="s">
        <v>51</v>
      </c>
      <c r="G29" s="33" t="str">
        <f>IFERROR(INDEX([1]Positions!$A:$A,MATCH(F29,[1]Positions!$C:$C,0)),"Other")</f>
        <v>MISC</v>
      </c>
      <c r="H29" s="33" t="b">
        <f t="shared" si="0"/>
        <v>1</v>
      </c>
      <c r="I29" s="33" t="str">
        <f t="shared" si="1"/>
        <v>2025-03-10</v>
      </c>
      <c r="J29" s="148">
        <v>0.12</v>
      </c>
      <c r="K29" s="159" t="s">
        <v>0</v>
      </c>
    </row>
    <row r="30" spans="2:11" x14ac:dyDescent="0.25">
      <c r="B30" s="130">
        <v>743548164</v>
      </c>
      <c r="C30" s="130" t="s">
        <v>80</v>
      </c>
      <c r="D30" s="133">
        <v>45726.376037442104</v>
      </c>
      <c r="E30" s="130" t="s">
        <v>106</v>
      </c>
      <c r="F30" s="161" t="s">
        <v>51</v>
      </c>
      <c r="G30" s="33" t="str">
        <f>IFERROR(INDEX([1]Positions!$A:$A,MATCH(F30,[1]Positions!$C:$C,0)),"Other")</f>
        <v>MISC</v>
      </c>
      <c r="H30" s="33" t="b">
        <f t="shared" si="0"/>
        <v>1</v>
      </c>
      <c r="I30" s="33" t="str">
        <f t="shared" si="1"/>
        <v>2025-03-10</v>
      </c>
      <c r="J30" s="136">
        <v>2.5</v>
      </c>
      <c r="K30" s="159" t="s">
        <v>0</v>
      </c>
    </row>
    <row r="31" spans="2:11" x14ac:dyDescent="0.25">
      <c r="B31" s="139">
        <v>743548165</v>
      </c>
      <c r="C31" s="139" t="s">
        <v>77</v>
      </c>
      <c r="D31" s="142">
        <v>45726.376037453701</v>
      </c>
      <c r="E31" s="139" t="s">
        <v>107</v>
      </c>
      <c r="F31" s="162" t="s">
        <v>51</v>
      </c>
      <c r="G31" s="33" t="str">
        <f>IFERROR(INDEX([1]Positions!$A:$A,MATCH(F31,[1]Positions!$C:$C,0)),"Other")</f>
        <v>MISC</v>
      </c>
      <c r="H31" s="33" t="b">
        <f t="shared" si="0"/>
        <v>1</v>
      </c>
      <c r="I31" s="33" t="str">
        <f t="shared" si="1"/>
        <v>2025-03-10</v>
      </c>
      <c r="J31" s="148">
        <v>0.23</v>
      </c>
      <c r="K31" s="159" t="s">
        <v>0</v>
      </c>
    </row>
    <row r="32" spans="2:11" x14ac:dyDescent="0.25">
      <c r="B32" s="130">
        <v>743548166</v>
      </c>
      <c r="C32" s="130" t="s">
        <v>80</v>
      </c>
      <c r="D32" s="133">
        <v>45726.376037453701</v>
      </c>
      <c r="E32" s="130" t="s">
        <v>108</v>
      </c>
      <c r="F32" s="161" t="s">
        <v>51</v>
      </c>
      <c r="G32" s="33" t="str">
        <f>IFERROR(INDEX([1]Positions!$A:$A,MATCH(F32,[1]Positions!$C:$C,0)),"Other")</f>
        <v>MISC</v>
      </c>
      <c r="H32" s="33" t="b">
        <f t="shared" si="0"/>
        <v>1</v>
      </c>
      <c r="I32" s="33" t="str">
        <f t="shared" si="1"/>
        <v>2025-03-10</v>
      </c>
      <c r="J32" s="136">
        <v>4.99</v>
      </c>
      <c r="K32" s="159" t="s">
        <v>0</v>
      </c>
    </row>
    <row r="33" spans="2:11" x14ac:dyDescent="0.25">
      <c r="B33" s="139">
        <v>743719828</v>
      </c>
      <c r="C33" s="139" t="s">
        <v>77</v>
      </c>
      <c r="D33" s="142">
        <v>45726.432314710597</v>
      </c>
      <c r="E33" s="139" t="s">
        <v>93</v>
      </c>
      <c r="F33" s="162" t="s">
        <v>50</v>
      </c>
      <c r="G33" s="33" t="str">
        <f>IFERROR(INDEX([1]Positions!$A:$A,MATCH(F33,[1]Positions!$C:$C,0)),"Other")</f>
        <v>MISC</v>
      </c>
      <c r="H33" s="33" t="b">
        <f t="shared" si="0"/>
        <v>1</v>
      </c>
      <c r="I33" s="33" t="str">
        <f t="shared" si="1"/>
        <v>2025-03-10</v>
      </c>
      <c r="J33" s="148">
        <v>0.18</v>
      </c>
      <c r="K33" s="159" t="s">
        <v>0</v>
      </c>
    </row>
    <row r="34" spans="2:11" x14ac:dyDescent="0.25">
      <c r="B34" s="130">
        <v>743719829</v>
      </c>
      <c r="C34" s="130" t="s">
        <v>80</v>
      </c>
      <c r="D34" s="133">
        <v>45726.432314710597</v>
      </c>
      <c r="E34" s="130" t="s">
        <v>109</v>
      </c>
      <c r="F34" s="161" t="s">
        <v>50</v>
      </c>
      <c r="G34" s="33" t="str">
        <f>IFERROR(INDEX([1]Positions!$A:$A,MATCH(F34,[1]Positions!$C:$C,0)),"Other")</f>
        <v>MISC</v>
      </c>
      <c r="H34" s="33" t="b">
        <f t="shared" si="0"/>
        <v>1</v>
      </c>
      <c r="I34" s="33" t="str">
        <f t="shared" si="1"/>
        <v>2025-03-10</v>
      </c>
      <c r="J34" s="136">
        <v>5.79</v>
      </c>
      <c r="K34" s="159" t="s">
        <v>0</v>
      </c>
    </row>
    <row r="35" spans="2:11" x14ac:dyDescent="0.25">
      <c r="B35" s="139">
        <v>745059929</v>
      </c>
      <c r="C35" s="139" t="s">
        <v>80</v>
      </c>
      <c r="D35" s="142">
        <v>45727.386383321798</v>
      </c>
      <c r="E35" s="139" t="s">
        <v>110</v>
      </c>
      <c r="F35" s="162" t="s">
        <v>49</v>
      </c>
      <c r="G35" s="33" t="str">
        <f>IFERROR(INDEX([1]Positions!$A:$A,MATCH(F35,[1]Positions!$C:$C,0)),"Other")</f>
        <v>MISC</v>
      </c>
      <c r="H35" s="33" t="b">
        <f t="shared" si="0"/>
        <v>1</v>
      </c>
      <c r="I35" s="33" t="str">
        <f t="shared" si="1"/>
        <v>2025-03-11</v>
      </c>
      <c r="J35" s="148">
        <v>0.66</v>
      </c>
      <c r="K35" s="159" t="s">
        <v>0</v>
      </c>
    </row>
    <row r="36" spans="2:11" x14ac:dyDescent="0.25">
      <c r="B36" s="130">
        <v>745059930</v>
      </c>
      <c r="C36" s="130" t="s">
        <v>77</v>
      </c>
      <c r="D36" s="133">
        <v>45727.386383333302</v>
      </c>
      <c r="E36" s="130" t="s">
        <v>112</v>
      </c>
      <c r="F36" s="161" t="s">
        <v>49</v>
      </c>
      <c r="G36" s="33" t="str">
        <f>IFERROR(INDEX([1]Positions!$A:$A,MATCH(F36,[1]Positions!$C:$C,0)),"Other")</f>
        <v>MISC</v>
      </c>
      <c r="H36" s="33" t="b">
        <f t="shared" si="0"/>
        <v>1</v>
      </c>
      <c r="I36" s="33" t="str">
        <f t="shared" si="1"/>
        <v>2025-03-11</v>
      </c>
      <c r="J36" s="136">
        <v>0.03</v>
      </c>
      <c r="K36" s="159" t="s">
        <v>0</v>
      </c>
    </row>
    <row r="37" spans="2:11" x14ac:dyDescent="0.25">
      <c r="B37" s="139">
        <v>745059931</v>
      </c>
      <c r="C37" s="139" t="s">
        <v>80</v>
      </c>
      <c r="D37" s="142">
        <v>45727.386383333302</v>
      </c>
      <c r="E37" s="139" t="s">
        <v>113</v>
      </c>
      <c r="F37" s="162" t="s">
        <v>49</v>
      </c>
      <c r="G37" s="33" t="str">
        <f>IFERROR(INDEX([1]Positions!$A:$A,MATCH(F37,[1]Positions!$C:$C,0)),"Other")</f>
        <v>MISC</v>
      </c>
      <c r="H37" s="33" t="b">
        <f t="shared" si="0"/>
        <v>1</v>
      </c>
      <c r="I37" s="33" t="str">
        <f t="shared" si="1"/>
        <v>2025-03-11</v>
      </c>
      <c r="J37" s="148">
        <v>0.84</v>
      </c>
      <c r="K37" s="159" t="s">
        <v>0</v>
      </c>
    </row>
    <row r="38" spans="2:11" x14ac:dyDescent="0.25">
      <c r="B38" s="130">
        <v>745059932</v>
      </c>
      <c r="C38" s="130" t="s">
        <v>77</v>
      </c>
      <c r="D38" s="133">
        <v>45727.386383356497</v>
      </c>
      <c r="E38" s="130" t="s">
        <v>114</v>
      </c>
      <c r="F38" s="161" t="s">
        <v>49</v>
      </c>
      <c r="G38" s="33" t="str">
        <f>IFERROR(INDEX([1]Positions!$A:$A,MATCH(F38,[1]Positions!$C:$C,0)),"Other")</f>
        <v>MISC</v>
      </c>
      <c r="H38" s="33" t="b">
        <f t="shared" si="0"/>
        <v>1</v>
      </c>
      <c r="I38" s="33" t="str">
        <f t="shared" si="1"/>
        <v>2025-03-11</v>
      </c>
      <c r="J38" s="136">
        <v>0.08</v>
      </c>
      <c r="K38" s="159" t="s">
        <v>0</v>
      </c>
    </row>
    <row r="39" spans="2:11" x14ac:dyDescent="0.25">
      <c r="B39" s="139">
        <v>745059933</v>
      </c>
      <c r="C39" s="139" t="s">
        <v>80</v>
      </c>
      <c r="D39" s="142">
        <v>45727.386383356497</v>
      </c>
      <c r="E39" s="139" t="s">
        <v>117</v>
      </c>
      <c r="F39" s="162" t="s">
        <v>49</v>
      </c>
      <c r="G39" s="33" t="str">
        <f>IFERROR(INDEX([1]Positions!$A:$A,MATCH(F39,[1]Positions!$C:$C,0)),"Other")</f>
        <v>MISC</v>
      </c>
      <c r="H39" s="33" t="b">
        <f t="shared" si="0"/>
        <v>1</v>
      </c>
      <c r="I39" s="33" t="str">
        <f t="shared" si="1"/>
        <v>2025-03-11</v>
      </c>
      <c r="J39" s="148">
        <v>2.52</v>
      </c>
      <c r="K39" s="159" t="s">
        <v>0</v>
      </c>
    </row>
    <row r="40" spans="2:11" x14ac:dyDescent="0.25">
      <c r="B40" s="130">
        <v>745059994</v>
      </c>
      <c r="C40" s="130" t="s">
        <v>119</v>
      </c>
      <c r="D40" s="133">
        <v>45727.386404733799</v>
      </c>
      <c r="E40" s="130" t="s">
        <v>120</v>
      </c>
      <c r="F40" s="161"/>
      <c r="G40" s="33" t="str">
        <f>IFERROR(INDEX([1]Positions!$A:$A,MATCH(F40,[1]Positions!$C:$C,0)),"Other")</f>
        <v>Other</v>
      </c>
      <c r="H40" s="33" t="b">
        <f t="shared" si="0"/>
        <v>1</v>
      </c>
      <c r="I40" s="33" t="str">
        <f t="shared" si="1"/>
        <v>2025-03-11</v>
      </c>
      <c r="J40" s="147">
        <v>-52.08</v>
      </c>
      <c r="K40" s="159" t="s">
        <v>0</v>
      </c>
    </row>
    <row r="41" spans="2:11" x14ac:dyDescent="0.25">
      <c r="B41" s="139">
        <v>745059928</v>
      </c>
      <c r="C41" s="139" t="s">
        <v>77</v>
      </c>
      <c r="D41" s="142">
        <v>45727.386383321798</v>
      </c>
      <c r="E41" s="139" t="s">
        <v>79</v>
      </c>
      <c r="F41" s="162" t="s">
        <v>49</v>
      </c>
      <c r="G41" s="33" t="str">
        <f>IFERROR(INDEX([1]Positions!$A:$A,MATCH(F41,[1]Positions!$C:$C,0)),"Other")</f>
        <v>MISC</v>
      </c>
      <c r="H41" s="33" t="b">
        <f t="shared" si="0"/>
        <v>1</v>
      </c>
      <c r="I41" s="33" t="str">
        <f t="shared" si="1"/>
        <v>2025-03-11</v>
      </c>
      <c r="J41" s="148">
        <v>0.02</v>
      </c>
      <c r="K41" s="159" t="s">
        <v>0</v>
      </c>
    </row>
    <row r="42" spans="2:11" x14ac:dyDescent="0.25">
      <c r="B42" s="130">
        <v>584485943</v>
      </c>
      <c r="C42" s="130" t="s">
        <v>119</v>
      </c>
      <c r="D42" s="133">
        <v>45495.925587002297</v>
      </c>
      <c r="E42" s="130" t="s">
        <v>121</v>
      </c>
      <c r="F42" s="161"/>
      <c r="G42" s="33" t="str">
        <f>IFERROR(INDEX([1]Positions!$A:$A,MATCH(F42,[1]Positions!$C:$C,0)),"Other")</f>
        <v>Other</v>
      </c>
      <c r="H42" s="33" t="b">
        <f t="shared" si="0"/>
        <v>1</v>
      </c>
      <c r="I42" s="33" t="str">
        <f t="shared" si="1"/>
        <v>2024-07-22</v>
      </c>
      <c r="J42" s="136">
        <v>50</v>
      </c>
      <c r="K42" s="159" t="s">
        <v>0</v>
      </c>
    </row>
    <row r="43" spans="2:11" x14ac:dyDescent="0.25">
      <c r="B43" s="139">
        <v>584584545</v>
      </c>
      <c r="C43" s="139" t="s">
        <v>73</v>
      </c>
      <c r="D43" s="142">
        <v>45496.375684328697</v>
      </c>
      <c r="E43" s="139" t="s">
        <v>124</v>
      </c>
      <c r="F43" s="162" t="s">
        <v>49</v>
      </c>
      <c r="G43" s="33" t="str">
        <f>IFERROR(INDEX([1]Positions!$A:$A,MATCH(F43,[1]Positions!$C:$C,0)),"Other")</f>
        <v>MISC</v>
      </c>
      <c r="H43" s="33" t="b">
        <f t="shared" si="0"/>
        <v>1</v>
      </c>
      <c r="I43" s="33" t="str">
        <f t="shared" si="1"/>
        <v>2024-07-23</v>
      </c>
      <c r="J43" s="145">
        <v>-23.92</v>
      </c>
      <c r="K43" s="159" t="s">
        <v>0</v>
      </c>
    </row>
    <row r="44" spans="2:11" x14ac:dyDescent="0.25">
      <c r="B44" s="130">
        <v>584584380</v>
      </c>
      <c r="C44" s="130" t="s">
        <v>73</v>
      </c>
      <c r="D44" s="133">
        <v>45496.375658518496</v>
      </c>
      <c r="E44" s="130" t="s">
        <v>126</v>
      </c>
      <c r="F44" s="161" t="s">
        <v>50</v>
      </c>
      <c r="G44" s="33" t="str">
        <f>IFERROR(INDEX([1]Positions!$A:$A,MATCH(F44,[1]Positions!$C:$C,0)),"Other")</f>
        <v>MISC</v>
      </c>
      <c r="H44" s="33" t="b">
        <f t="shared" si="0"/>
        <v>1</v>
      </c>
      <c r="I44" s="33" t="str">
        <f t="shared" si="1"/>
        <v>2024-07-23</v>
      </c>
      <c r="J44" s="147">
        <v>-23.25</v>
      </c>
      <c r="K44" s="159" t="s">
        <v>0</v>
      </c>
    </row>
    <row r="45" spans="2:11" x14ac:dyDescent="0.25">
      <c r="B45" s="139">
        <v>584587915</v>
      </c>
      <c r="C45" s="139" t="s">
        <v>73</v>
      </c>
      <c r="D45" s="142">
        <v>45496.377551481499</v>
      </c>
      <c r="E45" s="139" t="s">
        <v>127</v>
      </c>
      <c r="F45" s="162" t="s">
        <v>50</v>
      </c>
      <c r="G45" s="33" t="str">
        <f>IFERROR(INDEX([1]Positions!$A:$A,MATCH(F45,[1]Positions!$C:$C,0)),"Other")</f>
        <v>MISC</v>
      </c>
      <c r="H45" s="33" t="b">
        <f t="shared" si="0"/>
        <v>1</v>
      </c>
      <c r="I45" s="33" t="str">
        <f t="shared" si="1"/>
        <v>2024-07-23</v>
      </c>
      <c r="J45" s="145">
        <v>-1.45</v>
      </c>
      <c r="K45" s="159" t="s">
        <v>0</v>
      </c>
    </row>
    <row r="46" spans="2:11" x14ac:dyDescent="0.25">
      <c r="B46" s="130">
        <v>584598125</v>
      </c>
      <c r="C46" s="130" t="s">
        <v>73</v>
      </c>
      <c r="D46" s="133">
        <v>45496.378860879602</v>
      </c>
      <c r="E46" s="130" t="s">
        <v>128</v>
      </c>
      <c r="F46" s="161" t="s">
        <v>49</v>
      </c>
      <c r="G46" s="33" t="str">
        <f>IFERROR(INDEX([1]Positions!$A:$A,MATCH(F46,[1]Positions!$C:$C,0)),"Other")</f>
        <v>MISC</v>
      </c>
      <c r="H46" s="33" t="b">
        <f t="shared" si="0"/>
        <v>1</v>
      </c>
      <c r="I46" s="33" t="str">
        <f t="shared" si="1"/>
        <v>2024-07-23</v>
      </c>
      <c r="J46" s="147">
        <v>-0.84</v>
      </c>
      <c r="K46" s="159" t="s">
        <v>0</v>
      </c>
    </row>
    <row r="47" spans="2:11" x14ac:dyDescent="0.25">
      <c r="B47" s="139">
        <v>584801661</v>
      </c>
      <c r="C47" s="139" t="s">
        <v>73</v>
      </c>
      <c r="D47" s="142">
        <v>45496.617777002299</v>
      </c>
      <c r="E47" s="139" t="s">
        <v>129</v>
      </c>
      <c r="F47" s="162" t="s">
        <v>51</v>
      </c>
      <c r="G47" s="33" t="str">
        <f>IFERROR(INDEX([1]Positions!$A:$A,MATCH(F47,[1]Positions!$C:$C,0)),"Other")</f>
        <v>MISC</v>
      </c>
      <c r="H47" s="33" t="b">
        <f t="shared" si="0"/>
        <v>1</v>
      </c>
      <c r="I47" s="33" t="str">
        <f t="shared" si="1"/>
        <v>2024-07-23</v>
      </c>
      <c r="J47" s="145">
        <v>-2.4700000000000002</v>
      </c>
      <c r="K47" s="159" t="s">
        <v>0</v>
      </c>
    </row>
    <row r="48" spans="2:11" x14ac:dyDescent="0.25">
      <c r="B48" s="130">
        <v>584801647</v>
      </c>
      <c r="C48" s="130" t="s">
        <v>77</v>
      </c>
      <c r="D48" s="133">
        <v>45496.617755497697</v>
      </c>
      <c r="E48" s="130" t="s">
        <v>84</v>
      </c>
      <c r="F48" s="161" t="s">
        <v>50</v>
      </c>
      <c r="G48" s="33" t="str">
        <f>IFERROR(INDEX([1]Positions!$A:$A,MATCH(F48,[1]Positions!$C:$C,0)),"Other")</f>
        <v>MISC</v>
      </c>
      <c r="H48" s="33" t="b">
        <f t="shared" si="0"/>
        <v>1</v>
      </c>
      <c r="I48" s="33" t="str">
        <f t="shared" si="1"/>
        <v>2024-07-23</v>
      </c>
      <c r="J48" s="136">
        <v>0</v>
      </c>
      <c r="K48" s="159" t="s">
        <v>0</v>
      </c>
    </row>
    <row r="49" spans="2:11" x14ac:dyDescent="0.25">
      <c r="B49" s="139">
        <v>584801648</v>
      </c>
      <c r="C49" s="139" t="s">
        <v>80</v>
      </c>
      <c r="D49" s="142">
        <v>45496.617755497697</v>
      </c>
      <c r="E49" s="139" t="s">
        <v>131</v>
      </c>
      <c r="F49" s="162" t="s">
        <v>50</v>
      </c>
      <c r="G49" s="33" t="str">
        <f>IFERROR(INDEX([1]Positions!$A:$A,MATCH(F49,[1]Positions!$C:$C,0)),"Other")</f>
        <v>MISC</v>
      </c>
      <c r="H49" s="33" t="b">
        <f t="shared" si="0"/>
        <v>1</v>
      </c>
      <c r="I49" s="33" t="str">
        <f t="shared" si="1"/>
        <v>2024-07-23</v>
      </c>
      <c r="J49" s="148">
        <v>3.26</v>
      </c>
      <c r="K49" s="159" t="s">
        <v>0</v>
      </c>
    </row>
    <row r="50" spans="2:11" x14ac:dyDescent="0.25">
      <c r="B50" s="130">
        <v>584801643</v>
      </c>
      <c r="C50" s="130" t="s">
        <v>77</v>
      </c>
      <c r="D50" s="133">
        <v>45496.617755081003</v>
      </c>
      <c r="E50" s="130" t="s">
        <v>79</v>
      </c>
      <c r="F50" s="161" t="s">
        <v>49</v>
      </c>
      <c r="G50" s="33" t="str">
        <f>IFERROR(INDEX([1]Positions!$A:$A,MATCH(F50,[1]Positions!$C:$C,0)),"Other")</f>
        <v>MISC</v>
      </c>
      <c r="H50" s="33" t="b">
        <f t="shared" si="0"/>
        <v>1</v>
      </c>
      <c r="I50" s="33" t="str">
        <f t="shared" si="1"/>
        <v>2024-07-23</v>
      </c>
      <c r="J50" s="147">
        <v>-0.01</v>
      </c>
      <c r="K50" s="159" t="s">
        <v>0</v>
      </c>
    </row>
    <row r="51" spans="2:11" x14ac:dyDescent="0.25">
      <c r="B51" s="139">
        <v>584801644</v>
      </c>
      <c r="C51" s="139" t="s">
        <v>80</v>
      </c>
      <c r="D51" s="142">
        <v>45496.617755081003</v>
      </c>
      <c r="E51" s="139" t="s">
        <v>133</v>
      </c>
      <c r="F51" s="162" t="s">
        <v>49</v>
      </c>
      <c r="G51" s="33" t="str">
        <f>IFERROR(INDEX([1]Positions!$A:$A,MATCH(F51,[1]Positions!$C:$C,0)),"Other")</f>
        <v>MISC</v>
      </c>
      <c r="H51" s="33" t="b">
        <f t="shared" si="0"/>
        <v>1</v>
      </c>
      <c r="I51" s="33" t="str">
        <f t="shared" si="1"/>
        <v>2024-07-23</v>
      </c>
      <c r="J51" s="148">
        <v>3.78</v>
      </c>
      <c r="K51" s="159" t="s">
        <v>0</v>
      </c>
    </row>
    <row r="52" spans="2:11" x14ac:dyDescent="0.25">
      <c r="B52" s="130">
        <v>585465634</v>
      </c>
      <c r="C52" s="130" t="s">
        <v>73</v>
      </c>
      <c r="D52" s="133">
        <v>45497.654235891197</v>
      </c>
      <c r="E52" s="130" t="s">
        <v>134</v>
      </c>
      <c r="F52" s="161" t="s">
        <v>51</v>
      </c>
      <c r="G52" s="33" t="str">
        <f>IFERROR(INDEX([1]Positions!$A:$A,MATCH(F52,[1]Positions!$C:$C,0)),"Other")</f>
        <v>MISC</v>
      </c>
      <c r="H52" s="33" t="b">
        <f t="shared" si="0"/>
        <v>1</v>
      </c>
      <c r="I52" s="33" t="str">
        <f t="shared" si="1"/>
        <v>2024-07-24</v>
      </c>
      <c r="J52" s="147">
        <v>-4.97</v>
      </c>
      <c r="K52" s="159" t="s">
        <v>0</v>
      </c>
    </row>
    <row r="53" spans="2:11" x14ac:dyDescent="0.25">
      <c r="B53" s="139">
        <v>585465630</v>
      </c>
      <c r="C53" s="139" t="s">
        <v>77</v>
      </c>
      <c r="D53" s="142">
        <v>45497.654235486101</v>
      </c>
      <c r="E53" s="139" t="s">
        <v>84</v>
      </c>
      <c r="F53" s="162" t="s">
        <v>50</v>
      </c>
      <c r="G53" s="33" t="str">
        <f>IFERROR(INDEX([1]Positions!$A:$A,MATCH(F53,[1]Positions!$C:$C,0)),"Other")</f>
        <v>MISC</v>
      </c>
      <c r="H53" s="33" t="b">
        <f t="shared" si="0"/>
        <v>1</v>
      </c>
      <c r="I53" s="33" t="str">
        <f t="shared" si="1"/>
        <v>2024-07-24</v>
      </c>
      <c r="J53" s="145">
        <v>-0.01</v>
      </c>
      <c r="K53" s="159" t="s">
        <v>0</v>
      </c>
    </row>
    <row r="54" spans="2:11" x14ac:dyDescent="0.25">
      <c r="B54" s="130">
        <v>585465631</v>
      </c>
      <c r="C54" s="130" t="s">
        <v>80</v>
      </c>
      <c r="D54" s="133">
        <v>45497.654235486101</v>
      </c>
      <c r="E54" s="130" t="s">
        <v>135</v>
      </c>
      <c r="F54" s="161" t="s">
        <v>50</v>
      </c>
      <c r="G54" s="33" t="str">
        <f>IFERROR(INDEX([1]Positions!$A:$A,MATCH(F54,[1]Positions!$C:$C,0)),"Other")</f>
        <v>MISC</v>
      </c>
      <c r="H54" s="33" t="b">
        <f t="shared" si="0"/>
        <v>1</v>
      </c>
      <c r="I54" s="33" t="str">
        <f t="shared" si="1"/>
        <v>2024-07-24</v>
      </c>
      <c r="J54" s="136">
        <v>3.23</v>
      </c>
      <c r="K54" s="159" t="s">
        <v>0</v>
      </c>
    </row>
    <row r="55" spans="2:11" x14ac:dyDescent="0.25">
      <c r="B55" s="139">
        <v>807888051</v>
      </c>
      <c r="C55" s="139" t="s">
        <v>73</v>
      </c>
      <c r="D55" s="142">
        <v>45789.648593784703</v>
      </c>
      <c r="E55" s="139" t="s">
        <v>743</v>
      </c>
      <c r="F55" s="162" t="s">
        <v>961</v>
      </c>
      <c r="G55" s="33" t="str">
        <f>IFERROR(INDEX([1]Positions!$A:$A,MATCH(F55,[1]Positions!$C:$C,0)),"Other")</f>
        <v>Financial Services</v>
      </c>
      <c r="H55" s="33" t="b">
        <f t="shared" si="0"/>
        <v>1</v>
      </c>
      <c r="I55" s="33" t="str">
        <f t="shared" si="1"/>
        <v>2025-05-12</v>
      </c>
      <c r="J55" s="145">
        <v>-19.989999999999998</v>
      </c>
      <c r="K55" s="159" t="s">
        <v>0</v>
      </c>
    </row>
    <row r="56" spans="2:11" x14ac:dyDescent="0.25">
      <c r="B56" s="130">
        <v>585465632</v>
      </c>
      <c r="C56" s="130" t="s">
        <v>77</v>
      </c>
      <c r="D56" s="133">
        <v>45497.654235659698</v>
      </c>
      <c r="E56" s="130" t="s">
        <v>79</v>
      </c>
      <c r="F56" s="161" t="s">
        <v>49</v>
      </c>
      <c r="G56" s="33" t="str">
        <f>IFERROR(INDEX([1]Positions!$A:$A,MATCH(F56,[1]Positions!$C:$C,0)),"Other")</f>
        <v>MISC</v>
      </c>
      <c r="H56" s="33" t="b">
        <f t="shared" si="0"/>
        <v>1</v>
      </c>
      <c r="I56" s="33" t="str">
        <f t="shared" si="1"/>
        <v>2024-07-24</v>
      </c>
      <c r="J56" s="147">
        <v>-0.01</v>
      </c>
      <c r="K56" s="159" t="s">
        <v>0</v>
      </c>
    </row>
    <row r="57" spans="2:11" x14ac:dyDescent="0.25">
      <c r="B57" s="139">
        <v>585465633</v>
      </c>
      <c r="C57" s="139" t="s">
        <v>80</v>
      </c>
      <c r="D57" s="142">
        <v>45497.654235659698</v>
      </c>
      <c r="E57" s="139" t="s">
        <v>136</v>
      </c>
      <c r="F57" s="162" t="s">
        <v>49</v>
      </c>
      <c r="G57" s="33" t="str">
        <f>IFERROR(INDEX([1]Positions!$A:$A,MATCH(F57,[1]Positions!$C:$C,0)),"Other")</f>
        <v>MISC</v>
      </c>
      <c r="H57" s="33" t="b">
        <f t="shared" si="0"/>
        <v>1</v>
      </c>
      <c r="I57" s="33" t="str">
        <f t="shared" si="1"/>
        <v>2024-07-24</v>
      </c>
      <c r="J57" s="148">
        <v>2.6</v>
      </c>
      <c r="K57" s="159" t="s">
        <v>0</v>
      </c>
    </row>
    <row r="58" spans="2:11" x14ac:dyDescent="0.25">
      <c r="B58" s="130">
        <v>585515127</v>
      </c>
      <c r="C58" s="130" t="s">
        <v>77</v>
      </c>
      <c r="D58" s="133">
        <v>45497.677394178201</v>
      </c>
      <c r="E58" s="130" t="s">
        <v>79</v>
      </c>
      <c r="F58" s="161" t="s">
        <v>49</v>
      </c>
      <c r="G58" s="33" t="str">
        <f>IFERROR(INDEX([1]Positions!$A:$A,MATCH(F58,[1]Positions!$C:$C,0)),"Other")</f>
        <v>MISC</v>
      </c>
      <c r="H58" s="33" t="b">
        <f t="shared" si="0"/>
        <v>1</v>
      </c>
      <c r="I58" s="33" t="str">
        <f t="shared" si="1"/>
        <v>2024-07-24</v>
      </c>
      <c r="J58" s="136">
        <v>0</v>
      </c>
      <c r="K58" s="159" t="s">
        <v>0</v>
      </c>
    </row>
    <row r="59" spans="2:11" x14ac:dyDescent="0.25">
      <c r="B59" s="139">
        <v>585515128</v>
      </c>
      <c r="C59" s="139" t="s">
        <v>80</v>
      </c>
      <c r="D59" s="142">
        <v>45497.677394178201</v>
      </c>
      <c r="E59" s="139" t="s">
        <v>138</v>
      </c>
      <c r="F59" s="162" t="s">
        <v>49</v>
      </c>
      <c r="G59" s="33" t="str">
        <f>IFERROR(INDEX([1]Positions!$A:$A,MATCH(F59,[1]Positions!$C:$C,0)),"Other")</f>
        <v>MISC</v>
      </c>
      <c r="H59" s="33" t="b">
        <f t="shared" si="0"/>
        <v>1</v>
      </c>
      <c r="I59" s="33" t="str">
        <f t="shared" si="1"/>
        <v>2024-07-24</v>
      </c>
      <c r="J59" s="148">
        <v>5.98</v>
      </c>
      <c r="K59" s="159" t="s">
        <v>0</v>
      </c>
    </row>
    <row r="60" spans="2:11" x14ac:dyDescent="0.25">
      <c r="B60" s="130">
        <v>585515124</v>
      </c>
      <c r="C60" s="130" t="s">
        <v>77</v>
      </c>
      <c r="D60" s="133">
        <v>45497.677393784703</v>
      </c>
      <c r="E60" s="130" t="s">
        <v>84</v>
      </c>
      <c r="F60" s="161" t="s">
        <v>50</v>
      </c>
      <c r="G60" s="33" t="str">
        <f>IFERROR(INDEX([1]Positions!$A:$A,MATCH(F60,[1]Positions!$C:$C,0)),"Other")</f>
        <v>MISC</v>
      </c>
      <c r="H60" s="33" t="b">
        <f t="shared" si="0"/>
        <v>1</v>
      </c>
      <c r="I60" s="33" t="str">
        <f t="shared" si="1"/>
        <v>2024-07-24</v>
      </c>
      <c r="J60" s="136">
        <v>0</v>
      </c>
      <c r="K60" s="159" t="s">
        <v>0</v>
      </c>
    </row>
    <row r="61" spans="2:11" x14ac:dyDescent="0.25">
      <c r="B61" s="139">
        <v>585515125</v>
      </c>
      <c r="C61" s="139" t="s">
        <v>80</v>
      </c>
      <c r="D61" s="142">
        <v>45497.677393784703</v>
      </c>
      <c r="E61" s="139" t="s">
        <v>139</v>
      </c>
      <c r="F61" s="162" t="s">
        <v>50</v>
      </c>
      <c r="G61" s="33" t="str">
        <f>IFERROR(INDEX([1]Positions!$A:$A,MATCH(F61,[1]Positions!$C:$C,0)),"Other")</f>
        <v>MISC</v>
      </c>
      <c r="H61" s="33" t="b">
        <f t="shared" si="0"/>
        <v>1</v>
      </c>
      <c r="I61" s="33" t="str">
        <f t="shared" si="1"/>
        <v>2024-07-24</v>
      </c>
      <c r="J61" s="148">
        <v>5.81</v>
      </c>
      <c r="K61" s="159" t="s">
        <v>0</v>
      </c>
    </row>
    <row r="62" spans="2:11" x14ac:dyDescent="0.25">
      <c r="B62" s="130">
        <v>589161439</v>
      </c>
      <c r="C62" s="130" t="s">
        <v>77</v>
      </c>
      <c r="D62" s="133">
        <v>45504.635563750002</v>
      </c>
      <c r="E62" s="130" t="s">
        <v>84</v>
      </c>
      <c r="F62" s="161" t="s">
        <v>50</v>
      </c>
      <c r="G62" s="33" t="str">
        <f>IFERROR(INDEX([1]Positions!$A:$A,MATCH(F62,[1]Positions!$C:$C,0)),"Other")</f>
        <v>MISC</v>
      </c>
      <c r="H62" s="33" t="b">
        <f t="shared" si="0"/>
        <v>1</v>
      </c>
      <c r="I62" s="33" t="str">
        <f t="shared" si="1"/>
        <v>2024-07-31</v>
      </c>
      <c r="J62" s="136">
        <v>0.01</v>
      </c>
      <c r="K62" s="159" t="s">
        <v>0</v>
      </c>
    </row>
    <row r="63" spans="2:11" x14ac:dyDescent="0.25">
      <c r="B63" s="139">
        <v>589161440</v>
      </c>
      <c r="C63" s="139" t="s">
        <v>80</v>
      </c>
      <c r="D63" s="142">
        <v>45504.635563750002</v>
      </c>
      <c r="E63" s="139" t="s">
        <v>140</v>
      </c>
      <c r="F63" s="162" t="s">
        <v>50</v>
      </c>
      <c r="G63" s="33" t="str">
        <f>IFERROR(INDEX([1]Positions!$A:$A,MATCH(F63,[1]Positions!$C:$C,0)),"Other")</f>
        <v>MISC</v>
      </c>
      <c r="H63" s="33" t="b">
        <f t="shared" si="0"/>
        <v>1</v>
      </c>
      <c r="I63" s="33" t="str">
        <f t="shared" si="1"/>
        <v>2024-07-31</v>
      </c>
      <c r="J63" s="148">
        <v>2.44</v>
      </c>
      <c r="K63" s="159" t="s">
        <v>0</v>
      </c>
    </row>
    <row r="64" spans="2:11" x14ac:dyDescent="0.25">
      <c r="B64" s="130">
        <v>589161441</v>
      </c>
      <c r="C64" s="130" t="s">
        <v>77</v>
      </c>
      <c r="D64" s="133">
        <v>45504.635564201402</v>
      </c>
      <c r="E64" s="130" t="s">
        <v>79</v>
      </c>
      <c r="F64" s="161" t="s">
        <v>49</v>
      </c>
      <c r="G64" s="33" t="str">
        <f>IFERROR(INDEX([1]Positions!$A:$A,MATCH(F64,[1]Positions!$C:$C,0)),"Other")</f>
        <v>MISC</v>
      </c>
      <c r="H64" s="33" t="b">
        <f t="shared" si="0"/>
        <v>1</v>
      </c>
      <c r="I64" s="33" t="str">
        <f t="shared" si="1"/>
        <v>2024-07-31</v>
      </c>
      <c r="J64" s="136">
        <v>0</v>
      </c>
      <c r="K64" s="159" t="s">
        <v>0</v>
      </c>
    </row>
    <row r="65" spans="2:11" x14ac:dyDescent="0.25">
      <c r="B65" s="139">
        <v>589161442</v>
      </c>
      <c r="C65" s="139" t="s">
        <v>80</v>
      </c>
      <c r="D65" s="142">
        <v>45504.635564201402</v>
      </c>
      <c r="E65" s="139" t="s">
        <v>141</v>
      </c>
      <c r="F65" s="162" t="s">
        <v>49</v>
      </c>
      <c r="G65" s="33" t="str">
        <f>IFERROR(INDEX([1]Positions!$A:$A,MATCH(F65,[1]Positions!$C:$C,0)),"Other")</f>
        <v>MISC</v>
      </c>
      <c r="H65" s="33" t="b">
        <f t="shared" si="0"/>
        <v>1</v>
      </c>
      <c r="I65" s="33" t="str">
        <f t="shared" si="1"/>
        <v>2024-07-31</v>
      </c>
      <c r="J65" s="148">
        <v>2.41</v>
      </c>
      <c r="K65" s="159" t="s">
        <v>0</v>
      </c>
    </row>
    <row r="66" spans="2:11" x14ac:dyDescent="0.25">
      <c r="B66" s="130">
        <v>750463509</v>
      </c>
      <c r="C66" s="130" t="s">
        <v>69</v>
      </c>
      <c r="D66" s="133">
        <v>45733.478484965301</v>
      </c>
      <c r="E66" s="130" t="s">
        <v>744</v>
      </c>
      <c r="F66" s="161" t="s">
        <v>516</v>
      </c>
      <c r="G66" s="33" t="str">
        <f>IFERROR(INDEX([1]Positions!$A:$A,MATCH(F66,[1]Positions!$C:$C,0)),"Other")</f>
        <v>Energy &amp; Utilities</v>
      </c>
      <c r="H66" s="33" t="b">
        <f t="shared" si="0"/>
        <v>1</v>
      </c>
      <c r="I66" s="33" t="str">
        <f t="shared" si="1"/>
        <v>2025-03-17</v>
      </c>
      <c r="J66" s="136">
        <v>0.15</v>
      </c>
      <c r="K66" s="159" t="s">
        <v>0</v>
      </c>
    </row>
    <row r="67" spans="2:11" x14ac:dyDescent="0.25">
      <c r="B67" s="139">
        <v>589161443</v>
      </c>
      <c r="C67" s="139" t="s">
        <v>73</v>
      </c>
      <c r="D67" s="142">
        <v>45504.635564317097</v>
      </c>
      <c r="E67" s="139" t="s">
        <v>144</v>
      </c>
      <c r="F67" s="162" t="s">
        <v>51</v>
      </c>
      <c r="G67" s="33" t="str">
        <f>IFERROR(INDEX([1]Positions!$A:$A,MATCH(F67,[1]Positions!$C:$C,0)),"Other")</f>
        <v>MISC</v>
      </c>
      <c r="H67" s="33" t="b">
        <f t="shared" si="0"/>
        <v>1</v>
      </c>
      <c r="I67" s="33" t="str">
        <f t="shared" si="1"/>
        <v>2024-07-31</v>
      </c>
      <c r="J67" s="145">
        <v>-2.46</v>
      </c>
      <c r="K67" s="159" t="s">
        <v>0</v>
      </c>
    </row>
    <row r="68" spans="2:11" x14ac:dyDescent="0.25">
      <c r="B68" s="130">
        <v>589165770</v>
      </c>
      <c r="C68" s="130" t="s">
        <v>73</v>
      </c>
      <c r="D68" s="133">
        <v>45504.641581655102</v>
      </c>
      <c r="E68" s="130" t="s">
        <v>145</v>
      </c>
      <c r="F68" s="161" t="s">
        <v>51</v>
      </c>
      <c r="G68" s="33" t="str">
        <f>IFERROR(INDEX([1]Positions!$A:$A,MATCH(F68,[1]Positions!$C:$C,0)),"Other")</f>
        <v>MISC</v>
      </c>
      <c r="H68" s="33" t="b">
        <f t="shared" si="0"/>
        <v>1</v>
      </c>
      <c r="I68" s="33" t="str">
        <f t="shared" si="1"/>
        <v>2024-07-31</v>
      </c>
      <c r="J68" s="147">
        <v>-2.5</v>
      </c>
      <c r="K68" s="159" t="s">
        <v>0</v>
      </c>
    </row>
    <row r="69" spans="2:11" x14ac:dyDescent="0.25">
      <c r="B69" s="139">
        <v>589166859</v>
      </c>
      <c r="C69" s="139" t="s">
        <v>73</v>
      </c>
      <c r="D69" s="142">
        <v>45504.64299375</v>
      </c>
      <c r="E69" s="139" t="s">
        <v>146</v>
      </c>
      <c r="F69" s="162" t="s">
        <v>51</v>
      </c>
      <c r="G69" s="33" t="str">
        <f>IFERROR(INDEX([1]Positions!$A:$A,MATCH(F69,[1]Positions!$C:$C,0)),"Other")</f>
        <v>MISC</v>
      </c>
      <c r="H69" s="33" t="b">
        <f t="shared" si="0"/>
        <v>1</v>
      </c>
      <c r="I69" s="33" t="str">
        <f t="shared" si="1"/>
        <v>2024-07-31</v>
      </c>
      <c r="J69" s="145">
        <v>-4.99</v>
      </c>
      <c r="K69" s="159" t="s">
        <v>0</v>
      </c>
    </row>
    <row r="70" spans="2:11" x14ac:dyDescent="0.25">
      <c r="B70" s="130">
        <v>589165768</v>
      </c>
      <c r="C70" s="130" t="s">
        <v>77</v>
      </c>
      <c r="D70" s="133">
        <v>45504.641581574098</v>
      </c>
      <c r="E70" s="130" t="s">
        <v>79</v>
      </c>
      <c r="F70" s="161" t="s">
        <v>49</v>
      </c>
      <c r="G70" s="33" t="str">
        <f>IFERROR(INDEX([1]Positions!$A:$A,MATCH(F70,[1]Positions!$C:$C,0)),"Other")</f>
        <v>MISC</v>
      </c>
      <c r="H70" s="33" t="b">
        <f t="shared" si="0"/>
        <v>1</v>
      </c>
      <c r="I70" s="33" t="str">
        <f t="shared" si="1"/>
        <v>2024-07-31</v>
      </c>
      <c r="J70" s="136">
        <v>0</v>
      </c>
      <c r="K70" s="159" t="s">
        <v>0</v>
      </c>
    </row>
    <row r="71" spans="2:11" x14ac:dyDescent="0.25">
      <c r="B71" s="139">
        <v>589165769</v>
      </c>
      <c r="C71" s="139" t="s">
        <v>80</v>
      </c>
      <c r="D71" s="142">
        <v>45504.641581574098</v>
      </c>
      <c r="E71" s="139" t="s">
        <v>147</v>
      </c>
      <c r="F71" s="162" t="s">
        <v>49</v>
      </c>
      <c r="G71" s="33" t="str">
        <f>IFERROR(INDEX([1]Positions!$A:$A,MATCH(F71,[1]Positions!$C:$C,0)),"Other")</f>
        <v>MISC</v>
      </c>
      <c r="H71" s="33" t="b">
        <f t="shared" si="0"/>
        <v>1</v>
      </c>
      <c r="I71" s="33" t="str">
        <f t="shared" si="1"/>
        <v>2024-07-31</v>
      </c>
      <c r="J71" s="148">
        <v>2.5099999999999998</v>
      </c>
      <c r="K71" s="159" t="s">
        <v>0</v>
      </c>
    </row>
    <row r="72" spans="2:11" x14ac:dyDescent="0.25">
      <c r="B72" s="130">
        <v>589166872</v>
      </c>
      <c r="C72" s="130" t="s">
        <v>73</v>
      </c>
      <c r="D72" s="133">
        <v>45504.643012916698</v>
      </c>
      <c r="E72" s="130" t="s">
        <v>149</v>
      </c>
      <c r="F72" s="161" t="s">
        <v>50</v>
      </c>
      <c r="G72" s="33" t="str">
        <f>IFERROR(INDEX([1]Positions!$A:$A,MATCH(F72,[1]Positions!$C:$C,0)),"Other")</f>
        <v>MISC</v>
      </c>
      <c r="H72" s="33" t="b">
        <f t="shared" si="0"/>
        <v>1</v>
      </c>
      <c r="I72" s="33" t="str">
        <f t="shared" si="1"/>
        <v>2024-07-31</v>
      </c>
      <c r="J72" s="147">
        <v>-5.84</v>
      </c>
      <c r="K72" s="159" t="s">
        <v>0</v>
      </c>
    </row>
    <row r="73" spans="2:11" x14ac:dyDescent="0.25">
      <c r="B73" s="139">
        <v>750463510</v>
      </c>
      <c r="C73" s="139" t="s">
        <v>70</v>
      </c>
      <c r="D73" s="142">
        <v>45733.478484965301</v>
      </c>
      <c r="E73" s="139" t="s">
        <v>745</v>
      </c>
      <c r="F73" s="162" t="s">
        <v>516</v>
      </c>
      <c r="G73" s="33" t="str">
        <f>IFERROR(INDEX([1]Positions!$A:$A,MATCH(F73,[1]Positions!$C:$C,0)),"Other")</f>
        <v>Energy &amp; Utilities</v>
      </c>
      <c r="H73" s="33" t="b">
        <f t="shared" si="0"/>
        <v>1</v>
      </c>
      <c r="I73" s="33" t="str">
        <f t="shared" si="1"/>
        <v>2025-03-17</v>
      </c>
      <c r="J73" s="145">
        <v>-0.05</v>
      </c>
      <c r="K73" s="159" t="s">
        <v>0</v>
      </c>
    </row>
    <row r="74" spans="2:11" x14ac:dyDescent="0.25">
      <c r="B74" s="130">
        <v>750464758</v>
      </c>
      <c r="C74" s="130" t="s">
        <v>69</v>
      </c>
      <c r="D74" s="133">
        <v>45733.478486469903</v>
      </c>
      <c r="E74" s="130" t="s">
        <v>744</v>
      </c>
      <c r="F74" s="161" t="s">
        <v>516</v>
      </c>
      <c r="G74" s="33" t="str">
        <f>IFERROR(INDEX([1]Positions!$A:$A,MATCH(F74,[1]Positions!$C:$C,0)),"Other")</f>
        <v>Energy &amp; Utilities</v>
      </c>
      <c r="H74" s="33" t="b">
        <f t="shared" si="0"/>
        <v>1</v>
      </c>
      <c r="I74" s="33" t="str">
        <f t="shared" si="1"/>
        <v>2025-03-17</v>
      </c>
      <c r="J74" s="136">
        <v>0.11</v>
      </c>
      <c r="K74" s="159" t="s">
        <v>0</v>
      </c>
    </row>
    <row r="75" spans="2:11" x14ac:dyDescent="0.25">
      <c r="B75" s="139">
        <v>589166858</v>
      </c>
      <c r="C75" s="139" t="s">
        <v>73</v>
      </c>
      <c r="D75" s="142">
        <v>45504.642993680602</v>
      </c>
      <c r="E75" s="139" t="s">
        <v>150</v>
      </c>
      <c r="F75" s="162" t="s">
        <v>49</v>
      </c>
      <c r="G75" s="33" t="str">
        <f>IFERROR(INDEX([1]Positions!$A:$A,MATCH(F75,[1]Positions!$C:$C,0)),"Other")</f>
        <v>MISC</v>
      </c>
      <c r="H75" s="33" t="b">
        <f t="shared" si="0"/>
        <v>1</v>
      </c>
      <c r="I75" s="33" t="str">
        <f t="shared" si="1"/>
        <v>2024-07-31</v>
      </c>
      <c r="J75" s="145">
        <v>-2.52</v>
      </c>
      <c r="K75" s="159" t="s">
        <v>0</v>
      </c>
    </row>
    <row r="76" spans="2:11" x14ac:dyDescent="0.25">
      <c r="B76" s="130">
        <v>589166860</v>
      </c>
      <c r="C76" s="130" t="s">
        <v>73</v>
      </c>
      <c r="D76" s="133">
        <v>45504.642993819398</v>
      </c>
      <c r="E76" s="130" t="s">
        <v>151</v>
      </c>
      <c r="F76" s="161" t="s">
        <v>50</v>
      </c>
      <c r="G76" s="33" t="str">
        <f>IFERROR(INDEX([1]Positions!$A:$A,MATCH(F76,[1]Positions!$C:$C,0)),"Other")</f>
        <v>MISC</v>
      </c>
      <c r="H76" s="33" t="b">
        <f t="shared" ref="H76:H139" si="2">ISNUMBER(D76)</f>
        <v>1</v>
      </c>
      <c r="I76" s="33" t="str">
        <f t="shared" ref="I76:I139" si="3">TEXT(D76,"YYYY-MM-DD")</f>
        <v>2024-07-31</v>
      </c>
      <c r="J76" s="147">
        <v>-1.62</v>
      </c>
      <c r="K76" s="159" t="s">
        <v>0</v>
      </c>
    </row>
    <row r="77" spans="2:11" x14ac:dyDescent="0.25">
      <c r="B77" s="139">
        <v>622623348</v>
      </c>
      <c r="C77" s="139" t="s">
        <v>69</v>
      </c>
      <c r="D77" s="142">
        <v>45560.500259988403</v>
      </c>
      <c r="E77" s="139" t="s">
        <v>152</v>
      </c>
      <c r="F77" s="162" t="s">
        <v>51</v>
      </c>
      <c r="G77" s="33" t="str">
        <f>IFERROR(INDEX([1]Positions!$A:$A,MATCH(F77,[1]Positions!$C:$C,0)),"Other")</f>
        <v>MISC</v>
      </c>
      <c r="H77" s="33" t="b">
        <f t="shared" si="2"/>
        <v>1</v>
      </c>
      <c r="I77" s="33" t="str">
        <f t="shared" si="3"/>
        <v>2024-09-25</v>
      </c>
      <c r="J77" s="148">
        <v>0.04</v>
      </c>
      <c r="K77" s="159" t="s">
        <v>0</v>
      </c>
    </row>
    <row r="78" spans="2:11" x14ac:dyDescent="0.25">
      <c r="B78" s="130">
        <v>750464759</v>
      </c>
      <c r="C78" s="130" t="s">
        <v>70</v>
      </c>
      <c r="D78" s="133">
        <v>45733.478486481501</v>
      </c>
      <c r="E78" s="130" t="s">
        <v>745</v>
      </c>
      <c r="F78" s="161" t="s">
        <v>516</v>
      </c>
      <c r="G78" s="33" t="str">
        <f>IFERROR(INDEX([1]Positions!$A:$A,MATCH(F78,[1]Positions!$C:$C,0)),"Other")</f>
        <v>Energy &amp; Utilities</v>
      </c>
      <c r="H78" s="33" t="b">
        <f t="shared" si="2"/>
        <v>1</v>
      </c>
      <c r="I78" s="33" t="str">
        <f t="shared" si="3"/>
        <v>2025-03-17</v>
      </c>
      <c r="J78" s="147">
        <v>-0.03</v>
      </c>
      <c r="K78" s="159" t="s">
        <v>0</v>
      </c>
    </row>
    <row r="79" spans="2:11" x14ac:dyDescent="0.25">
      <c r="B79" s="139">
        <v>622623355</v>
      </c>
      <c r="C79" s="139" t="s">
        <v>69</v>
      </c>
      <c r="D79" s="142">
        <v>45560.500260011599</v>
      </c>
      <c r="E79" s="139" t="s">
        <v>152</v>
      </c>
      <c r="F79" s="162" t="s">
        <v>51</v>
      </c>
      <c r="G79" s="33" t="str">
        <f>IFERROR(INDEX([1]Positions!$A:$A,MATCH(F79,[1]Positions!$C:$C,0)),"Other")</f>
        <v>MISC</v>
      </c>
      <c r="H79" s="33" t="b">
        <f t="shared" si="2"/>
        <v>1</v>
      </c>
      <c r="I79" s="33" t="str">
        <f t="shared" si="3"/>
        <v>2024-09-25</v>
      </c>
      <c r="J79" s="148">
        <v>0.02</v>
      </c>
      <c r="K79" s="159" t="s">
        <v>0</v>
      </c>
    </row>
    <row r="80" spans="2:11" x14ac:dyDescent="0.25">
      <c r="B80" s="130">
        <v>750460423</v>
      </c>
      <c r="C80" s="130" t="s">
        <v>69</v>
      </c>
      <c r="D80" s="133">
        <v>45733.478481365702</v>
      </c>
      <c r="E80" s="130" t="s">
        <v>744</v>
      </c>
      <c r="F80" s="161" t="s">
        <v>516</v>
      </c>
      <c r="G80" s="33" t="str">
        <f>IFERROR(INDEX([1]Positions!$A:$A,MATCH(F80,[1]Positions!$C:$C,0)),"Other")</f>
        <v>Energy &amp; Utilities</v>
      </c>
      <c r="H80" s="33" t="b">
        <f t="shared" si="2"/>
        <v>1</v>
      </c>
      <c r="I80" s="33" t="str">
        <f t="shared" si="3"/>
        <v>2025-03-17</v>
      </c>
      <c r="J80" s="136">
        <v>0.17</v>
      </c>
      <c r="K80" s="159" t="s">
        <v>0</v>
      </c>
    </row>
    <row r="81" spans="2:11" x14ac:dyDescent="0.25">
      <c r="B81" s="139">
        <v>622623917</v>
      </c>
      <c r="C81" s="139" t="s">
        <v>69</v>
      </c>
      <c r="D81" s="142">
        <v>45560.500261238398</v>
      </c>
      <c r="E81" s="139" t="s">
        <v>152</v>
      </c>
      <c r="F81" s="162" t="s">
        <v>51</v>
      </c>
      <c r="G81" s="33" t="str">
        <f>IFERROR(INDEX([1]Positions!$A:$A,MATCH(F81,[1]Positions!$C:$C,0)),"Other")</f>
        <v>MISC</v>
      </c>
      <c r="H81" s="33" t="b">
        <f t="shared" si="2"/>
        <v>1</v>
      </c>
      <c r="I81" s="33" t="str">
        <f t="shared" si="3"/>
        <v>2024-09-25</v>
      </c>
      <c r="J81" s="148">
        <v>0.04</v>
      </c>
      <c r="K81" s="159" t="s">
        <v>0</v>
      </c>
    </row>
    <row r="82" spans="2:11" x14ac:dyDescent="0.25">
      <c r="B82" s="130">
        <v>622625644</v>
      </c>
      <c r="C82" s="130" t="s">
        <v>69</v>
      </c>
      <c r="D82" s="133">
        <v>45560.5002651389</v>
      </c>
      <c r="E82" s="130" t="s">
        <v>152</v>
      </c>
      <c r="F82" s="161" t="s">
        <v>51</v>
      </c>
      <c r="G82" s="33" t="str">
        <f>IFERROR(INDEX([1]Positions!$A:$A,MATCH(F82,[1]Positions!$C:$C,0)),"Other")</f>
        <v>MISC</v>
      </c>
      <c r="H82" s="33" t="b">
        <f t="shared" si="2"/>
        <v>1</v>
      </c>
      <c r="I82" s="33" t="str">
        <f t="shared" si="3"/>
        <v>2024-09-25</v>
      </c>
      <c r="J82" s="136">
        <v>0.02</v>
      </c>
      <c r="K82" s="159" t="s">
        <v>0</v>
      </c>
    </row>
    <row r="83" spans="2:11" x14ac:dyDescent="0.25">
      <c r="B83" s="139">
        <v>622630052</v>
      </c>
      <c r="C83" s="139" t="s">
        <v>69</v>
      </c>
      <c r="D83" s="142">
        <v>45560.500276412</v>
      </c>
      <c r="E83" s="139" t="s">
        <v>152</v>
      </c>
      <c r="F83" s="162" t="s">
        <v>51</v>
      </c>
      <c r="G83" s="33" t="str">
        <f>IFERROR(INDEX([1]Positions!$A:$A,MATCH(F83,[1]Positions!$C:$C,0)),"Other")</f>
        <v>MISC</v>
      </c>
      <c r="H83" s="33" t="b">
        <f t="shared" si="2"/>
        <v>1</v>
      </c>
      <c r="I83" s="33" t="str">
        <f t="shared" si="3"/>
        <v>2024-09-25</v>
      </c>
      <c r="J83" s="148">
        <v>0.02</v>
      </c>
      <c r="K83" s="159" t="s">
        <v>0</v>
      </c>
    </row>
    <row r="84" spans="2:11" x14ac:dyDescent="0.25">
      <c r="B84" s="130">
        <v>750460424</v>
      </c>
      <c r="C84" s="130" t="s">
        <v>70</v>
      </c>
      <c r="D84" s="133">
        <v>45733.478481365702</v>
      </c>
      <c r="E84" s="130" t="s">
        <v>745</v>
      </c>
      <c r="F84" s="161" t="s">
        <v>516</v>
      </c>
      <c r="G84" s="33" t="str">
        <f>IFERROR(INDEX([1]Positions!$A:$A,MATCH(F84,[1]Positions!$C:$C,0)),"Other")</f>
        <v>Energy &amp; Utilities</v>
      </c>
      <c r="H84" s="33" t="b">
        <f t="shared" si="2"/>
        <v>1</v>
      </c>
      <c r="I84" s="33" t="str">
        <f t="shared" si="3"/>
        <v>2025-03-17</v>
      </c>
      <c r="J84" s="147">
        <v>-0.05</v>
      </c>
      <c r="K84" s="159" t="s">
        <v>0</v>
      </c>
    </row>
    <row r="85" spans="2:11" x14ac:dyDescent="0.25">
      <c r="B85" s="139">
        <v>750624973</v>
      </c>
      <c r="C85" s="139" t="s">
        <v>69</v>
      </c>
      <c r="D85" s="142">
        <v>45733.485652638898</v>
      </c>
      <c r="E85" s="139" t="s">
        <v>746</v>
      </c>
      <c r="F85" s="162" t="s">
        <v>517</v>
      </c>
      <c r="G85" s="33" t="str">
        <f>IFERROR(INDEX([1]Positions!$A:$A,MATCH(F85,[1]Positions!$C:$C,0)),"Other")</f>
        <v>Technology</v>
      </c>
      <c r="H85" s="33" t="b">
        <f t="shared" si="2"/>
        <v>1</v>
      </c>
      <c r="I85" s="33" t="str">
        <f t="shared" si="3"/>
        <v>2025-03-17</v>
      </c>
      <c r="J85" s="148">
        <v>0.01</v>
      </c>
      <c r="K85" s="159" t="s">
        <v>0</v>
      </c>
    </row>
    <row r="86" spans="2:11" x14ac:dyDescent="0.25">
      <c r="B86" s="130">
        <v>686256998</v>
      </c>
      <c r="C86" s="130" t="s">
        <v>69</v>
      </c>
      <c r="D86" s="133">
        <v>45653.5243162037</v>
      </c>
      <c r="E86" s="130" t="s">
        <v>154</v>
      </c>
      <c r="F86" s="161" t="s">
        <v>51</v>
      </c>
      <c r="G86" s="33" t="str">
        <f>IFERROR(INDEX([1]Positions!$A:$A,MATCH(F86,[1]Positions!$C:$C,0)),"Other")</f>
        <v>MISC</v>
      </c>
      <c r="H86" s="33" t="b">
        <f t="shared" si="2"/>
        <v>1</v>
      </c>
      <c r="I86" s="33" t="str">
        <f t="shared" si="3"/>
        <v>2024-12-27</v>
      </c>
      <c r="J86" s="136">
        <v>0.03</v>
      </c>
      <c r="K86" s="159" t="s">
        <v>0</v>
      </c>
    </row>
    <row r="87" spans="2:11" x14ac:dyDescent="0.25">
      <c r="B87" s="139">
        <v>686258590</v>
      </c>
      <c r="C87" s="139" t="s">
        <v>69</v>
      </c>
      <c r="D87" s="142">
        <v>45653.524320370401</v>
      </c>
      <c r="E87" s="139" t="s">
        <v>154</v>
      </c>
      <c r="F87" s="162" t="s">
        <v>51</v>
      </c>
      <c r="G87" s="33" t="str">
        <f>IFERROR(INDEX([1]Positions!$A:$A,MATCH(F87,[1]Positions!$C:$C,0)),"Other")</f>
        <v>MISC</v>
      </c>
      <c r="H87" s="33" t="b">
        <f t="shared" si="2"/>
        <v>1</v>
      </c>
      <c r="I87" s="33" t="str">
        <f t="shared" si="3"/>
        <v>2024-12-27</v>
      </c>
      <c r="J87" s="148">
        <v>0.02</v>
      </c>
      <c r="K87" s="159" t="s">
        <v>0</v>
      </c>
    </row>
    <row r="88" spans="2:11" x14ac:dyDescent="0.25">
      <c r="B88" s="130">
        <v>747747257</v>
      </c>
      <c r="C88" s="130" t="s">
        <v>69</v>
      </c>
      <c r="D88" s="133">
        <v>45729.498217268498</v>
      </c>
      <c r="E88" s="130" t="s">
        <v>747</v>
      </c>
      <c r="F88" s="161" t="s">
        <v>521</v>
      </c>
      <c r="G88" s="33" t="str">
        <f>IFERROR(INDEX([1]Positions!$A:$A,MATCH(F88,[1]Positions!$C:$C,0)),"Other")</f>
        <v>Technology</v>
      </c>
      <c r="H88" s="33" t="b">
        <f t="shared" si="2"/>
        <v>1</v>
      </c>
      <c r="I88" s="33" t="str">
        <f t="shared" si="3"/>
        <v>2025-03-13</v>
      </c>
      <c r="J88" s="136">
        <v>0.02</v>
      </c>
      <c r="K88" s="159" t="s">
        <v>0</v>
      </c>
    </row>
    <row r="89" spans="2:11" x14ac:dyDescent="0.25">
      <c r="B89" s="139">
        <v>686260561</v>
      </c>
      <c r="C89" s="139" t="s">
        <v>69</v>
      </c>
      <c r="D89" s="142">
        <v>45653.524325254599</v>
      </c>
      <c r="E89" s="139" t="s">
        <v>154</v>
      </c>
      <c r="F89" s="162" t="s">
        <v>51</v>
      </c>
      <c r="G89" s="33" t="str">
        <f>IFERROR(INDEX([1]Positions!$A:$A,MATCH(F89,[1]Positions!$C:$C,0)),"Other")</f>
        <v>MISC</v>
      </c>
      <c r="H89" s="33" t="b">
        <f t="shared" si="2"/>
        <v>1</v>
      </c>
      <c r="I89" s="33" t="str">
        <f t="shared" si="3"/>
        <v>2024-12-27</v>
      </c>
      <c r="J89" s="148">
        <v>0.02</v>
      </c>
      <c r="K89" s="159" t="s">
        <v>0</v>
      </c>
    </row>
    <row r="90" spans="2:11" x14ac:dyDescent="0.25">
      <c r="B90" s="130">
        <v>686268778</v>
      </c>
      <c r="C90" s="130" t="s">
        <v>69</v>
      </c>
      <c r="D90" s="133">
        <v>45653.524344999998</v>
      </c>
      <c r="E90" s="130" t="s">
        <v>154</v>
      </c>
      <c r="F90" s="161" t="s">
        <v>51</v>
      </c>
      <c r="G90" s="33" t="str">
        <f>IFERROR(INDEX([1]Positions!$A:$A,MATCH(F90,[1]Positions!$C:$C,0)),"Other")</f>
        <v>MISC</v>
      </c>
      <c r="H90" s="33" t="b">
        <f t="shared" si="2"/>
        <v>1</v>
      </c>
      <c r="I90" s="33" t="str">
        <f t="shared" si="3"/>
        <v>2024-12-27</v>
      </c>
      <c r="J90" s="136">
        <v>0.02</v>
      </c>
      <c r="K90" s="159" t="s">
        <v>0</v>
      </c>
    </row>
    <row r="91" spans="2:11" x14ac:dyDescent="0.25">
      <c r="B91" s="139">
        <v>747747258</v>
      </c>
      <c r="C91" s="139" t="s">
        <v>70</v>
      </c>
      <c r="D91" s="142">
        <v>45729.498217268498</v>
      </c>
      <c r="E91" s="139" t="s">
        <v>748</v>
      </c>
      <c r="F91" s="162" t="s">
        <v>521</v>
      </c>
      <c r="G91" s="33" t="str">
        <f>IFERROR(INDEX([1]Positions!$A:$A,MATCH(F91,[1]Positions!$C:$C,0)),"Other")</f>
        <v>Technology</v>
      </c>
      <c r="H91" s="33" t="b">
        <f t="shared" si="2"/>
        <v>1</v>
      </c>
      <c r="I91" s="33" t="str">
        <f t="shared" si="3"/>
        <v>2025-03-13</v>
      </c>
      <c r="J91" s="145">
        <v>-0.01</v>
      </c>
      <c r="K91" s="159" t="s">
        <v>0</v>
      </c>
    </row>
    <row r="92" spans="2:11" ht="42" x14ac:dyDescent="0.25">
      <c r="B92" s="130">
        <v>735126956</v>
      </c>
      <c r="C92" s="130" t="s">
        <v>71</v>
      </c>
      <c r="D92" s="133">
        <v>45716.850238703701</v>
      </c>
      <c r="E92" s="130" t="s">
        <v>72</v>
      </c>
      <c r="F92" s="161"/>
      <c r="G92" s="33" t="str">
        <f>IFERROR(INDEX([1]Positions!$A:$A,MATCH(F92,[1]Positions!$C:$C,0)),"Other")</f>
        <v>Other</v>
      </c>
      <c r="H92" s="33" t="b">
        <f t="shared" si="2"/>
        <v>1</v>
      </c>
      <c r="I92" s="33" t="str">
        <f t="shared" si="3"/>
        <v>2025-02-28</v>
      </c>
      <c r="J92" s="136">
        <v>85</v>
      </c>
      <c r="K92" s="159" t="s">
        <v>0</v>
      </c>
    </row>
    <row r="93" spans="2:11" x14ac:dyDescent="0.25">
      <c r="B93" s="139">
        <v>686269321</v>
      </c>
      <c r="C93" s="139" t="s">
        <v>69</v>
      </c>
      <c r="D93" s="142">
        <v>45653.524346261598</v>
      </c>
      <c r="E93" s="139" t="s">
        <v>154</v>
      </c>
      <c r="F93" s="162" t="s">
        <v>51</v>
      </c>
      <c r="G93" s="33" t="str">
        <f>IFERROR(INDEX([1]Positions!$A:$A,MATCH(F93,[1]Positions!$C:$C,0)),"Other")</f>
        <v>MISC</v>
      </c>
      <c r="H93" s="33" t="b">
        <f t="shared" si="2"/>
        <v>1</v>
      </c>
      <c r="I93" s="33" t="str">
        <f t="shared" si="3"/>
        <v>2024-12-27</v>
      </c>
      <c r="J93" s="148">
        <v>0.03</v>
      </c>
      <c r="K93" s="159" t="s">
        <v>0</v>
      </c>
    </row>
    <row r="94" spans="2:11" x14ac:dyDescent="0.25">
      <c r="B94" s="130">
        <v>735131727</v>
      </c>
      <c r="C94" s="130" t="s">
        <v>73</v>
      </c>
      <c r="D94" s="133">
        <v>45716.855662199101</v>
      </c>
      <c r="E94" s="130" t="s">
        <v>74</v>
      </c>
      <c r="F94" s="161" t="s">
        <v>513</v>
      </c>
      <c r="G94" s="33" t="str">
        <f>IFERROR(INDEX([1]Positions!$A:$A,MATCH(F94,[1]Positions!$C:$C,0)),"Other")</f>
        <v>Technology</v>
      </c>
      <c r="H94" s="33" t="b">
        <f t="shared" si="2"/>
        <v>1</v>
      </c>
      <c r="I94" s="33" t="str">
        <f t="shared" si="3"/>
        <v>2025-02-28</v>
      </c>
      <c r="J94" s="147">
        <v>-34.979999999999997</v>
      </c>
      <c r="K94" s="159" t="s">
        <v>0</v>
      </c>
    </row>
    <row r="95" spans="2:11" x14ac:dyDescent="0.25">
      <c r="B95" s="139">
        <v>735132884</v>
      </c>
      <c r="C95" s="139" t="s">
        <v>73</v>
      </c>
      <c r="D95" s="142">
        <v>45716.857053761603</v>
      </c>
      <c r="E95" s="139" t="s">
        <v>75</v>
      </c>
      <c r="F95" s="162" t="s">
        <v>538</v>
      </c>
      <c r="G95" s="33" t="str">
        <f>IFERROR(INDEX([1]Positions!$A:$A,MATCH(F95,[1]Positions!$C:$C,0)),"Other")</f>
        <v>Energy &amp; Utilities</v>
      </c>
      <c r="H95" s="33" t="b">
        <f t="shared" si="2"/>
        <v>1</v>
      </c>
      <c r="I95" s="33" t="str">
        <f t="shared" si="3"/>
        <v>2025-02-28</v>
      </c>
      <c r="J95" s="145">
        <v>-14.99</v>
      </c>
      <c r="K95" s="159" t="s">
        <v>0</v>
      </c>
    </row>
    <row r="96" spans="2:11" x14ac:dyDescent="0.25">
      <c r="B96" s="130">
        <v>747758629</v>
      </c>
      <c r="C96" s="130" t="s">
        <v>69</v>
      </c>
      <c r="D96" s="133">
        <v>45729.498230659701</v>
      </c>
      <c r="E96" s="130" t="s">
        <v>747</v>
      </c>
      <c r="F96" s="161" t="s">
        <v>521</v>
      </c>
      <c r="G96" s="33" t="str">
        <f>IFERROR(INDEX([1]Positions!$A:$A,MATCH(F96,[1]Positions!$C:$C,0)),"Other")</f>
        <v>Technology</v>
      </c>
      <c r="H96" s="33" t="b">
        <f t="shared" si="2"/>
        <v>1</v>
      </c>
      <c r="I96" s="33" t="str">
        <f t="shared" si="3"/>
        <v>2025-03-13</v>
      </c>
      <c r="J96" s="136">
        <v>0.02</v>
      </c>
      <c r="K96" s="159" t="s">
        <v>0</v>
      </c>
    </row>
    <row r="97" spans="2:11" x14ac:dyDescent="0.25">
      <c r="B97" s="139">
        <v>747758630</v>
      </c>
      <c r="C97" s="139" t="s">
        <v>70</v>
      </c>
      <c r="D97" s="142">
        <v>45729.498230659701</v>
      </c>
      <c r="E97" s="139" t="s">
        <v>748</v>
      </c>
      <c r="F97" s="162" t="s">
        <v>521</v>
      </c>
      <c r="G97" s="33" t="str">
        <f>IFERROR(INDEX([1]Positions!$A:$A,MATCH(F97,[1]Positions!$C:$C,0)),"Other")</f>
        <v>Technology</v>
      </c>
      <c r="H97" s="33" t="b">
        <f t="shared" si="2"/>
        <v>1</v>
      </c>
      <c r="I97" s="33" t="str">
        <f t="shared" si="3"/>
        <v>2025-03-13</v>
      </c>
      <c r="J97" s="145">
        <v>-0.01</v>
      </c>
      <c r="K97" s="159" t="s">
        <v>0</v>
      </c>
    </row>
    <row r="98" spans="2:11" x14ac:dyDescent="0.25">
      <c r="B98" s="130">
        <v>735132266</v>
      </c>
      <c r="C98" s="130" t="s">
        <v>73</v>
      </c>
      <c r="D98" s="133">
        <v>45716.856388622698</v>
      </c>
      <c r="E98" s="130" t="s">
        <v>76</v>
      </c>
      <c r="F98" s="161" t="s">
        <v>534</v>
      </c>
      <c r="G98" s="33" t="str">
        <f>IFERROR(INDEX([1]Positions!$A:$A,MATCH(F98,[1]Positions!$C:$C,0)),"Other")</f>
        <v>ETF</v>
      </c>
      <c r="H98" s="33" t="b">
        <f t="shared" si="2"/>
        <v>1</v>
      </c>
      <c r="I98" s="33" t="str">
        <f t="shared" si="3"/>
        <v>2025-02-28</v>
      </c>
      <c r="J98" s="147">
        <v>-44.49</v>
      </c>
      <c r="K98" s="159" t="s">
        <v>0</v>
      </c>
    </row>
    <row r="99" spans="2:11" x14ac:dyDescent="0.25">
      <c r="B99" s="139">
        <v>747790405</v>
      </c>
      <c r="C99" s="139" t="s">
        <v>69</v>
      </c>
      <c r="D99" s="142">
        <v>45729.498271053199</v>
      </c>
      <c r="E99" s="139" t="s">
        <v>747</v>
      </c>
      <c r="F99" s="162" t="s">
        <v>521</v>
      </c>
      <c r="G99" s="33" t="str">
        <f>IFERROR(INDEX([1]Positions!$A:$A,MATCH(F99,[1]Positions!$C:$C,0)),"Other")</f>
        <v>Technology</v>
      </c>
      <c r="H99" s="33" t="b">
        <f t="shared" si="2"/>
        <v>1</v>
      </c>
      <c r="I99" s="33" t="str">
        <f t="shared" si="3"/>
        <v>2025-03-13</v>
      </c>
      <c r="J99" s="148">
        <v>0.03</v>
      </c>
      <c r="K99" s="159" t="s">
        <v>0</v>
      </c>
    </row>
    <row r="100" spans="2:11" x14ac:dyDescent="0.25">
      <c r="B100" s="130">
        <v>747790406</v>
      </c>
      <c r="C100" s="130" t="s">
        <v>70</v>
      </c>
      <c r="D100" s="133">
        <v>45729.498271053199</v>
      </c>
      <c r="E100" s="130" t="s">
        <v>748</v>
      </c>
      <c r="F100" s="161" t="s">
        <v>521</v>
      </c>
      <c r="G100" s="33" t="str">
        <f>IFERROR(INDEX([1]Positions!$A:$A,MATCH(F100,[1]Positions!$C:$C,0)),"Other")</f>
        <v>Technology</v>
      </c>
      <c r="H100" s="33" t="b">
        <f t="shared" si="2"/>
        <v>1</v>
      </c>
      <c r="I100" s="33" t="str">
        <f t="shared" si="3"/>
        <v>2025-03-13</v>
      </c>
      <c r="J100" s="147">
        <v>-0.01</v>
      </c>
      <c r="K100" s="159" t="s">
        <v>0</v>
      </c>
    </row>
    <row r="101" spans="2:11" x14ac:dyDescent="0.25">
      <c r="B101" s="139">
        <v>747779319</v>
      </c>
      <c r="C101" s="139" t="s">
        <v>69</v>
      </c>
      <c r="D101" s="142">
        <v>45729.498258414402</v>
      </c>
      <c r="E101" s="139" t="s">
        <v>747</v>
      </c>
      <c r="F101" s="162" t="s">
        <v>521</v>
      </c>
      <c r="G101" s="33" t="str">
        <f>IFERROR(INDEX([1]Positions!$A:$A,MATCH(F101,[1]Positions!$C:$C,0)),"Other")</f>
        <v>Technology</v>
      </c>
      <c r="H101" s="33" t="b">
        <f t="shared" si="2"/>
        <v>1</v>
      </c>
      <c r="I101" s="33" t="str">
        <f t="shared" si="3"/>
        <v>2025-03-13</v>
      </c>
      <c r="J101" s="148">
        <v>0.02</v>
      </c>
      <c r="K101" s="159" t="s">
        <v>0</v>
      </c>
    </row>
    <row r="102" spans="2:11" x14ac:dyDescent="0.25">
      <c r="B102" s="130">
        <v>747779320</v>
      </c>
      <c r="C102" s="130" t="s">
        <v>70</v>
      </c>
      <c r="D102" s="133">
        <v>45729.498258414402</v>
      </c>
      <c r="E102" s="130" t="s">
        <v>748</v>
      </c>
      <c r="F102" s="161" t="s">
        <v>521</v>
      </c>
      <c r="G102" s="33" t="str">
        <f>IFERROR(INDEX([1]Positions!$A:$A,MATCH(F102,[1]Positions!$C:$C,0)),"Other")</f>
        <v>Technology</v>
      </c>
      <c r="H102" s="33" t="b">
        <f t="shared" si="2"/>
        <v>1</v>
      </c>
      <c r="I102" s="33" t="str">
        <f t="shared" si="3"/>
        <v>2025-03-13</v>
      </c>
      <c r="J102" s="147">
        <v>-0.01</v>
      </c>
      <c r="K102" s="159" t="s">
        <v>0</v>
      </c>
    </row>
    <row r="103" spans="2:11" x14ac:dyDescent="0.25">
      <c r="B103" s="139">
        <v>747786766</v>
      </c>
      <c r="C103" s="139" t="s">
        <v>69</v>
      </c>
      <c r="D103" s="142">
        <v>45729.498267002302</v>
      </c>
      <c r="E103" s="139" t="s">
        <v>747</v>
      </c>
      <c r="F103" s="162" t="s">
        <v>521</v>
      </c>
      <c r="G103" s="33" t="str">
        <f>IFERROR(INDEX([1]Positions!$A:$A,MATCH(F103,[1]Positions!$C:$C,0)),"Other")</f>
        <v>Technology</v>
      </c>
      <c r="H103" s="33" t="b">
        <f t="shared" si="2"/>
        <v>1</v>
      </c>
      <c r="I103" s="33" t="str">
        <f t="shared" si="3"/>
        <v>2025-03-13</v>
      </c>
      <c r="J103" s="148">
        <v>0.04</v>
      </c>
      <c r="K103" s="159" t="s">
        <v>0</v>
      </c>
    </row>
    <row r="104" spans="2:11" x14ac:dyDescent="0.25">
      <c r="B104" s="130">
        <v>747786767</v>
      </c>
      <c r="C104" s="130" t="s">
        <v>70</v>
      </c>
      <c r="D104" s="133">
        <v>45729.498267002302</v>
      </c>
      <c r="E104" s="130" t="s">
        <v>748</v>
      </c>
      <c r="F104" s="161" t="s">
        <v>521</v>
      </c>
      <c r="G104" s="33" t="str">
        <f>IFERROR(INDEX([1]Positions!$A:$A,MATCH(F104,[1]Positions!$C:$C,0)),"Other")</f>
        <v>Technology</v>
      </c>
      <c r="H104" s="33" t="b">
        <f t="shared" si="2"/>
        <v>1</v>
      </c>
      <c r="I104" s="33" t="str">
        <f t="shared" si="3"/>
        <v>2025-03-13</v>
      </c>
      <c r="J104" s="147">
        <v>-0.01</v>
      </c>
      <c r="K104" s="159" t="s">
        <v>0</v>
      </c>
    </row>
    <row r="105" spans="2:11" x14ac:dyDescent="0.25">
      <c r="B105" s="139">
        <v>810480537</v>
      </c>
      <c r="C105" s="139" t="s">
        <v>77</v>
      </c>
      <c r="D105" s="142">
        <v>45791.649764363399</v>
      </c>
      <c r="E105" s="139" t="s">
        <v>749</v>
      </c>
      <c r="F105" s="162" t="s">
        <v>537</v>
      </c>
      <c r="G105" s="33" t="str">
        <f>IFERROR(INDEX([1]Positions!$A:$A,MATCH(F105,[1]Positions!$C:$C,0)),"Other")</f>
        <v>Energy &amp; Utilities</v>
      </c>
      <c r="H105" s="33" t="b">
        <f t="shared" si="2"/>
        <v>1</v>
      </c>
      <c r="I105" s="33" t="str">
        <f t="shared" si="3"/>
        <v>2025-05-14</v>
      </c>
      <c r="J105" s="148">
        <v>0.03</v>
      </c>
      <c r="K105" s="159" t="s">
        <v>0</v>
      </c>
    </row>
    <row r="106" spans="2:11" x14ac:dyDescent="0.25">
      <c r="B106" s="130">
        <v>810480538</v>
      </c>
      <c r="C106" s="130" t="s">
        <v>80</v>
      </c>
      <c r="D106" s="133">
        <v>45791.649764363399</v>
      </c>
      <c r="E106" s="130" t="s">
        <v>750</v>
      </c>
      <c r="F106" s="161" t="s">
        <v>537</v>
      </c>
      <c r="G106" s="33" t="str">
        <f>IFERROR(INDEX([1]Positions!$A:$A,MATCH(F106,[1]Positions!$C:$C,0)),"Other")</f>
        <v>Energy &amp; Utilities</v>
      </c>
      <c r="H106" s="33" t="b">
        <f t="shared" si="2"/>
        <v>1</v>
      </c>
      <c r="I106" s="33" t="str">
        <f t="shared" si="3"/>
        <v>2025-05-14</v>
      </c>
      <c r="J106" s="136">
        <v>14.99</v>
      </c>
      <c r="K106" s="159" t="s">
        <v>0</v>
      </c>
    </row>
    <row r="107" spans="2:11" x14ac:dyDescent="0.25">
      <c r="B107" s="139">
        <v>810480539</v>
      </c>
      <c r="C107" s="139" t="s">
        <v>77</v>
      </c>
      <c r="D107" s="142">
        <v>45791.649764386602</v>
      </c>
      <c r="E107" s="139" t="s">
        <v>751</v>
      </c>
      <c r="F107" s="162" t="s">
        <v>537</v>
      </c>
      <c r="G107" s="33" t="str">
        <f>IFERROR(INDEX([1]Positions!$A:$A,MATCH(F107,[1]Positions!$C:$C,0)),"Other")</f>
        <v>Energy &amp; Utilities</v>
      </c>
      <c r="H107" s="33" t="b">
        <f t="shared" si="2"/>
        <v>1</v>
      </c>
      <c r="I107" s="33" t="str">
        <f t="shared" si="3"/>
        <v>2025-05-14</v>
      </c>
      <c r="J107" s="148">
        <v>1.1100000000000001</v>
      </c>
      <c r="K107" s="159" t="s">
        <v>0</v>
      </c>
    </row>
    <row r="108" spans="2:11" x14ac:dyDescent="0.25">
      <c r="B108" s="130">
        <v>810480540</v>
      </c>
      <c r="C108" s="130" t="s">
        <v>80</v>
      </c>
      <c r="D108" s="133">
        <v>45791.649764386602</v>
      </c>
      <c r="E108" s="130" t="s">
        <v>752</v>
      </c>
      <c r="F108" s="161" t="s">
        <v>537</v>
      </c>
      <c r="G108" s="33" t="str">
        <f>IFERROR(INDEX([1]Positions!$A:$A,MATCH(F108,[1]Positions!$C:$C,0)),"Other")</f>
        <v>Energy &amp; Utilities</v>
      </c>
      <c r="H108" s="33" t="b">
        <f t="shared" si="2"/>
        <v>1</v>
      </c>
      <c r="I108" s="33" t="str">
        <f t="shared" si="3"/>
        <v>2025-05-14</v>
      </c>
      <c r="J108" s="136">
        <v>14.98</v>
      </c>
      <c r="K108" s="159" t="s">
        <v>0</v>
      </c>
    </row>
    <row r="109" spans="2:11" x14ac:dyDescent="0.25">
      <c r="B109" s="139">
        <v>810480541</v>
      </c>
      <c r="C109" s="139" t="s">
        <v>77</v>
      </c>
      <c r="D109" s="142">
        <v>45791.649764398098</v>
      </c>
      <c r="E109" s="139" t="s">
        <v>753</v>
      </c>
      <c r="F109" s="162" t="s">
        <v>537</v>
      </c>
      <c r="G109" s="33" t="str">
        <f>IFERROR(INDEX([1]Positions!$A:$A,MATCH(F109,[1]Positions!$C:$C,0)),"Other")</f>
        <v>Energy &amp; Utilities</v>
      </c>
      <c r="H109" s="33" t="b">
        <f t="shared" si="2"/>
        <v>1</v>
      </c>
      <c r="I109" s="33" t="str">
        <f t="shared" si="3"/>
        <v>2025-05-14</v>
      </c>
      <c r="J109" s="148">
        <v>3.48</v>
      </c>
      <c r="K109" s="159" t="s">
        <v>0</v>
      </c>
    </row>
    <row r="110" spans="2:11" x14ac:dyDescent="0.25">
      <c r="B110" s="130">
        <v>810480542</v>
      </c>
      <c r="C110" s="130" t="s">
        <v>80</v>
      </c>
      <c r="D110" s="133">
        <v>45791.649764398098</v>
      </c>
      <c r="E110" s="130" t="s">
        <v>754</v>
      </c>
      <c r="F110" s="161" t="s">
        <v>537</v>
      </c>
      <c r="G110" s="33" t="str">
        <f>IFERROR(INDEX([1]Positions!$A:$A,MATCH(F110,[1]Positions!$C:$C,0)),"Other")</f>
        <v>Energy &amp; Utilities</v>
      </c>
      <c r="H110" s="33" t="b">
        <f t="shared" si="2"/>
        <v>1</v>
      </c>
      <c r="I110" s="33" t="str">
        <f t="shared" si="3"/>
        <v>2025-05-14</v>
      </c>
      <c r="J110" s="136">
        <v>14.97</v>
      </c>
      <c r="K110" s="159" t="s">
        <v>0</v>
      </c>
    </row>
    <row r="111" spans="2:11" x14ac:dyDescent="0.25">
      <c r="B111" s="139">
        <v>810480543</v>
      </c>
      <c r="C111" s="139" t="s">
        <v>77</v>
      </c>
      <c r="D111" s="142">
        <v>45791.649764409703</v>
      </c>
      <c r="E111" s="139" t="s">
        <v>755</v>
      </c>
      <c r="F111" s="162" t="s">
        <v>537</v>
      </c>
      <c r="G111" s="33" t="str">
        <f>IFERROR(INDEX([1]Positions!$A:$A,MATCH(F111,[1]Positions!$C:$C,0)),"Other")</f>
        <v>Energy &amp; Utilities</v>
      </c>
      <c r="H111" s="33" t="b">
        <f t="shared" si="2"/>
        <v>1</v>
      </c>
      <c r="I111" s="33" t="str">
        <f t="shared" si="3"/>
        <v>2025-05-14</v>
      </c>
      <c r="J111" s="148">
        <v>3.37</v>
      </c>
      <c r="K111" s="159" t="s">
        <v>0</v>
      </c>
    </row>
    <row r="112" spans="2:11" x14ac:dyDescent="0.25">
      <c r="B112" s="130">
        <v>810480544</v>
      </c>
      <c r="C112" s="130" t="s">
        <v>80</v>
      </c>
      <c r="D112" s="133">
        <v>45791.649764409703</v>
      </c>
      <c r="E112" s="130" t="s">
        <v>756</v>
      </c>
      <c r="F112" s="161" t="s">
        <v>537</v>
      </c>
      <c r="G112" s="33" t="str">
        <f>IFERROR(INDEX([1]Positions!$A:$A,MATCH(F112,[1]Positions!$C:$C,0)),"Other")</f>
        <v>Energy &amp; Utilities</v>
      </c>
      <c r="H112" s="33" t="b">
        <f t="shared" si="2"/>
        <v>1</v>
      </c>
      <c r="I112" s="33" t="str">
        <f t="shared" si="3"/>
        <v>2025-05-14</v>
      </c>
      <c r="J112" s="136">
        <v>14.98</v>
      </c>
      <c r="K112" s="159" t="s">
        <v>0</v>
      </c>
    </row>
    <row r="113" spans="2:11" x14ac:dyDescent="0.25">
      <c r="B113" s="139">
        <v>810480545</v>
      </c>
      <c r="C113" s="139" t="s">
        <v>77</v>
      </c>
      <c r="D113" s="142">
        <v>45791.649764421301</v>
      </c>
      <c r="E113" s="139" t="s">
        <v>757</v>
      </c>
      <c r="F113" s="162" t="s">
        <v>537</v>
      </c>
      <c r="G113" s="33" t="str">
        <f>IFERROR(INDEX([1]Positions!$A:$A,MATCH(F113,[1]Positions!$C:$C,0)),"Other")</f>
        <v>Energy &amp; Utilities</v>
      </c>
      <c r="H113" s="33" t="b">
        <f t="shared" si="2"/>
        <v>1</v>
      </c>
      <c r="I113" s="33" t="str">
        <f t="shared" si="3"/>
        <v>2025-05-14</v>
      </c>
      <c r="J113" s="148">
        <v>0.28999999999999998</v>
      </c>
      <c r="K113" s="159" t="s">
        <v>0</v>
      </c>
    </row>
    <row r="114" spans="2:11" x14ac:dyDescent="0.25">
      <c r="B114" s="130">
        <v>810480546</v>
      </c>
      <c r="C114" s="130" t="s">
        <v>80</v>
      </c>
      <c r="D114" s="133">
        <v>45791.649764421301</v>
      </c>
      <c r="E114" s="130" t="s">
        <v>758</v>
      </c>
      <c r="F114" s="161" t="s">
        <v>537</v>
      </c>
      <c r="G114" s="33" t="str">
        <f>IFERROR(INDEX([1]Positions!$A:$A,MATCH(F114,[1]Positions!$C:$C,0)),"Other")</f>
        <v>Energy &amp; Utilities</v>
      </c>
      <c r="H114" s="33" t="b">
        <f t="shared" si="2"/>
        <v>1</v>
      </c>
      <c r="I114" s="33" t="str">
        <f t="shared" si="3"/>
        <v>2025-05-14</v>
      </c>
      <c r="J114" s="136">
        <v>0.71</v>
      </c>
      <c r="K114" s="159" t="s">
        <v>0</v>
      </c>
    </row>
    <row r="115" spans="2:11" x14ac:dyDescent="0.25">
      <c r="B115" s="139">
        <v>811412437</v>
      </c>
      <c r="C115" s="139" t="s">
        <v>69</v>
      </c>
      <c r="D115" s="142">
        <v>45792.453616724502</v>
      </c>
      <c r="E115" s="139" t="s">
        <v>759</v>
      </c>
      <c r="F115" s="162" t="s">
        <v>528</v>
      </c>
      <c r="G115" s="33" t="str">
        <f>IFERROR(INDEX([1]Positions!$A:$A,MATCH(F115,[1]Positions!$C:$C,0)),"Other")</f>
        <v>Technology</v>
      </c>
      <c r="H115" s="33" t="b">
        <f t="shared" si="2"/>
        <v>1</v>
      </c>
      <c r="I115" s="33" t="str">
        <f t="shared" si="3"/>
        <v>2025-05-15</v>
      </c>
      <c r="J115" s="148">
        <v>0</v>
      </c>
      <c r="K115" s="159" t="s">
        <v>0</v>
      </c>
    </row>
    <row r="116" spans="2:11" x14ac:dyDescent="0.25">
      <c r="B116" s="130">
        <v>749122474</v>
      </c>
      <c r="C116" s="130" t="s">
        <v>69</v>
      </c>
      <c r="D116" s="133">
        <v>45730.481945</v>
      </c>
      <c r="E116" s="130" t="s">
        <v>760</v>
      </c>
      <c r="F116" s="161" t="s">
        <v>533</v>
      </c>
      <c r="G116" s="33" t="str">
        <f>IFERROR(INDEX([1]Positions!$A:$A,MATCH(F116,[1]Positions!$C:$C,0)),"Other")</f>
        <v>Energy &amp; Utilities</v>
      </c>
      <c r="H116" s="33" t="b">
        <f t="shared" si="2"/>
        <v>1</v>
      </c>
      <c r="I116" s="33" t="str">
        <f t="shared" si="3"/>
        <v>2025-03-14</v>
      </c>
      <c r="J116" s="136">
        <v>0.09</v>
      </c>
      <c r="K116" s="159" t="s">
        <v>0</v>
      </c>
    </row>
    <row r="117" spans="2:11" x14ac:dyDescent="0.25">
      <c r="B117" s="139">
        <v>749122475</v>
      </c>
      <c r="C117" s="139" t="s">
        <v>70</v>
      </c>
      <c r="D117" s="142">
        <v>45730.481945</v>
      </c>
      <c r="E117" s="139" t="s">
        <v>761</v>
      </c>
      <c r="F117" s="162" t="s">
        <v>533</v>
      </c>
      <c r="G117" s="33" t="str">
        <f>IFERROR(INDEX([1]Positions!$A:$A,MATCH(F117,[1]Positions!$C:$C,0)),"Other")</f>
        <v>Energy &amp; Utilities</v>
      </c>
      <c r="H117" s="33" t="b">
        <f t="shared" si="2"/>
        <v>1</v>
      </c>
      <c r="I117" s="33" t="str">
        <f t="shared" si="3"/>
        <v>2025-03-14</v>
      </c>
      <c r="J117" s="145">
        <v>-0.03</v>
      </c>
      <c r="K117" s="159" t="s">
        <v>0</v>
      </c>
    </row>
    <row r="118" spans="2:11" x14ac:dyDescent="0.25">
      <c r="B118" s="130">
        <v>749122538</v>
      </c>
      <c r="C118" s="130" t="s">
        <v>69</v>
      </c>
      <c r="D118" s="133">
        <v>45730.481945081003</v>
      </c>
      <c r="E118" s="130" t="s">
        <v>760</v>
      </c>
      <c r="F118" s="161" t="s">
        <v>533</v>
      </c>
      <c r="G118" s="33" t="str">
        <f>IFERROR(INDEX([1]Positions!$A:$A,MATCH(F118,[1]Positions!$C:$C,0)),"Other")</f>
        <v>Energy &amp; Utilities</v>
      </c>
      <c r="H118" s="33" t="b">
        <f t="shared" si="2"/>
        <v>1</v>
      </c>
      <c r="I118" s="33" t="str">
        <f t="shared" si="3"/>
        <v>2025-03-14</v>
      </c>
      <c r="J118" s="136">
        <v>0.1</v>
      </c>
      <c r="K118" s="159" t="s">
        <v>0</v>
      </c>
    </row>
    <row r="119" spans="2:11" x14ac:dyDescent="0.25">
      <c r="B119" s="139">
        <v>749122539</v>
      </c>
      <c r="C119" s="139" t="s">
        <v>70</v>
      </c>
      <c r="D119" s="142">
        <v>45730.481945092601</v>
      </c>
      <c r="E119" s="139" t="s">
        <v>761</v>
      </c>
      <c r="F119" s="162" t="s">
        <v>533</v>
      </c>
      <c r="G119" s="33" t="str">
        <f>IFERROR(INDEX([1]Positions!$A:$A,MATCH(F119,[1]Positions!$C:$C,0)),"Other")</f>
        <v>Energy &amp; Utilities</v>
      </c>
      <c r="H119" s="33" t="b">
        <f t="shared" si="2"/>
        <v>1</v>
      </c>
      <c r="I119" s="33" t="str">
        <f t="shared" si="3"/>
        <v>2025-03-14</v>
      </c>
      <c r="J119" s="145">
        <v>-0.03</v>
      </c>
      <c r="K119" s="159" t="s">
        <v>0</v>
      </c>
    </row>
    <row r="120" spans="2:11" x14ac:dyDescent="0.25">
      <c r="B120" s="130">
        <v>749122586</v>
      </c>
      <c r="C120" s="130" t="s">
        <v>69</v>
      </c>
      <c r="D120" s="133">
        <v>45730.481945150503</v>
      </c>
      <c r="E120" s="130" t="s">
        <v>760</v>
      </c>
      <c r="F120" s="161" t="s">
        <v>533</v>
      </c>
      <c r="G120" s="33" t="str">
        <f>IFERROR(INDEX([1]Positions!$A:$A,MATCH(F120,[1]Positions!$C:$C,0)),"Other")</f>
        <v>Energy &amp; Utilities</v>
      </c>
      <c r="H120" s="33" t="b">
        <f t="shared" si="2"/>
        <v>1</v>
      </c>
      <c r="I120" s="33" t="str">
        <f t="shared" si="3"/>
        <v>2025-03-14</v>
      </c>
      <c r="J120" s="136">
        <v>0.11</v>
      </c>
      <c r="K120" s="159" t="s">
        <v>0</v>
      </c>
    </row>
    <row r="121" spans="2:11" x14ac:dyDescent="0.25">
      <c r="B121" s="139">
        <v>749122587</v>
      </c>
      <c r="C121" s="139" t="s">
        <v>70</v>
      </c>
      <c r="D121" s="142">
        <v>45730.481945150503</v>
      </c>
      <c r="E121" s="139" t="s">
        <v>761</v>
      </c>
      <c r="F121" s="162" t="s">
        <v>533</v>
      </c>
      <c r="G121" s="33" t="str">
        <f>IFERROR(INDEX([1]Positions!$A:$A,MATCH(F121,[1]Positions!$C:$C,0)),"Other")</f>
        <v>Energy &amp; Utilities</v>
      </c>
      <c r="H121" s="33" t="b">
        <f t="shared" si="2"/>
        <v>1</v>
      </c>
      <c r="I121" s="33" t="str">
        <f t="shared" si="3"/>
        <v>2025-03-14</v>
      </c>
      <c r="J121" s="145">
        <v>-0.03</v>
      </c>
      <c r="K121" s="159" t="s">
        <v>0</v>
      </c>
    </row>
    <row r="122" spans="2:11" x14ac:dyDescent="0.25">
      <c r="B122" s="130">
        <v>705165194</v>
      </c>
      <c r="C122" s="130" t="s">
        <v>77</v>
      </c>
      <c r="D122" s="133">
        <v>45680.725839675899</v>
      </c>
      <c r="E122" s="130" t="s">
        <v>78</v>
      </c>
      <c r="F122" s="161" t="s">
        <v>510</v>
      </c>
      <c r="G122" s="33" t="str">
        <f>IFERROR(INDEX([1]Positions!$A:$A,MATCH(F122,[1]Positions!$C:$C,0)),"Other")</f>
        <v>Technology</v>
      </c>
      <c r="H122" s="33" t="b">
        <f t="shared" si="2"/>
        <v>1</v>
      </c>
      <c r="I122" s="33" t="str">
        <f t="shared" si="3"/>
        <v>2025-01-23</v>
      </c>
      <c r="J122" s="147">
        <v>-3.8</v>
      </c>
      <c r="K122" s="159" t="s">
        <v>0</v>
      </c>
    </row>
    <row r="123" spans="2:11" x14ac:dyDescent="0.25">
      <c r="B123" s="139">
        <v>705165195</v>
      </c>
      <c r="C123" s="139" t="s">
        <v>80</v>
      </c>
      <c r="D123" s="142">
        <v>45680.725839675899</v>
      </c>
      <c r="E123" s="139" t="s">
        <v>82</v>
      </c>
      <c r="F123" s="162" t="s">
        <v>510</v>
      </c>
      <c r="G123" s="33" t="str">
        <f>IFERROR(INDEX([1]Positions!$A:$A,MATCH(F123,[1]Positions!$C:$C,0)),"Other")</f>
        <v>Technology</v>
      </c>
      <c r="H123" s="33" t="b">
        <f t="shared" si="2"/>
        <v>1</v>
      </c>
      <c r="I123" s="33" t="str">
        <f t="shared" si="3"/>
        <v>2025-01-23</v>
      </c>
      <c r="J123" s="148">
        <v>25.28</v>
      </c>
      <c r="K123" s="159" t="s">
        <v>0</v>
      </c>
    </row>
    <row r="124" spans="2:11" x14ac:dyDescent="0.25">
      <c r="B124" s="130">
        <v>705165196</v>
      </c>
      <c r="C124" s="130" t="s">
        <v>77</v>
      </c>
      <c r="D124" s="133">
        <v>45680.725839687497</v>
      </c>
      <c r="E124" s="130" t="s">
        <v>83</v>
      </c>
      <c r="F124" s="161" t="s">
        <v>510</v>
      </c>
      <c r="G124" s="33" t="str">
        <f>IFERROR(INDEX([1]Positions!$A:$A,MATCH(F124,[1]Positions!$C:$C,0)),"Other")</f>
        <v>Technology</v>
      </c>
      <c r="H124" s="33" t="b">
        <f t="shared" si="2"/>
        <v>1</v>
      </c>
      <c r="I124" s="33" t="str">
        <f t="shared" si="3"/>
        <v>2025-01-23</v>
      </c>
      <c r="J124" s="136">
        <v>0.71</v>
      </c>
      <c r="K124" s="159" t="s">
        <v>0</v>
      </c>
    </row>
    <row r="125" spans="2:11" x14ac:dyDescent="0.25">
      <c r="B125" s="139">
        <v>705165197</v>
      </c>
      <c r="C125" s="139" t="s">
        <v>80</v>
      </c>
      <c r="D125" s="142">
        <v>45680.725839687497</v>
      </c>
      <c r="E125" s="139" t="s">
        <v>86</v>
      </c>
      <c r="F125" s="162" t="s">
        <v>510</v>
      </c>
      <c r="G125" s="33" t="str">
        <f>IFERROR(INDEX([1]Positions!$A:$A,MATCH(F125,[1]Positions!$C:$C,0)),"Other")</f>
        <v>Technology</v>
      </c>
      <c r="H125" s="33" t="b">
        <f t="shared" si="2"/>
        <v>1</v>
      </c>
      <c r="I125" s="33" t="str">
        <f t="shared" si="3"/>
        <v>2025-01-23</v>
      </c>
      <c r="J125" s="148">
        <v>10.99</v>
      </c>
      <c r="K125" s="159" t="s">
        <v>0</v>
      </c>
    </row>
    <row r="126" spans="2:11" x14ac:dyDescent="0.25">
      <c r="B126" s="130">
        <v>812342414</v>
      </c>
      <c r="C126" s="130" t="s">
        <v>77</v>
      </c>
      <c r="D126" s="133">
        <v>45792.646550231497</v>
      </c>
      <c r="E126" s="130" t="s">
        <v>757</v>
      </c>
      <c r="F126" s="161" t="s">
        <v>537</v>
      </c>
      <c r="G126" s="33" t="str">
        <f>IFERROR(INDEX([1]Positions!$A:$A,MATCH(F126,[1]Positions!$C:$C,0)),"Other")</f>
        <v>Energy &amp; Utilities</v>
      </c>
      <c r="H126" s="33" t="b">
        <f t="shared" si="2"/>
        <v>1</v>
      </c>
      <c r="I126" s="33" t="str">
        <f t="shared" si="3"/>
        <v>2025-05-15</v>
      </c>
      <c r="J126" s="136">
        <v>4.8600000000000003</v>
      </c>
      <c r="K126" s="159" t="s">
        <v>0</v>
      </c>
    </row>
    <row r="127" spans="2:11" x14ac:dyDescent="0.25">
      <c r="B127" s="139">
        <v>812342415</v>
      </c>
      <c r="C127" s="139" t="s">
        <v>80</v>
      </c>
      <c r="D127" s="142">
        <v>45792.646550231497</v>
      </c>
      <c r="E127" s="139" t="s">
        <v>971</v>
      </c>
      <c r="F127" s="162" t="s">
        <v>537</v>
      </c>
      <c r="G127" s="33" t="str">
        <f>IFERROR(INDEX([1]Positions!$A:$A,MATCH(F127,[1]Positions!$C:$C,0)),"Other")</f>
        <v>Energy &amp; Utilities</v>
      </c>
      <c r="H127" s="33" t="b">
        <f t="shared" si="2"/>
        <v>1</v>
      </c>
      <c r="I127" s="33" t="str">
        <f t="shared" si="3"/>
        <v>2025-05-15</v>
      </c>
      <c r="J127" s="148">
        <v>13.94</v>
      </c>
      <c r="K127" s="159" t="s">
        <v>0</v>
      </c>
    </row>
    <row r="128" spans="2:11" x14ac:dyDescent="0.25">
      <c r="B128" s="130">
        <v>812344995</v>
      </c>
      <c r="C128" s="130" t="s">
        <v>73</v>
      </c>
      <c r="D128" s="133">
        <v>45792.647141504603</v>
      </c>
      <c r="E128" s="130" t="s">
        <v>972</v>
      </c>
      <c r="F128" s="161" t="s">
        <v>508</v>
      </c>
      <c r="G128" s="33" t="str">
        <f>IFERROR(INDEX([1]Positions!$A:$A,MATCH(F128,[1]Positions!$C:$C,0)),"Other")</f>
        <v>Consumer Defensive</v>
      </c>
      <c r="H128" s="33" t="b">
        <f t="shared" si="2"/>
        <v>1</v>
      </c>
      <c r="I128" s="33" t="str">
        <f t="shared" si="3"/>
        <v>2025-05-15</v>
      </c>
      <c r="J128" s="147">
        <v>-20</v>
      </c>
      <c r="K128" s="159" t="s">
        <v>0</v>
      </c>
    </row>
    <row r="129" spans="2:11" x14ac:dyDescent="0.25">
      <c r="B129" s="139">
        <v>812344662</v>
      </c>
      <c r="C129" s="139" t="s">
        <v>73</v>
      </c>
      <c r="D129" s="142">
        <v>45792.647020162003</v>
      </c>
      <c r="E129" s="139" t="s">
        <v>973</v>
      </c>
      <c r="F129" s="162" t="s">
        <v>535</v>
      </c>
      <c r="G129" s="33" t="str">
        <f>IFERROR(INDEX([1]Positions!$A:$A,MATCH(F129,[1]Positions!$C:$C,0)),"Other")</f>
        <v>Consumer Defensive</v>
      </c>
      <c r="H129" s="33" t="b">
        <f t="shared" si="2"/>
        <v>1</v>
      </c>
      <c r="I129" s="33" t="str">
        <f t="shared" si="3"/>
        <v>2025-05-15</v>
      </c>
      <c r="J129" s="145">
        <v>-21.66</v>
      </c>
      <c r="K129" s="159" t="s">
        <v>0</v>
      </c>
    </row>
    <row r="130" spans="2:11" x14ac:dyDescent="0.25">
      <c r="B130" s="130">
        <v>812345615</v>
      </c>
      <c r="C130" s="130" t="s">
        <v>73</v>
      </c>
      <c r="D130" s="133">
        <v>45792.647329838001</v>
      </c>
      <c r="E130" s="130" t="s">
        <v>974</v>
      </c>
      <c r="F130" s="161" t="s">
        <v>533</v>
      </c>
      <c r="G130" s="33" t="str">
        <f>IFERROR(INDEX([1]Positions!$A:$A,MATCH(F130,[1]Positions!$C:$C,0)),"Other")</f>
        <v>Energy &amp; Utilities</v>
      </c>
      <c r="H130" s="33" t="b">
        <f t="shared" si="2"/>
        <v>1</v>
      </c>
      <c r="I130" s="33" t="str">
        <f t="shared" si="3"/>
        <v>2025-05-15</v>
      </c>
      <c r="J130" s="147">
        <v>-10</v>
      </c>
      <c r="K130" s="159" t="s">
        <v>0</v>
      </c>
    </row>
    <row r="131" spans="2:11" x14ac:dyDescent="0.25">
      <c r="B131" s="139">
        <v>812347477</v>
      </c>
      <c r="C131" s="139" t="s">
        <v>77</v>
      </c>
      <c r="D131" s="142">
        <v>45792.647817719902</v>
      </c>
      <c r="E131" s="139" t="s">
        <v>463</v>
      </c>
      <c r="F131" s="162" t="s">
        <v>521</v>
      </c>
      <c r="G131" s="33" t="str">
        <f>IFERROR(INDEX([1]Positions!$A:$A,MATCH(F131,[1]Positions!$C:$C,0)),"Other")</f>
        <v>Technology</v>
      </c>
      <c r="H131" s="33" t="b">
        <f t="shared" si="2"/>
        <v>1</v>
      </c>
      <c r="I131" s="33" t="str">
        <f t="shared" si="3"/>
        <v>2025-05-15</v>
      </c>
      <c r="J131" s="148">
        <v>0.01</v>
      </c>
      <c r="K131" s="159" t="s">
        <v>0</v>
      </c>
    </row>
    <row r="132" spans="2:11" x14ac:dyDescent="0.25">
      <c r="B132" s="130">
        <v>812347478</v>
      </c>
      <c r="C132" s="130" t="s">
        <v>80</v>
      </c>
      <c r="D132" s="133">
        <v>45792.647817719902</v>
      </c>
      <c r="E132" s="130" t="s">
        <v>975</v>
      </c>
      <c r="F132" s="161" t="s">
        <v>521</v>
      </c>
      <c r="G132" s="33" t="str">
        <f>IFERROR(INDEX([1]Positions!$A:$A,MATCH(F132,[1]Positions!$C:$C,0)),"Other")</f>
        <v>Technology</v>
      </c>
      <c r="H132" s="33" t="b">
        <f t="shared" si="2"/>
        <v>1</v>
      </c>
      <c r="I132" s="33" t="str">
        <f t="shared" si="3"/>
        <v>2025-05-15</v>
      </c>
      <c r="J132" s="136">
        <v>0.17</v>
      </c>
      <c r="K132" s="159" t="s">
        <v>0</v>
      </c>
    </row>
    <row r="133" spans="2:11" x14ac:dyDescent="0.25">
      <c r="B133" s="139">
        <v>812347479</v>
      </c>
      <c r="C133" s="139" t="s">
        <v>77</v>
      </c>
      <c r="D133" s="142">
        <v>45792.647817743098</v>
      </c>
      <c r="E133" s="139" t="s">
        <v>976</v>
      </c>
      <c r="F133" s="162" t="s">
        <v>521</v>
      </c>
      <c r="G133" s="33" t="str">
        <f>IFERROR(INDEX([1]Positions!$A:$A,MATCH(F133,[1]Positions!$C:$C,0)),"Other")</f>
        <v>Technology</v>
      </c>
      <c r="H133" s="33" t="b">
        <f t="shared" si="2"/>
        <v>1</v>
      </c>
      <c r="I133" s="33" t="str">
        <f t="shared" si="3"/>
        <v>2025-05-15</v>
      </c>
      <c r="J133" s="148">
        <v>1.27</v>
      </c>
      <c r="K133" s="159" t="s">
        <v>0</v>
      </c>
    </row>
    <row r="134" spans="2:11" x14ac:dyDescent="0.25">
      <c r="B134" s="130">
        <v>812347480</v>
      </c>
      <c r="C134" s="130" t="s">
        <v>80</v>
      </c>
      <c r="D134" s="133">
        <v>45792.647817743098</v>
      </c>
      <c r="E134" s="130" t="s">
        <v>977</v>
      </c>
      <c r="F134" s="161" t="s">
        <v>521</v>
      </c>
      <c r="G134" s="33" t="str">
        <f>IFERROR(INDEX([1]Positions!$A:$A,MATCH(F134,[1]Positions!$C:$C,0)),"Other")</f>
        <v>Technology</v>
      </c>
      <c r="H134" s="33" t="b">
        <f t="shared" si="2"/>
        <v>1</v>
      </c>
      <c r="I134" s="33" t="str">
        <f t="shared" si="3"/>
        <v>2025-05-15</v>
      </c>
      <c r="J134" s="136">
        <v>14.97</v>
      </c>
      <c r="K134" s="159" t="s">
        <v>0</v>
      </c>
    </row>
    <row r="135" spans="2:11" x14ac:dyDescent="0.25">
      <c r="B135" s="139">
        <v>812347481</v>
      </c>
      <c r="C135" s="139" t="s">
        <v>77</v>
      </c>
      <c r="D135" s="142">
        <v>45792.647817754601</v>
      </c>
      <c r="E135" s="139" t="s">
        <v>978</v>
      </c>
      <c r="F135" s="162" t="s">
        <v>521</v>
      </c>
      <c r="G135" s="33" t="str">
        <f>IFERROR(INDEX([1]Positions!$A:$A,MATCH(F135,[1]Positions!$C:$C,0)),"Other")</f>
        <v>Technology</v>
      </c>
      <c r="H135" s="33" t="b">
        <f t="shared" si="2"/>
        <v>1</v>
      </c>
      <c r="I135" s="33" t="str">
        <f t="shared" si="3"/>
        <v>2025-05-15</v>
      </c>
      <c r="J135" s="148">
        <v>0.16</v>
      </c>
      <c r="K135" s="159" t="s">
        <v>0</v>
      </c>
    </row>
    <row r="136" spans="2:11" x14ac:dyDescent="0.25">
      <c r="B136" s="130">
        <v>812347482</v>
      </c>
      <c r="C136" s="130" t="s">
        <v>80</v>
      </c>
      <c r="D136" s="133">
        <v>45792.647817754601</v>
      </c>
      <c r="E136" s="130" t="s">
        <v>979</v>
      </c>
      <c r="F136" s="161" t="s">
        <v>521</v>
      </c>
      <c r="G136" s="33" t="str">
        <f>IFERROR(INDEX([1]Positions!$A:$A,MATCH(F136,[1]Positions!$C:$C,0)),"Other")</f>
        <v>Technology</v>
      </c>
      <c r="H136" s="33" t="b">
        <f t="shared" si="2"/>
        <v>1</v>
      </c>
      <c r="I136" s="33" t="str">
        <f t="shared" si="3"/>
        <v>2025-05-15</v>
      </c>
      <c r="J136" s="136">
        <v>1.51</v>
      </c>
      <c r="K136" s="159" t="s">
        <v>0</v>
      </c>
    </row>
    <row r="137" spans="2:11" x14ac:dyDescent="0.25">
      <c r="B137" s="139">
        <v>812348265</v>
      </c>
      <c r="C137" s="139" t="s">
        <v>73</v>
      </c>
      <c r="D137" s="142">
        <v>45792.648051967597</v>
      </c>
      <c r="E137" s="139" t="s">
        <v>980</v>
      </c>
      <c r="F137" s="162" t="s">
        <v>532</v>
      </c>
      <c r="G137" s="33" t="str">
        <f>IFERROR(INDEX([1]Positions!$A:$A,MATCH(F137,[1]Positions!$C:$C,0)),"Other")</f>
        <v>Consumer Defensive</v>
      </c>
      <c r="H137" s="33" t="b">
        <f t="shared" si="2"/>
        <v>1</v>
      </c>
      <c r="I137" s="33" t="str">
        <f t="shared" si="3"/>
        <v>2025-05-15</v>
      </c>
      <c r="J137" s="145">
        <v>-15</v>
      </c>
      <c r="K137" s="159" t="s">
        <v>0</v>
      </c>
    </row>
    <row r="138" spans="2:11" x14ac:dyDescent="0.25">
      <c r="B138" s="130">
        <v>812396911</v>
      </c>
      <c r="C138" s="130" t="s">
        <v>116</v>
      </c>
      <c r="D138" s="133">
        <v>45792.666316180599</v>
      </c>
      <c r="E138" s="130" t="s">
        <v>981</v>
      </c>
      <c r="F138" s="161" t="s">
        <v>537</v>
      </c>
      <c r="G138" s="33" t="str">
        <f>IFERROR(INDEX([1]Positions!$A:$A,MATCH(F138,[1]Positions!$C:$C,0)),"Other")</f>
        <v>Energy &amp; Utilities</v>
      </c>
      <c r="H138" s="33" t="b">
        <f t="shared" si="2"/>
        <v>1</v>
      </c>
      <c r="I138" s="33" t="str">
        <f t="shared" si="3"/>
        <v>2025-05-15</v>
      </c>
      <c r="J138" s="136">
        <v>0</v>
      </c>
      <c r="K138" s="159" t="s">
        <v>0</v>
      </c>
    </row>
    <row r="139" spans="2:11" ht="42" x14ac:dyDescent="0.25">
      <c r="B139" s="139">
        <v>749767690</v>
      </c>
      <c r="C139" s="139" t="s">
        <v>71</v>
      </c>
      <c r="D139" s="142">
        <v>45730.864542129602</v>
      </c>
      <c r="E139" s="139" t="s">
        <v>87</v>
      </c>
      <c r="F139" s="162"/>
      <c r="G139" s="33" t="str">
        <f>IFERROR(INDEX([1]Positions!$A:$A,MATCH(F139,[1]Positions!$C:$C,0)),"Other")</f>
        <v>Other</v>
      </c>
      <c r="H139" s="33" t="b">
        <f t="shared" si="2"/>
        <v>1</v>
      </c>
      <c r="I139" s="33" t="str">
        <f t="shared" si="3"/>
        <v>2025-03-14</v>
      </c>
      <c r="J139" s="148">
        <v>85</v>
      </c>
      <c r="K139" s="159" t="s">
        <v>0</v>
      </c>
    </row>
    <row r="140" spans="2:11" x14ac:dyDescent="0.25">
      <c r="B140" s="130">
        <v>812643919</v>
      </c>
      <c r="C140" s="130" t="s">
        <v>73</v>
      </c>
      <c r="D140" s="133">
        <v>45792.760803368103</v>
      </c>
      <c r="E140" s="130" t="s">
        <v>982</v>
      </c>
      <c r="F140" s="161" t="s">
        <v>540</v>
      </c>
      <c r="G140" s="33" t="str">
        <f>IFERROR(INDEX([1]Positions!$A:$A,MATCH(F140,[1]Positions!$C:$C,0)),"Other")</f>
        <v>Healthcare</v>
      </c>
      <c r="H140" s="33" t="b">
        <f t="shared" ref="H140:H203" si="4">ISNUMBER(D140)</f>
        <v>1</v>
      </c>
      <c r="I140" s="33" t="str">
        <f t="shared" ref="I140:I203" si="5">TEXT(D140,"YYYY-MM-DD")</f>
        <v>2025-05-15</v>
      </c>
      <c r="J140" s="147">
        <v>-10</v>
      </c>
      <c r="K140" s="159" t="s">
        <v>0</v>
      </c>
    </row>
    <row r="141" spans="2:11" x14ac:dyDescent="0.25">
      <c r="B141" s="139">
        <v>812644050</v>
      </c>
      <c r="C141" s="139" t="s">
        <v>73</v>
      </c>
      <c r="D141" s="142">
        <v>45792.760931782403</v>
      </c>
      <c r="E141" s="139" t="s">
        <v>983</v>
      </c>
      <c r="F141" s="162" t="s">
        <v>536</v>
      </c>
      <c r="G141" s="33" t="str">
        <f>IFERROR(INDEX([1]Positions!$A:$A,MATCH(F141,[1]Positions!$C:$C,0)),"Other")</f>
        <v>Consumer Defensive</v>
      </c>
      <c r="H141" s="33" t="b">
        <f t="shared" si="4"/>
        <v>1</v>
      </c>
      <c r="I141" s="33" t="str">
        <f t="shared" si="5"/>
        <v>2025-05-15</v>
      </c>
      <c r="J141" s="145">
        <v>-10</v>
      </c>
      <c r="K141" s="159" t="s">
        <v>0</v>
      </c>
    </row>
    <row r="142" spans="2:11" x14ac:dyDescent="0.25">
      <c r="B142" s="130">
        <v>752507751</v>
      </c>
      <c r="C142" s="130" t="s">
        <v>73</v>
      </c>
      <c r="D142" s="133">
        <v>45734.854894062497</v>
      </c>
      <c r="E142" s="130" t="s">
        <v>90</v>
      </c>
      <c r="F142" s="161" t="s">
        <v>537</v>
      </c>
      <c r="G142" s="33" t="str">
        <f>IFERROR(INDEX([1]Positions!$A:$A,MATCH(F142,[1]Positions!$C:$C,0)),"Other")</f>
        <v>Energy &amp; Utilities</v>
      </c>
      <c r="H142" s="33" t="b">
        <f t="shared" si="4"/>
        <v>1</v>
      </c>
      <c r="I142" s="33" t="str">
        <f t="shared" si="5"/>
        <v>2025-03-18</v>
      </c>
      <c r="J142" s="147">
        <v>-11</v>
      </c>
      <c r="K142" s="159" t="s">
        <v>0</v>
      </c>
    </row>
    <row r="143" spans="2:11" x14ac:dyDescent="0.25">
      <c r="B143" s="139">
        <v>752508164</v>
      </c>
      <c r="C143" s="139" t="s">
        <v>73</v>
      </c>
      <c r="D143" s="142">
        <v>45734.855767766203</v>
      </c>
      <c r="E143" s="139" t="s">
        <v>95</v>
      </c>
      <c r="F143" s="162" t="s">
        <v>517</v>
      </c>
      <c r="G143" s="33" t="str">
        <f>IFERROR(INDEX([1]Positions!$A:$A,MATCH(F143,[1]Positions!$C:$C,0)),"Other")</f>
        <v>Technology</v>
      </c>
      <c r="H143" s="33" t="b">
        <f t="shared" si="4"/>
        <v>1</v>
      </c>
      <c r="I143" s="33" t="str">
        <f t="shared" si="5"/>
        <v>2025-03-18</v>
      </c>
      <c r="J143" s="145">
        <v>-19.98</v>
      </c>
      <c r="K143" s="159" t="s">
        <v>0</v>
      </c>
    </row>
    <row r="144" spans="2:11" x14ac:dyDescent="0.25">
      <c r="B144" s="130">
        <v>754634504</v>
      </c>
      <c r="C144" s="130" t="s">
        <v>77</v>
      </c>
      <c r="D144" s="133">
        <v>45737.1133778125</v>
      </c>
      <c r="E144" s="130" t="s">
        <v>98</v>
      </c>
      <c r="F144" s="161" t="s">
        <v>41</v>
      </c>
      <c r="G144" s="33" t="str">
        <f>IFERROR(INDEX([1]Positions!$A:$A,MATCH(F144,[1]Positions!$C:$C,0)),"Other")</f>
        <v>Other</v>
      </c>
      <c r="H144" s="33" t="b">
        <f t="shared" si="4"/>
        <v>1</v>
      </c>
      <c r="I144" s="33" t="str">
        <f t="shared" si="5"/>
        <v>2025-03-21</v>
      </c>
      <c r="J144" s="136">
        <v>2.98</v>
      </c>
      <c r="K144" s="159" t="s">
        <v>0</v>
      </c>
    </row>
    <row r="145" spans="2:11" x14ac:dyDescent="0.25">
      <c r="B145" s="139">
        <v>754634505</v>
      </c>
      <c r="C145" s="139" t="s">
        <v>101</v>
      </c>
      <c r="D145" s="142">
        <v>45737.1133778125</v>
      </c>
      <c r="E145" s="139" t="s">
        <v>102</v>
      </c>
      <c r="F145" s="162" t="s">
        <v>41</v>
      </c>
      <c r="G145" s="33" t="str">
        <f>IFERROR(INDEX([1]Positions!$A:$A,MATCH(F145,[1]Positions!$C:$C,0)),"Other")</f>
        <v>Other</v>
      </c>
      <c r="H145" s="33" t="b">
        <f t="shared" si="4"/>
        <v>1</v>
      </c>
      <c r="I145" s="33" t="str">
        <f t="shared" si="5"/>
        <v>2025-03-21</v>
      </c>
      <c r="J145" s="145">
        <v>-0.8</v>
      </c>
      <c r="K145" s="159" t="s">
        <v>0</v>
      </c>
    </row>
    <row r="146" spans="2:11" x14ac:dyDescent="0.25">
      <c r="B146" s="130">
        <v>757003245</v>
      </c>
      <c r="C146" s="130" t="s">
        <v>69</v>
      </c>
      <c r="D146" s="133">
        <v>45741.427099537003</v>
      </c>
      <c r="E146" s="130" t="s">
        <v>762</v>
      </c>
      <c r="F146" s="161" t="s">
        <v>534</v>
      </c>
      <c r="G146" s="33" t="str">
        <f>IFERROR(INDEX([1]Positions!$A:$A,MATCH(F146,[1]Positions!$C:$C,0)),"Other")</f>
        <v>ETF</v>
      </c>
      <c r="H146" s="33" t="b">
        <f t="shared" si="4"/>
        <v>1</v>
      </c>
      <c r="I146" s="33" t="str">
        <f t="shared" si="5"/>
        <v>2025-03-25</v>
      </c>
      <c r="J146" s="136">
        <v>0.05</v>
      </c>
      <c r="K146" s="159" t="s">
        <v>0</v>
      </c>
    </row>
    <row r="147" spans="2:11" x14ac:dyDescent="0.25">
      <c r="B147" s="139">
        <v>757003246</v>
      </c>
      <c r="C147" s="139" t="s">
        <v>70</v>
      </c>
      <c r="D147" s="142">
        <v>45741.427099537003</v>
      </c>
      <c r="E147" s="139" t="s">
        <v>763</v>
      </c>
      <c r="F147" s="162" t="s">
        <v>534</v>
      </c>
      <c r="G147" s="33" t="str">
        <f>IFERROR(INDEX([1]Positions!$A:$A,MATCH(F147,[1]Positions!$C:$C,0)),"Other")</f>
        <v>ETF</v>
      </c>
      <c r="H147" s="33" t="b">
        <f t="shared" si="4"/>
        <v>1</v>
      </c>
      <c r="I147" s="33" t="str">
        <f t="shared" si="5"/>
        <v>2025-03-25</v>
      </c>
      <c r="J147" s="145">
        <v>-0.02</v>
      </c>
      <c r="K147" s="159" t="s">
        <v>0</v>
      </c>
    </row>
    <row r="148" spans="2:11" x14ac:dyDescent="0.25">
      <c r="B148" s="130">
        <v>757003247</v>
      </c>
      <c r="C148" s="130" t="s">
        <v>69</v>
      </c>
      <c r="D148" s="133">
        <v>45741.427099537003</v>
      </c>
      <c r="E148" s="130" t="s">
        <v>762</v>
      </c>
      <c r="F148" s="161" t="s">
        <v>534</v>
      </c>
      <c r="G148" s="33" t="str">
        <f>IFERROR(INDEX([1]Positions!$A:$A,MATCH(F148,[1]Positions!$C:$C,0)),"Other")</f>
        <v>ETF</v>
      </c>
      <c r="H148" s="33" t="b">
        <f t="shared" si="4"/>
        <v>1</v>
      </c>
      <c r="I148" s="33" t="str">
        <f t="shared" si="5"/>
        <v>2025-03-25</v>
      </c>
      <c r="J148" s="136">
        <v>0.05</v>
      </c>
      <c r="K148" s="159" t="s">
        <v>0</v>
      </c>
    </row>
    <row r="149" spans="2:11" x14ac:dyDescent="0.25">
      <c r="B149" s="139">
        <v>757003248</v>
      </c>
      <c r="C149" s="139" t="s">
        <v>70</v>
      </c>
      <c r="D149" s="142">
        <v>45741.4270995486</v>
      </c>
      <c r="E149" s="139" t="s">
        <v>763</v>
      </c>
      <c r="F149" s="162" t="s">
        <v>534</v>
      </c>
      <c r="G149" s="33" t="str">
        <f>IFERROR(INDEX([1]Positions!$A:$A,MATCH(F149,[1]Positions!$C:$C,0)),"Other")</f>
        <v>ETF</v>
      </c>
      <c r="H149" s="33" t="b">
        <f t="shared" si="4"/>
        <v>1</v>
      </c>
      <c r="I149" s="33" t="str">
        <f t="shared" si="5"/>
        <v>2025-03-25</v>
      </c>
      <c r="J149" s="145">
        <v>-0.02</v>
      </c>
      <c r="K149" s="159" t="s">
        <v>0</v>
      </c>
    </row>
    <row r="150" spans="2:11" x14ac:dyDescent="0.25">
      <c r="B150" s="130">
        <v>742196232</v>
      </c>
      <c r="C150" s="130" t="s">
        <v>69</v>
      </c>
      <c r="D150" s="133">
        <v>45723.4923619213</v>
      </c>
      <c r="E150" s="130" t="s">
        <v>764</v>
      </c>
      <c r="F150" s="161" t="s">
        <v>527</v>
      </c>
      <c r="G150" s="33" t="str">
        <f>IFERROR(INDEX([1]Positions!$A:$A,MATCH(F150,[1]Positions!$C:$C,0)),"Other")</f>
        <v>Consumer Cyclical</v>
      </c>
      <c r="H150" s="33" t="b">
        <f t="shared" si="4"/>
        <v>1</v>
      </c>
      <c r="I150" s="33" t="str">
        <f t="shared" si="5"/>
        <v>2025-03-07</v>
      </c>
      <c r="J150" s="136">
        <v>0</v>
      </c>
      <c r="K150" s="159" t="s">
        <v>0</v>
      </c>
    </row>
    <row r="151" spans="2:11" x14ac:dyDescent="0.25">
      <c r="B151" s="139">
        <v>757634903</v>
      </c>
      <c r="C151" s="139" t="s">
        <v>77</v>
      </c>
      <c r="D151" s="142">
        <v>45741.871773344901</v>
      </c>
      <c r="E151" s="139" t="s">
        <v>111</v>
      </c>
      <c r="F151" s="162" t="s">
        <v>529</v>
      </c>
      <c r="G151" s="33" t="str">
        <f>IFERROR(INDEX([1]Positions!$A:$A,MATCH(F151,[1]Positions!$C:$C,0)),"Other")</f>
        <v>Financial Services</v>
      </c>
      <c r="H151" s="33" t="b">
        <f t="shared" si="4"/>
        <v>1</v>
      </c>
      <c r="I151" s="33" t="str">
        <f t="shared" si="5"/>
        <v>2025-03-25</v>
      </c>
      <c r="J151" s="148">
        <v>3.05</v>
      </c>
      <c r="K151" s="159" t="s">
        <v>0</v>
      </c>
    </row>
    <row r="152" spans="2:11" x14ac:dyDescent="0.25">
      <c r="B152" s="130">
        <v>757634904</v>
      </c>
      <c r="C152" s="130" t="s">
        <v>80</v>
      </c>
      <c r="D152" s="133">
        <v>45741.871773344901</v>
      </c>
      <c r="E152" s="130" t="s">
        <v>115</v>
      </c>
      <c r="F152" s="161" t="s">
        <v>529</v>
      </c>
      <c r="G152" s="33" t="str">
        <f>IFERROR(INDEX([1]Positions!$A:$A,MATCH(F152,[1]Positions!$C:$C,0)),"Other")</f>
        <v>Financial Services</v>
      </c>
      <c r="H152" s="33" t="b">
        <f t="shared" si="4"/>
        <v>1</v>
      </c>
      <c r="I152" s="33" t="str">
        <f t="shared" si="5"/>
        <v>2025-03-25</v>
      </c>
      <c r="J152" s="136">
        <v>9.33</v>
      </c>
      <c r="K152" s="159" t="s">
        <v>0</v>
      </c>
    </row>
    <row r="153" spans="2:11" x14ac:dyDescent="0.25">
      <c r="B153" s="139">
        <v>758291256</v>
      </c>
      <c r="C153" s="139" t="s">
        <v>116</v>
      </c>
      <c r="D153" s="142">
        <v>45742.602025393498</v>
      </c>
      <c r="E153" s="139" t="s">
        <v>765</v>
      </c>
      <c r="F153" s="162" t="s">
        <v>529</v>
      </c>
      <c r="G153" s="33" t="str">
        <f>IFERROR(INDEX([1]Positions!$A:$A,MATCH(F153,[1]Positions!$C:$C,0)),"Other")</f>
        <v>Financial Services</v>
      </c>
      <c r="H153" s="33" t="b">
        <f t="shared" si="4"/>
        <v>1</v>
      </c>
      <c r="I153" s="33" t="str">
        <f t="shared" si="5"/>
        <v>2025-03-26</v>
      </c>
      <c r="J153" s="148">
        <v>0</v>
      </c>
      <c r="K153" s="159" t="s">
        <v>0</v>
      </c>
    </row>
    <row r="154" spans="2:11" x14ac:dyDescent="0.25">
      <c r="B154" s="130">
        <v>758733044</v>
      </c>
      <c r="C154" s="130" t="s">
        <v>77</v>
      </c>
      <c r="D154" s="133">
        <v>45742.775964444401</v>
      </c>
      <c r="E154" s="130" t="s">
        <v>118</v>
      </c>
      <c r="F154" s="161" t="s">
        <v>530</v>
      </c>
      <c r="G154" s="33" t="str">
        <f>IFERROR(INDEX([1]Positions!$A:$A,MATCH(F154,[1]Positions!$C:$C,0)),"Other")</f>
        <v>Financial Services</v>
      </c>
      <c r="H154" s="33" t="b">
        <f t="shared" si="4"/>
        <v>1</v>
      </c>
      <c r="I154" s="33" t="str">
        <f t="shared" si="5"/>
        <v>2025-03-26</v>
      </c>
      <c r="J154" s="136">
        <v>0.92</v>
      </c>
      <c r="K154" s="159" t="s">
        <v>0</v>
      </c>
    </row>
    <row r="155" spans="2:11" x14ac:dyDescent="0.25">
      <c r="B155" s="139">
        <v>758733045</v>
      </c>
      <c r="C155" s="139" t="s">
        <v>80</v>
      </c>
      <c r="D155" s="142">
        <v>45742.775964444401</v>
      </c>
      <c r="E155" s="139" t="s">
        <v>122</v>
      </c>
      <c r="F155" s="162" t="s">
        <v>530</v>
      </c>
      <c r="G155" s="33" t="str">
        <f>IFERROR(INDEX([1]Positions!$A:$A,MATCH(F155,[1]Positions!$C:$C,0)),"Other")</f>
        <v>Financial Services</v>
      </c>
      <c r="H155" s="33" t="b">
        <f t="shared" si="4"/>
        <v>1</v>
      </c>
      <c r="I155" s="33" t="str">
        <f t="shared" si="5"/>
        <v>2025-03-26</v>
      </c>
      <c r="J155" s="148">
        <v>4.55</v>
      </c>
      <c r="K155" s="159" t="s">
        <v>0</v>
      </c>
    </row>
    <row r="156" spans="2:11" ht="42" x14ac:dyDescent="0.25">
      <c r="B156" s="130">
        <v>758903820</v>
      </c>
      <c r="C156" s="130" t="s">
        <v>71</v>
      </c>
      <c r="D156" s="133">
        <v>45743.014737511599</v>
      </c>
      <c r="E156" s="130" t="s">
        <v>123</v>
      </c>
      <c r="F156" s="161"/>
      <c r="G156" s="33" t="str">
        <f>IFERROR(INDEX([1]Positions!$A:$A,MATCH(F156,[1]Positions!$C:$C,0)),"Other")</f>
        <v>Other</v>
      </c>
      <c r="H156" s="33" t="b">
        <f t="shared" si="4"/>
        <v>1</v>
      </c>
      <c r="I156" s="33" t="str">
        <f t="shared" si="5"/>
        <v>2025-03-27</v>
      </c>
      <c r="J156" s="136">
        <v>85</v>
      </c>
      <c r="K156" s="159" t="s">
        <v>0</v>
      </c>
    </row>
    <row r="157" spans="2:11" x14ac:dyDescent="0.25">
      <c r="B157" s="139">
        <v>759582657</v>
      </c>
      <c r="C157" s="139" t="s">
        <v>116</v>
      </c>
      <c r="D157" s="142">
        <v>45743.619518553198</v>
      </c>
      <c r="E157" s="139" t="s">
        <v>766</v>
      </c>
      <c r="F157" s="162" t="s">
        <v>530</v>
      </c>
      <c r="G157" s="33" t="str">
        <f>IFERROR(INDEX([1]Positions!$A:$A,MATCH(F157,[1]Positions!$C:$C,0)),"Other")</f>
        <v>Financial Services</v>
      </c>
      <c r="H157" s="33" t="b">
        <f t="shared" si="4"/>
        <v>1</v>
      </c>
      <c r="I157" s="33" t="str">
        <f t="shared" si="5"/>
        <v>2025-03-27</v>
      </c>
      <c r="J157" s="148">
        <v>0</v>
      </c>
      <c r="K157" s="159" t="s">
        <v>0</v>
      </c>
    </row>
    <row r="158" spans="2:11" x14ac:dyDescent="0.25">
      <c r="B158" s="130">
        <v>759868932</v>
      </c>
      <c r="C158" s="130" t="s">
        <v>77</v>
      </c>
      <c r="D158" s="133">
        <v>45743.766326979203</v>
      </c>
      <c r="E158" s="130" t="s">
        <v>125</v>
      </c>
      <c r="F158" s="161" t="s">
        <v>508</v>
      </c>
      <c r="G158" s="33" t="str">
        <f>IFERROR(INDEX([1]Positions!$A:$A,MATCH(F158,[1]Positions!$C:$C,0)),"Other")</f>
        <v>Consumer Defensive</v>
      </c>
      <c r="H158" s="33" t="b">
        <f t="shared" si="4"/>
        <v>1</v>
      </c>
      <c r="I158" s="33" t="str">
        <f t="shared" si="5"/>
        <v>2025-03-27</v>
      </c>
      <c r="J158" s="147">
        <v>-0.21</v>
      </c>
      <c r="K158" s="159" t="s">
        <v>0</v>
      </c>
    </row>
    <row r="159" spans="2:11" x14ac:dyDescent="0.25">
      <c r="B159" s="139">
        <v>759868933</v>
      </c>
      <c r="C159" s="139" t="s">
        <v>80</v>
      </c>
      <c r="D159" s="142">
        <v>45743.766326979203</v>
      </c>
      <c r="E159" s="139" t="s">
        <v>130</v>
      </c>
      <c r="F159" s="162" t="s">
        <v>508</v>
      </c>
      <c r="G159" s="33" t="str">
        <f>IFERROR(INDEX([1]Positions!$A:$A,MATCH(F159,[1]Positions!$C:$C,0)),"Other")</f>
        <v>Consumer Defensive</v>
      </c>
      <c r="H159" s="33" t="b">
        <f t="shared" si="4"/>
        <v>1</v>
      </c>
      <c r="I159" s="33" t="str">
        <f t="shared" si="5"/>
        <v>2025-03-27</v>
      </c>
      <c r="J159" s="148">
        <v>2.06</v>
      </c>
      <c r="K159" s="159" t="s">
        <v>0</v>
      </c>
    </row>
    <row r="160" spans="2:11" x14ac:dyDescent="0.25">
      <c r="B160" s="130">
        <v>759869187</v>
      </c>
      <c r="C160" s="130" t="s">
        <v>73</v>
      </c>
      <c r="D160" s="133">
        <v>45743.766586794001</v>
      </c>
      <c r="E160" s="130" t="s">
        <v>132</v>
      </c>
      <c r="F160" s="161" t="s">
        <v>535</v>
      </c>
      <c r="G160" s="33" t="str">
        <f>IFERROR(INDEX([1]Positions!$A:$A,MATCH(F160,[1]Positions!$C:$C,0)),"Other")</f>
        <v>Consumer Defensive</v>
      </c>
      <c r="H160" s="33" t="b">
        <f t="shared" si="4"/>
        <v>1</v>
      </c>
      <c r="I160" s="33" t="str">
        <f t="shared" si="5"/>
        <v>2025-03-27</v>
      </c>
      <c r="J160" s="147">
        <v>-21.13</v>
      </c>
      <c r="K160" s="159" t="s">
        <v>0</v>
      </c>
    </row>
    <row r="161" spans="2:11" x14ac:dyDescent="0.25">
      <c r="B161" s="139">
        <v>759869902</v>
      </c>
      <c r="C161" s="139" t="s">
        <v>77</v>
      </c>
      <c r="D161" s="142">
        <v>45743.7676910995</v>
      </c>
      <c r="E161" s="139" t="s">
        <v>137</v>
      </c>
      <c r="F161" s="162" t="s">
        <v>532</v>
      </c>
      <c r="G161" s="33" t="str">
        <f>IFERROR(INDEX([1]Positions!$A:$A,MATCH(F161,[1]Positions!$C:$C,0)),"Other")</f>
        <v>Consumer Defensive</v>
      </c>
      <c r="H161" s="33" t="b">
        <f t="shared" si="4"/>
        <v>1</v>
      </c>
      <c r="I161" s="33" t="str">
        <f t="shared" si="5"/>
        <v>2025-03-27</v>
      </c>
      <c r="J161" s="148">
        <v>1.37</v>
      </c>
      <c r="K161" s="159" t="s">
        <v>0</v>
      </c>
    </row>
    <row r="162" spans="2:11" x14ac:dyDescent="0.25">
      <c r="B162" s="130">
        <v>759869903</v>
      </c>
      <c r="C162" s="130" t="s">
        <v>80</v>
      </c>
      <c r="D162" s="133">
        <v>45743.7676910995</v>
      </c>
      <c r="E162" s="130" t="s">
        <v>142</v>
      </c>
      <c r="F162" s="161" t="s">
        <v>532</v>
      </c>
      <c r="G162" s="33" t="str">
        <f>IFERROR(INDEX([1]Positions!$A:$A,MATCH(F162,[1]Positions!$C:$C,0)),"Other")</f>
        <v>Consumer Defensive</v>
      </c>
      <c r="H162" s="33" t="b">
        <f t="shared" si="4"/>
        <v>1</v>
      </c>
      <c r="I162" s="33" t="str">
        <f t="shared" si="5"/>
        <v>2025-03-27</v>
      </c>
      <c r="J162" s="136">
        <v>10.25</v>
      </c>
      <c r="K162" s="159" t="s">
        <v>0</v>
      </c>
    </row>
    <row r="163" spans="2:11" x14ac:dyDescent="0.25">
      <c r="B163" s="139">
        <v>759864523</v>
      </c>
      <c r="C163" s="139" t="s">
        <v>73</v>
      </c>
      <c r="D163" s="142">
        <v>45743.761067280102</v>
      </c>
      <c r="E163" s="139" t="s">
        <v>143</v>
      </c>
      <c r="F163" s="162" t="s">
        <v>534</v>
      </c>
      <c r="G163" s="33" t="str">
        <f>IFERROR(INDEX([1]Positions!$A:$A,MATCH(F163,[1]Positions!$C:$C,0)),"Other")</f>
        <v>ETF</v>
      </c>
      <c r="H163" s="33" t="b">
        <f t="shared" si="4"/>
        <v>1</v>
      </c>
      <c r="I163" s="33" t="str">
        <f t="shared" si="5"/>
        <v>2025-03-27</v>
      </c>
      <c r="J163" s="145">
        <v>-46.11</v>
      </c>
      <c r="K163" s="159" t="s">
        <v>0</v>
      </c>
    </row>
    <row r="164" spans="2:11" x14ac:dyDescent="0.25">
      <c r="B164" s="130">
        <v>759865080</v>
      </c>
      <c r="C164" s="130" t="s">
        <v>73</v>
      </c>
      <c r="D164" s="133">
        <v>45743.761752719904</v>
      </c>
      <c r="E164" s="130" t="s">
        <v>148</v>
      </c>
      <c r="F164" s="161" t="s">
        <v>540</v>
      </c>
      <c r="G164" s="33" t="str">
        <f>IFERROR(INDEX([1]Positions!$A:$A,MATCH(F164,[1]Positions!$C:$C,0)),"Other")</f>
        <v>Healthcare</v>
      </c>
      <c r="H164" s="33" t="b">
        <f t="shared" si="4"/>
        <v>1</v>
      </c>
      <c r="I164" s="33" t="str">
        <f t="shared" si="5"/>
        <v>2025-03-27</v>
      </c>
      <c r="J164" s="147">
        <v>-10</v>
      </c>
      <c r="K164" s="159" t="s">
        <v>0</v>
      </c>
    </row>
    <row r="165" spans="2:11" x14ac:dyDescent="0.25">
      <c r="B165" s="139">
        <v>759868722</v>
      </c>
      <c r="C165" s="139" t="s">
        <v>77</v>
      </c>
      <c r="D165" s="142">
        <v>45743.765998182898</v>
      </c>
      <c r="E165" s="139" t="s">
        <v>153</v>
      </c>
      <c r="F165" s="162" t="s">
        <v>531</v>
      </c>
      <c r="G165" s="33" t="str">
        <f>IFERROR(INDEX([1]Positions!$A:$A,MATCH(F165,[1]Positions!$C:$C,0)),"Other")</f>
        <v>Consumer Defensive</v>
      </c>
      <c r="H165" s="33" t="b">
        <f t="shared" si="4"/>
        <v>1</v>
      </c>
      <c r="I165" s="33" t="str">
        <f t="shared" si="5"/>
        <v>2025-03-27</v>
      </c>
      <c r="J165" s="145">
        <v>-0.11</v>
      </c>
      <c r="K165" s="159" t="s">
        <v>0</v>
      </c>
    </row>
    <row r="166" spans="2:11" x14ac:dyDescent="0.25">
      <c r="B166" s="130">
        <v>759868723</v>
      </c>
      <c r="C166" s="130" t="s">
        <v>80</v>
      </c>
      <c r="D166" s="133">
        <v>45743.765998182898</v>
      </c>
      <c r="E166" s="130" t="s">
        <v>155</v>
      </c>
      <c r="F166" s="161" t="s">
        <v>531</v>
      </c>
      <c r="G166" s="33" t="str">
        <f>IFERROR(INDEX([1]Positions!$A:$A,MATCH(F166,[1]Positions!$C:$C,0)),"Other")</f>
        <v>Consumer Defensive</v>
      </c>
      <c r="H166" s="33" t="b">
        <f t="shared" si="4"/>
        <v>1</v>
      </c>
      <c r="I166" s="33" t="str">
        <f t="shared" si="5"/>
        <v>2025-03-27</v>
      </c>
      <c r="J166" s="136">
        <v>2.04</v>
      </c>
      <c r="K166" s="159" t="s">
        <v>0</v>
      </c>
    </row>
    <row r="167" spans="2:11" x14ac:dyDescent="0.25">
      <c r="B167" s="139">
        <v>759875711</v>
      </c>
      <c r="C167" s="139" t="s">
        <v>73</v>
      </c>
      <c r="D167" s="142">
        <v>45743.773895567101</v>
      </c>
      <c r="E167" s="139" t="s">
        <v>156</v>
      </c>
      <c r="F167" s="162" t="s">
        <v>543</v>
      </c>
      <c r="G167" s="33" t="str">
        <f>IFERROR(INDEX([1]Positions!$A:$A,MATCH(F167,[1]Positions!$C:$C,0)),"Other")</f>
        <v>ETF</v>
      </c>
      <c r="H167" s="33" t="b">
        <f t="shared" si="4"/>
        <v>1</v>
      </c>
      <c r="I167" s="33" t="str">
        <f t="shared" si="5"/>
        <v>2025-03-27</v>
      </c>
      <c r="J167" s="145">
        <v>-72.87</v>
      </c>
      <c r="K167" s="159" t="s">
        <v>0</v>
      </c>
    </row>
    <row r="168" spans="2:11" x14ac:dyDescent="0.25">
      <c r="B168" s="130">
        <v>760803346</v>
      </c>
      <c r="C168" s="130" t="s">
        <v>116</v>
      </c>
      <c r="D168" s="133">
        <v>45744.634670358799</v>
      </c>
      <c r="E168" s="130" t="s">
        <v>767</v>
      </c>
      <c r="F168" s="161" t="s">
        <v>508</v>
      </c>
      <c r="G168" s="33" t="str">
        <f>IFERROR(INDEX([1]Positions!$A:$A,MATCH(F168,[1]Positions!$C:$C,0)),"Other")</f>
        <v>Consumer Defensive</v>
      </c>
      <c r="H168" s="33" t="b">
        <f t="shared" si="4"/>
        <v>1</v>
      </c>
      <c r="I168" s="33" t="str">
        <f t="shared" si="5"/>
        <v>2025-03-28</v>
      </c>
      <c r="J168" s="136">
        <v>0</v>
      </c>
      <c r="K168" s="159" t="s">
        <v>0</v>
      </c>
    </row>
    <row r="169" spans="2:11" x14ac:dyDescent="0.25">
      <c r="B169" s="139">
        <v>760808318</v>
      </c>
      <c r="C169" s="139" t="s">
        <v>116</v>
      </c>
      <c r="D169" s="142">
        <v>45744.635982152802</v>
      </c>
      <c r="E169" s="139" t="s">
        <v>768</v>
      </c>
      <c r="F169" s="162" t="s">
        <v>531</v>
      </c>
      <c r="G169" s="33" t="str">
        <f>IFERROR(INDEX([1]Positions!$A:$A,MATCH(F169,[1]Positions!$C:$C,0)),"Other")</f>
        <v>Consumer Defensive</v>
      </c>
      <c r="H169" s="33" t="b">
        <f t="shared" si="4"/>
        <v>1</v>
      </c>
      <c r="I169" s="33" t="str">
        <f t="shared" si="5"/>
        <v>2025-03-28</v>
      </c>
      <c r="J169" s="148">
        <v>0</v>
      </c>
      <c r="K169" s="159" t="s">
        <v>0</v>
      </c>
    </row>
    <row r="170" spans="2:11" x14ac:dyDescent="0.25">
      <c r="B170" s="130">
        <v>760796413</v>
      </c>
      <c r="C170" s="130" t="s">
        <v>116</v>
      </c>
      <c r="D170" s="133">
        <v>45744.633051620403</v>
      </c>
      <c r="E170" s="130" t="s">
        <v>769</v>
      </c>
      <c r="F170" s="161" t="s">
        <v>532</v>
      </c>
      <c r="G170" s="33" t="str">
        <f>IFERROR(INDEX([1]Positions!$A:$A,MATCH(F170,[1]Positions!$C:$C,0)),"Other")</f>
        <v>Consumer Defensive</v>
      </c>
      <c r="H170" s="33" t="b">
        <f t="shared" si="4"/>
        <v>1</v>
      </c>
      <c r="I170" s="33" t="str">
        <f t="shared" si="5"/>
        <v>2025-03-28</v>
      </c>
      <c r="J170" s="136">
        <v>0</v>
      </c>
      <c r="K170" s="159" t="s">
        <v>0</v>
      </c>
    </row>
    <row r="171" spans="2:11" x14ac:dyDescent="0.25">
      <c r="B171" s="139">
        <v>761014425</v>
      </c>
      <c r="C171" s="139" t="s">
        <v>73</v>
      </c>
      <c r="D171" s="142">
        <v>45744.713397372703</v>
      </c>
      <c r="E171" s="139" t="s">
        <v>157</v>
      </c>
      <c r="F171" s="162" t="s">
        <v>513</v>
      </c>
      <c r="G171" s="33" t="str">
        <f>IFERROR(INDEX([1]Positions!$A:$A,MATCH(F171,[1]Positions!$C:$C,0)),"Other")</f>
        <v>Technology</v>
      </c>
      <c r="H171" s="33" t="b">
        <f t="shared" si="4"/>
        <v>1</v>
      </c>
      <c r="I171" s="33" t="str">
        <f t="shared" si="5"/>
        <v>2025-03-28</v>
      </c>
      <c r="J171" s="145">
        <v>-15</v>
      </c>
      <c r="K171" s="159" t="s">
        <v>0</v>
      </c>
    </row>
    <row r="172" spans="2:11" x14ac:dyDescent="0.25">
      <c r="B172" s="130">
        <v>745059993</v>
      </c>
      <c r="C172" s="130" t="s">
        <v>119</v>
      </c>
      <c r="D172" s="133">
        <v>45727.386404722201</v>
      </c>
      <c r="E172" s="130" t="s">
        <v>120</v>
      </c>
      <c r="F172" s="161"/>
      <c r="G172" s="33" t="str">
        <f>IFERROR(INDEX([1]Positions!$A:$A,MATCH(F172,[1]Positions!$C:$C,0)),"Other")</f>
        <v>Other</v>
      </c>
      <c r="H172" s="33" t="b">
        <f t="shared" si="4"/>
        <v>1</v>
      </c>
      <c r="I172" s="33" t="str">
        <f t="shared" si="5"/>
        <v>2025-03-11</v>
      </c>
      <c r="J172" s="136">
        <v>52.08</v>
      </c>
      <c r="K172" s="159" t="s">
        <v>0</v>
      </c>
    </row>
    <row r="173" spans="2:11" x14ac:dyDescent="0.25">
      <c r="B173" s="139">
        <v>762151528</v>
      </c>
      <c r="C173" s="139" t="s">
        <v>69</v>
      </c>
      <c r="D173" s="142">
        <v>45747.483369224501</v>
      </c>
      <c r="E173" s="139" t="s">
        <v>770</v>
      </c>
      <c r="F173" s="162" t="s">
        <v>508</v>
      </c>
      <c r="G173" s="33" t="str">
        <f>IFERROR(INDEX([1]Positions!$A:$A,MATCH(F173,[1]Positions!$C:$C,0)),"Other")</f>
        <v>Consumer Defensive</v>
      </c>
      <c r="H173" s="33" t="b">
        <f t="shared" si="4"/>
        <v>1</v>
      </c>
      <c r="I173" s="33" t="str">
        <f t="shared" si="5"/>
        <v>2025-03-31</v>
      </c>
      <c r="J173" s="148">
        <v>0.12</v>
      </c>
      <c r="K173" s="159" t="s">
        <v>0</v>
      </c>
    </row>
    <row r="174" spans="2:11" x14ac:dyDescent="0.25">
      <c r="B174" s="130">
        <v>762151529</v>
      </c>
      <c r="C174" s="130" t="s">
        <v>70</v>
      </c>
      <c r="D174" s="133">
        <v>45747.483369224501</v>
      </c>
      <c r="E174" s="130" t="s">
        <v>771</v>
      </c>
      <c r="F174" s="161" t="s">
        <v>508</v>
      </c>
      <c r="G174" s="33" t="str">
        <f>IFERROR(INDEX([1]Positions!$A:$A,MATCH(F174,[1]Positions!$C:$C,0)),"Other")</f>
        <v>Consumer Defensive</v>
      </c>
      <c r="H174" s="33" t="b">
        <f t="shared" si="4"/>
        <v>1</v>
      </c>
      <c r="I174" s="33" t="str">
        <f t="shared" si="5"/>
        <v>2025-03-31</v>
      </c>
      <c r="J174" s="147">
        <v>-0.04</v>
      </c>
      <c r="K174" s="159" t="s">
        <v>0</v>
      </c>
    </row>
    <row r="175" spans="2:11" x14ac:dyDescent="0.25">
      <c r="B175" s="139">
        <v>762179517</v>
      </c>
      <c r="C175" s="139" t="s">
        <v>69</v>
      </c>
      <c r="D175" s="142">
        <v>45747.483405335603</v>
      </c>
      <c r="E175" s="139" t="s">
        <v>770</v>
      </c>
      <c r="F175" s="162" t="s">
        <v>508</v>
      </c>
      <c r="G175" s="33" t="str">
        <f>IFERROR(INDEX([1]Positions!$A:$A,MATCH(F175,[1]Positions!$C:$C,0)),"Other")</f>
        <v>Consumer Defensive</v>
      </c>
      <c r="H175" s="33" t="b">
        <f t="shared" si="4"/>
        <v>1</v>
      </c>
      <c r="I175" s="33" t="str">
        <f t="shared" si="5"/>
        <v>2025-03-31</v>
      </c>
      <c r="J175" s="148">
        <v>0.16</v>
      </c>
      <c r="K175" s="159" t="s">
        <v>0</v>
      </c>
    </row>
    <row r="176" spans="2:11" x14ac:dyDescent="0.25">
      <c r="B176" s="130">
        <v>762179518</v>
      </c>
      <c r="C176" s="130" t="s">
        <v>70</v>
      </c>
      <c r="D176" s="133">
        <v>45747.483405335603</v>
      </c>
      <c r="E176" s="130" t="s">
        <v>771</v>
      </c>
      <c r="F176" s="161" t="s">
        <v>508</v>
      </c>
      <c r="G176" s="33" t="str">
        <f>IFERROR(INDEX([1]Positions!$A:$A,MATCH(F176,[1]Positions!$C:$C,0)),"Other")</f>
        <v>Consumer Defensive</v>
      </c>
      <c r="H176" s="33" t="b">
        <f t="shared" si="4"/>
        <v>1</v>
      </c>
      <c r="I176" s="33" t="str">
        <f t="shared" si="5"/>
        <v>2025-03-31</v>
      </c>
      <c r="J176" s="147">
        <v>-0.05</v>
      </c>
      <c r="K176" s="159" t="s">
        <v>0</v>
      </c>
    </row>
    <row r="177" spans="2:11" x14ac:dyDescent="0.25">
      <c r="B177" s="139">
        <v>762177357</v>
      </c>
      <c r="C177" s="139" t="s">
        <v>69</v>
      </c>
      <c r="D177" s="142">
        <v>45747.483402673599</v>
      </c>
      <c r="E177" s="139" t="s">
        <v>770</v>
      </c>
      <c r="F177" s="162" t="s">
        <v>508</v>
      </c>
      <c r="G177" s="33" t="str">
        <f>IFERROR(INDEX([1]Positions!$A:$A,MATCH(F177,[1]Positions!$C:$C,0)),"Other")</f>
        <v>Consumer Defensive</v>
      </c>
      <c r="H177" s="33" t="b">
        <f t="shared" si="4"/>
        <v>1</v>
      </c>
      <c r="I177" s="33" t="str">
        <f t="shared" si="5"/>
        <v>2025-03-31</v>
      </c>
      <c r="J177" s="148">
        <v>0.08</v>
      </c>
      <c r="K177" s="159" t="s">
        <v>0</v>
      </c>
    </row>
    <row r="178" spans="2:11" x14ac:dyDescent="0.25">
      <c r="B178" s="130">
        <v>762177358</v>
      </c>
      <c r="C178" s="130" t="s">
        <v>70</v>
      </c>
      <c r="D178" s="133">
        <v>45747.483402673599</v>
      </c>
      <c r="E178" s="130" t="s">
        <v>771</v>
      </c>
      <c r="F178" s="161" t="s">
        <v>508</v>
      </c>
      <c r="G178" s="33" t="str">
        <f>IFERROR(INDEX([1]Positions!$A:$A,MATCH(F178,[1]Positions!$C:$C,0)),"Other")</f>
        <v>Consumer Defensive</v>
      </c>
      <c r="H178" s="33" t="b">
        <f t="shared" si="4"/>
        <v>1</v>
      </c>
      <c r="I178" s="33" t="str">
        <f t="shared" si="5"/>
        <v>2025-03-31</v>
      </c>
      <c r="J178" s="147">
        <v>-0.02</v>
      </c>
      <c r="K178" s="159" t="s">
        <v>0</v>
      </c>
    </row>
    <row r="179" spans="2:11" x14ac:dyDescent="0.25">
      <c r="B179" s="139">
        <v>762177784</v>
      </c>
      <c r="C179" s="139" t="s">
        <v>69</v>
      </c>
      <c r="D179" s="142">
        <v>45747.483403206003</v>
      </c>
      <c r="E179" s="139" t="s">
        <v>770</v>
      </c>
      <c r="F179" s="162" t="s">
        <v>508</v>
      </c>
      <c r="G179" s="33" t="str">
        <f>IFERROR(INDEX([1]Positions!$A:$A,MATCH(F179,[1]Positions!$C:$C,0)),"Other")</f>
        <v>Consumer Defensive</v>
      </c>
      <c r="H179" s="33" t="b">
        <f t="shared" si="4"/>
        <v>1</v>
      </c>
      <c r="I179" s="33" t="str">
        <f t="shared" si="5"/>
        <v>2025-03-31</v>
      </c>
      <c r="J179" s="148">
        <v>0.1</v>
      </c>
      <c r="K179" s="159" t="s">
        <v>0</v>
      </c>
    </row>
    <row r="180" spans="2:11" x14ac:dyDescent="0.25">
      <c r="B180" s="130">
        <v>762177785</v>
      </c>
      <c r="C180" s="130" t="s">
        <v>70</v>
      </c>
      <c r="D180" s="133">
        <v>45747.483403206003</v>
      </c>
      <c r="E180" s="130" t="s">
        <v>771</v>
      </c>
      <c r="F180" s="161" t="s">
        <v>508</v>
      </c>
      <c r="G180" s="33" t="str">
        <f>IFERROR(INDEX([1]Positions!$A:$A,MATCH(F180,[1]Positions!$C:$C,0)),"Other")</f>
        <v>Consumer Defensive</v>
      </c>
      <c r="H180" s="33" t="b">
        <f t="shared" si="4"/>
        <v>1</v>
      </c>
      <c r="I180" s="33" t="str">
        <f t="shared" si="5"/>
        <v>2025-03-31</v>
      </c>
      <c r="J180" s="147">
        <v>-0.03</v>
      </c>
      <c r="K180" s="159" t="s">
        <v>0</v>
      </c>
    </row>
    <row r="181" spans="2:11" x14ac:dyDescent="0.25">
      <c r="B181" s="139">
        <v>762184116</v>
      </c>
      <c r="C181" s="139" t="s">
        <v>69</v>
      </c>
      <c r="D181" s="142">
        <v>45747.483411469897</v>
      </c>
      <c r="E181" s="139" t="s">
        <v>770</v>
      </c>
      <c r="F181" s="162" t="s">
        <v>508</v>
      </c>
      <c r="G181" s="33" t="str">
        <f>IFERROR(INDEX([1]Positions!$A:$A,MATCH(F181,[1]Positions!$C:$C,0)),"Other")</f>
        <v>Consumer Defensive</v>
      </c>
      <c r="H181" s="33" t="b">
        <f t="shared" si="4"/>
        <v>1</v>
      </c>
      <c r="I181" s="33" t="str">
        <f t="shared" si="5"/>
        <v>2025-03-31</v>
      </c>
      <c r="J181" s="148">
        <v>0.14000000000000001</v>
      </c>
      <c r="K181" s="159" t="s">
        <v>0</v>
      </c>
    </row>
    <row r="182" spans="2:11" x14ac:dyDescent="0.25">
      <c r="B182" s="130">
        <v>762184117</v>
      </c>
      <c r="C182" s="130" t="s">
        <v>70</v>
      </c>
      <c r="D182" s="133">
        <v>45747.483411481502</v>
      </c>
      <c r="E182" s="130" t="s">
        <v>771</v>
      </c>
      <c r="F182" s="161" t="s">
        <v>508</v>
      </c>
      <c r="G182" s="33" t="str">
        <f>IFERROR(INDEX([1]Positions!$A:$A,MATCH(F182,[1]Positions!$C:$C,0)),"Other")</f>
        <v>Consumer Defensive</v>
      </c>
      <c r="H182" s="33" t="b">
        <f t="shared" si="4"/>
        <v>1</v>
      </c>
      <c r="I182" s="33" t="str">
        <f t="shared" si="5"/>
        <v>2025-03-31</v>
      </c>
      <c r="J182" s="147">
        <v>-0.04</v>
      </c>
      <c r="K182" s="159" t="s">
        <v>0</v>
      </c>
    </row>
    <row r="183" spans="2:11" x14ac:dyDescent="0.25">
      <c r="B183" s="139">
        <v>762201892</v>
      </c>
      <c r="C183" s="139" t="s">
        <v>69</v>
      </c>
      <c r="D183" s="142">
        <v>45747.483433055597</v>
      </c>
      <c r="E183" s="139" t="s">
        <v>770</v>
      </c>
      <c r="F183" s="162" t="s">
        <v>508</v>
      </c>
      <c r="G183" s="33" t="str">
        <f>IFERROR(INDEX([1]Positions!$A:$A,MATCH(F183,[1]Positions!$C:$C,0)),"Other")</f>
        <v>Consumer Defensive</v>
      </c>
      <c r="H183" s="33" t="b">
        <f t="shared" si="4"/>
        <v>1</v>
      </c>
      <c r="I183" s="33" t="str">
        <f t="shared" si="5"/>
        <v>2025-03-31</v>
      </c>
      <c r="J183" s="148">
        <v>0.08</v>
      </c>
      <c r="K183" s="159" t="s">
        <v>0</v>
      </c>
    </row>
    <row r="184" spans="2:11" x14ac:dyDescent="0.25">
      <c r="B184" s="130">
        <v>762201893</v>
      </c>
      <c r="C184" s="130" t="s">
        <v>70</v>
      </c>
      <c r="D184" s="133">
        <v>45747.483433055597</v>
      </c>
      <c r="E184" s="130" t="s">
        <v>771</v>
      </c>
      <c r="F184" s="161" t="s">
        <v>508</v>
      </c>
      <c r="G184" s="33" t="str">
        <f>IFERROR(INDEX([1]Positions!$A:$A,MATCH(F184,[1]Positions!$C:$C,0)),"Other")</f>
        <v>Consumer Defensive</v>
      </c>
      <c r="H184" s="33" t="b">
        <f t="shared" si="4"/>
        <v>1</v>
      </c>
      <c r="I184" s="33" t="str">
        <f t="shared" si="5"/>
        <v>2025-03-31</v>
      </c>
      <c r="J184" s="147">
        <v>-0.02</v>
      </c>
      <c r="K184" s="159" t="s">
        <v>0</v>
      </c>
    </row>
    <row r="185" spans="2:11" x14ac:dyDescent="0.25">
      <c r="B185" s="139">
        <v>746041827</v>
      </c>
      <c r="C185" s="139" t="s">
        <v>73</v>
      </c>
      <c r="D185" s="142">
        <v>45727.871675972201</v>
      </c>
      <c r="E185" s="139" t="s">
        <v>158</v>
      </c>
      <c r="F185" s="162" t="s">
        <v>537</v>
      </c>
      <c r="G185" s="33" t="str">
        <f>IFERROR(INDEX([1]Positions!$A:$A,MATCH(F185,[1]Positions!$C:$C,0)),"Other")</f>
        <v>Energy &amp; Utilities</v>
      </c>
      <c r="H185" s="33" t="b">
        <f t="shared" si="4"/>
        <v>1</v>
      </c>
      <c r="I185" s="33" t="str">
        <f t="shared" si="5"/>
        <v>2025-03-11</v>
      </c>
      <c r="J185" s="145">
        <v>-19.989999999999998</v>
      </c>
      <c r="K185" s="159" t="s">
        <v>0</v>
      </c>
    </row>
    <row r="186" spans="2:11" x14ac:dyDescent="0.25">
      <c r="B186" s="130">
        <v>746042210</v>
      </c>
      <c r="C186" s="130" t="s">
        <v>73</v>
      </c>
      <c r="D186" s="133">
        <v>45727.872020729199</v>
      </c>
      <c r="E186" s="130" t="s">
        <v>159</v>
      </c>
      <c r="F186" s="161" t="s">
        <v>538</v>
      </c>
      <c r="G186" s="33" t="str">
        <f>IFERROR(INDEX([1]Positions!$A:$A,MATCH(F186,[1]Positions!$C:$C,0)),"Other")</f>
        <v>Energy &amp; Utilities</v>
      </c>
      <c r="H186" s="33" t="b">
        <f t="shared" si="4"/>
        <v>1</v>
      </c>
      <c r="I186" s="33" t="str">
        <f t="shared" si="5"/>
        <v>2025-03-11</v>
      </c>
      <c r="J186" s="147">
        <v>-15</v>
      </c>
      <c r="K186" s="159" t="s">
        <v>0</v>
      </c>
    </row>
    <row r="187" spans="2:11" x14ac:dyDescent="0.25">
      <c r="B187" s="139">
        <v>746042387</v>
      </c>
      <c r="C187" s="139" t="s">
        <v>73</v>
      </c>
      <c r="D187" s="142">
        <v>45727.872143796303</v>
      </c>
      <c r="E187" s="139" t="s">
        <v>160</v>
      </c>
      <c r="F187" s="162" t="s">
        <v>513</v>
      </c>
      <c r="G187" s="33" t="str">
        <f>IFERROR(INDEX([1]Positions!$A:$A,MATCH(F187,[1]Positions!$C:$C,0)),"Other")</f>
        <v>Technology</v>
      </c>
      <c r="H187" s="33" t="b">
        <f t="shared" si="4"/>
        <v>1</v>
      </c>
      <c r="I187" s="33" t="str">
        <f t="shared" si="5"/>
        <v>2025-03-11</v>
      </c>
      <c r="J187" s="145">
        <v>-14.99</v>
      </c>
      <c r="K187" s="159" t="s">
        <v>0</v>
      </c>
    </row>
    <row r="188" spans="2:11" x14ac:dyDescent="0.25">
      <c r="B188" s="130">
        <v>765269866</v>
      </c>
      <c r="C188" s="130" t="s">
        <v>69</v>
      </c>
      <c r="D188" s="133">
        <v>45749.4986132755</v>
      </c>
      <c r="E188" s="130" t="s">
        <v>772</v>
      </c>
      <c r="F188" s="161" t="s">
        <v>531</v>
      </c>
      <c r="G188" s="33" t="str">
        <f>IFERROR(INDEX([1]Positions!$A:$A,MATCH(F188,[1]Positions!$C:$C,0)),"Other")</f>
        <v>Consumer Defensive</v>
      </c>
      <c r="H188" s="33" t="b">
        <f t="shared" si="4"/>
        <v>1</v>
      </c>
      <c r="I188" s="33" t="str">
        <f t="shared" si="5"/>
        <v>2025-04-02</v>
      </c>
      <c r="J188" s="136">
        <v>0.13</v>
      </c>
      <c r="K188" s="159" t="s">
        <v>0</v>
      </c>
    </row>
    <row r="189" spans="2:11" x14ac:dyDescent="0.25">
      <c r="B189" s="139">
        <v>765269867</v>
      </c>
      <c r="C189" s="139" t="s">
        <v>70</v>
      </c>
      <c r="D189" s="142">
        <v>45749.4986132755</v>
      </c>
      <c r="E189" s="139" t="s">
        <v>773</v>
      </c>
      <c r="F189" s="162" t="s">
        <v>531</v>
      </c>
      <c r="G189" s="33" t="str">
        <f>IFERROR(INDEX([1]Positions!$A:$A,MATCH(F189,[1]Positions!$C:$C,0)),"Other")</f>
        <v>Consumer Defensive</v>
      </c>
      <c r="H189" s="33" t="b">
        <f t="shared" si="4"/>
        <v>1</v>
      </c>
      <c r="I189" s="33" t="str">
        <f t="shared" si="5"/>
        <v>2025-04-02</v>
      </c>
      <c r="J189" s="145">
        <v>-0.04</v>
      </c>
      <c r="K189" s="159" t="s">
        <v>0</v>
      </c>
    </row>
    <row r="190" spans="2:11" x14ac:dyDescent="0.25">
      <c r="B190" s="130">
        <v>765270069</v>
      </c>
      <c r="C190" s="130" t="s">
        <v>69</v>
      </c>
      <c r="D190" s="133">
        <v>45749.498613506898</v>
      </c>
      <c r="E190" s="130" t="s">
        <v>772</v>
      </c>
      <c r="F190" s="161" t="s">
        <v>531</v>
      </c>
      <c r="G190" s="33" t="str">
        <f>IFERROR(INDEX([1]Positions!$A:$A,MATCH(F190,[1]Positions!$C:$C,0)),"Other")</f>
        <v>Consumer Defensive</v>
      </c>
      <c r="H190" s="33" t="b">
        <f t="shared" si="4"/>
        <v>1</v>
      </c>
      <c r="I190" s="33" t="str">
        <f t="shared" si="5"/>
        <v>2025-04-02</v>
      </c>
      <c r="J190" s="136">
        <v>0.1</v>
      </c>
      <c r="K190" s="159" t="s">
        <v>0</v>
      </c>
    </row>
    <row r="191" spans="2:11" x14ac:dyDescent="0.25">
      <c r="B191" s="139">
        <v>765270070</v>
      </c>
      <c r="C191" s="139" t="s">
        <v>70</v>
      </c>
      <c r="D191" s="142">
        <v>45749.498613506898</v>
      </c>
      <c r="E191" s="139" t="s">
        <v>773</v>
      </c>
      <c r="F191" s="162" t="s">
        <v>531</v>
      </c>
      <c r="G191" s="33" t="str">
        <f>IFERROR(INDEX([1]Positions!$A:$A,MATCH(F191,[1]Positions!$C:$C,0)),"Other")</f>
        <v>Consumer Defensive</v>
      </c>
      <c r="H191" s="33" t="b">
        <f t="shared" si="4"/>
        <v>1</v>
      </c>
      <c r="I191" s="33" t="str">
        <f t="shared" si="5"/>
        <v>2025-04-02</v>
      </c>
      <c r="J191" s="145">
        <v>-0.03</v>
      </c>
      <c r="K191" s="159" t="s">
        <v>0</v>
      </c>
    </row>
    <row r="192" spans="2:11" x14ac:dyDescent="0.25">
      <c r="B192" s="130">
        <v>765270081</v>
      </c>
      <c r="C192" s="130" t="s">
        <v>69</v>
      </c>
      <c r="D192" s="133">
        <v>45749.498613518503</v>
      </c>
      <c r="E192" s="130" t="s">
        <v>772</v>
      </c>
      <c r="F192" s="161" t="s">
        <v>531</v>
      </c>
      <c r="G192" s="33" t="str">
        <f>IFERROR(INDEX([1]Positions!$A:$A,MATCH(F192,[1]Positions!$C:$C,0)),"Other")</f>
        <v>Consumer Defensive</v>
      </c>
      <c r="H192" s="33" t="b">
        <f t="shared" si="4"/>
        <v>1</v>
      </c>
      <c r="I192" s="33" t="str">
        <f t="shared" si="5"/>
        <v>2025-04-02</v>
      </c>
      <c r="J192" s="136">
        <v>0.17</v>
      </c>
      <c r="K192" s="159" t="s">
        <v>0</v>
      </c>
    </row>
    <row r="193" spans="2:11" x14ac:dyDescent="0.25">
      <c r="B193" s="139">
        <v>765270082</v>
      </c>
      <c r="C193" s="139" t="s">
        <v>70</v>
      </c>
      <c r="D193" s="142">
        <v>45749.498613518503</v>
      </c>
      <c r="E193" s="139" t="s">
        <v>773</v>
      </c>
      <c r="F193" s="162" t="s">
        <v>531</v>
      </c>
      <c r="G193" s="33" t="str">
        <f>IFERROR(INDEX([1]Positions!$A:$A,MATCH(F193,[1]Positions!$C:$C,0)),"Other")</f>
        <v>Consumer Defensive</v>
      </c>
      <c r="H193" s="33" t="b">
        <f t="shared" si="4"/>
        <v>1</v>
      </c>
      <c r="I193" s="33" t="str">
        <f t="shared" si="5"/>
        <v>2025-04-02</v>
      </c>
      <c r="J193" s="145">
        <v>-0.05</v>
      </c>
      <c r="K193" s="159" t="s">
        <v>0</v>
      </c>
    </row>
    <row r="194" spans="2:11" x14ac:dyDescent="0.25">
      <c r="B194" s="130">
        <v>765270529</v>
      </c>
      <c r="C194" s="130" t="s">
        <v>69</v>
      </c>
      <c r="D194" s="133">
        <v>45749.498614039403</v>
      </c>
      <c r="E194" s="130" t="s">
        <v>772</v>
      </c>
      <c r="F194" s="161" t="s">
        <v>531</v>
      </c>
      <c r="G194" s="33" t="str">
        <f>IFERROR(INDEX([1]Positions!$A:$A,MATCH(F194,[1]Positions!$C:$C,0)),"Other")</f>
        <v>Consumer Defensive</v>
      </c>
      <c r="H194" s="33" t="b">
        <f t="shared" si="4"/>
        <v>1</v>
      </c>
      <c r="I194" s="33" t="str">
        <f t="shared" si="5"/>
        <v>2025-04-02</v>
      </c>
      <c r="J194" s="136">
        <v>0.1</v>
      </c>
      <c r="K194" s="159" t="s">
        <v>0</v>
      </c>
    </row>
    <row r="195" spans="2:11" x14ac:dyDescent="0.25">
      <c r="B195" s="139">
        <v>765270530</v>
      </c>
      <c r="C195" s="139" t="s">
        <v>70</v>
      </c>
      <c r="D195" s="142">
        <v>45749.498614039403</v>
      </c>
      <c r="E195" s="139" t="s">
        <v>773</v>
      </c>
      <c r="F195" s="162" t="s">
        <v>531</v>
      </c>
      <c r="G195" s="33" t="str">
        <f>IFERROR(INDEX([1]Positions!$A:$A,MATCH(F195,[1]Positions!$C:$C,0)),"Other")</f>
        <v>Consumer Defensive</v>
      </c>
      <c r="H195" s="33" t="b">
        <f t="shared" si="4"/>
        <v>1</v>
      </c>
      <c r="I195" s="33" t="str">
        <f t="shared" si="5"/>
        <v>2025-04-02</v>
      </c>
      <c r="J195" s="145">
        <v>-0.03</v>
      </c>
      <c r="K195" s="159" t="s">
        <v>0</v>
      </c>
    </row>
    <row r="196" spans="2:11" x14ac:dyDescent="0.25">
      <c r="B196" s="130">
        <v>765270735</v>
      </c>
      <c r="C196" s="130" t="s">
        <v>69</v>
      </c>
      <c r="D196" s="133">
        <v>45749.498614282398</v>
      </c>
      <c r="E196" s="130" t="s">
        <v>772</v>
      </c>
      <c r="F196" s="161" t="s">
        <v>531</v>
      </c>
      <c r="G196" s="33" t="str">
        <f>IFERROR(INDEX([1]Positions!$A:$A,MATCH(F196,[1]Positions!$C:$C,0)),"Other")</f>
        <v>Consumer Defensive</v>
      </c>
      <c r="H196" s="33" t="b">
        <f t="shared" si="4"/>
        <v>1</v>
      </c>
      <c r="I196" s="33" t="str">
        <f t="shared" si="5"/>
        <v>2025-04-02</v>
      </c>
      <c r="J196" s="136">
        <v>0.14000000000000001</v>
      </c>
      <c r="K196" s="159" t="s">
        <v>0</v>
      </c>
    </row>
    <row r="197" spans="2:11" x14ac:dyDescent="0.25">
      <c r="B197" s="139">
        <v>765270736</v>
      </c>
      <c r="C197" s="139" t="s">
        <v>70</v>
      </c>
      <c r="D197" s="142">
        <v>45749.498614282398</v>
      </c>
      <c r="E197" s="139" t="s">
        <v>773</v>
      </c>
      <c r="F197" s="162" t="s">
        <v>531</v>
      </c>
      <c r="G197" s="33" t="str">
        <f>IFERROR(INDEX([1]Positions!$A:$A,MATCH(F197,[1]Positions!$C:$C,0)),"Other")</f>
        <v>Consumer Defensive</v>
      </c>
      <c r="H197" s="33" t="b">
        <f t="shared" si="4"/>
        <v>1</v>
      </c>
      <c r="I197" s="33" t="str">
        <f t="shared" si="5"/>
        <v>2025-04-02</v>
      </c>
      <c r="J197" s="145">
        <v>-0.04</v>
      </c>
      <c r="K197" s="159" t="s">
        <v>0</v>
      </c>
    </row>
    <row r="198" spans="2:11" x14ac:dyDescent="0.25">
      <c r="B198" s="130">
        <v>705653199</v>
      </c>
      <c r="C198" s="130" t="s">
        <v>69</v>
      </c>
      <c r="D198" s="133">
        <v>45681.495147719899</v>
      </c>
      <c r="E198" s="130" t="s">
        <v>774</v>
      </c>
      <c r="F198" s="161" t="s">
        <v>529</v>
      </c>
      <c r="G198" s="33" t="str">
        <f>IFERROR(INDEX([1]Positions!$A:$A,MATCH(F198,[1]Positions!$C:$C,0)),"Other")</f>
        <v>Financial Services</v>
      </c>
      <c r="H198" s="33" t="b">
        <f t="shared" si="4"/>
        <v>1</v>
      </c>
      <c r="I198" s="33" t="str">
        <f t="shared" si="5"/>
        <v>2025-01-24</v>
      </c>
      <c r="J198" s="136">
        <v>0.16</v>
      </c>
      <c r="K198" s="159" t="s">
        <v>0</v>
      </c>
    </row>
    <row r="199" spans="2:11" x14ac:dyDescent="0.25">
      <c r="B199" s="139">
        <v>705653200</v>
      </c>
      <c r="C199" s="139" t="s">
        <v>70</v>
      </c>
      <c r="D199" s="142">
        <v>45681.495147731497</v>
      </c>
      <c r="E199" s="139" t="s">
        <v>775</v>
      </c>
      <c r="F199" s="162" t="s">
        <v>529</v>
      </c>
      <c r="G199" s="33" t="str">
        <f>IFERROR(INDEX([1]Positions!$A:$A,MATCH(F199,[1]Positions!$C:$C,0)),"Other")</f>
        <v>Financial Services</v>
      </c>
      <c r="H199" s="33" t="b">
        <f t="shared" si="4"/>
        <v>1</v>
      </c>
      <c r="I199" s="33" t="str">
        <f t="shared" si="5"/>
        <v>2025-01-24</v>
      </c>
      <c r="J199" s="145">
        <v>-0.02</v>
      </c>
      <c r="K199" s="159" t="s">
        <v>0</v>
      </c>
    </row>
    <row r="200" spans="2:11" x14ac:dyDescent="0.25">
      <c r="B200" s="130">
        <v>705653234</v>
      </c>
      <c r="C200" s="130" t="s">
        <v>69</v>
      </c>
      <c r="D200" s="133">
        <v>45681.495147777801</v>
      </c>
      <c r="E200" s="130" t="s">
        <v>774</v>
      </c>
      <c r="F200" s="161" t="s">
        <v>529</v>
      </c>
      <c r="G200" s="33" t="str">
        <f>IFERROR(INDEX([1]Positions!$A:$A,MATCH(F200,[1]Positions!$C:$C,0)),"Other")</f>
        <v>Financial Services</v>
      </c>
      <c r="H200" s="33" t="b">
        <f t="shared" si="4"/>
        <v>1</v>
      </c>
      <c r="I200" s="33" t="str">
        <f t="shared" si="5"/>
        <v>2025-01-24</v>
      </c>
      <c r="J200" s="136">
        <v>0.17</v>
      </c>
      <c r="K200" s="159" t="s">
        <v>0</v>
      </c>
    </row>
    <row r="201" spans="2:11" x14ac:dyDescent="0.25">
      <c r="B201" s="139">
        <v>705653235</v>
      </c>
      <c r="C201" s="139" t="s">
        <v>70</v>
      </c>
      <c r="D201" s="142">
        <v>45681.495147777801</v>
      </c>
      <c r="E201" s="139" t="s">
        <v>775</v>
      </c>
      <c r="F201" s="162" t="s">
        <v>529</v>
      </c>
      <c r="G201" s="33" t="str">
        <f>IFERROR(INDEX([1]Positions!$A:$A,MATCH(F201,[1]Positions!$C:$C,0)),"Other")</f>
        <v>Financial Services</v>
      </c>
      <c r="H201" s="33" t="b">
        <f t="shared" si="4"/>
        <v>1</v>
      </c>
      <c r="I201" s="33" t="str">
        <f t="shared" si="5"/>
        <v>2025-01-24</v>
      </c>
      <c r="J201" s="145">
        <v>-0.03</v>
      </c>
      <c r="K201" s="159" t="s">
        <v>0</v>
      </c>
    </row>
    <row r="202" spans="2:11" x14ac:dyDescent="0.25">
      <c r="B202" s="130">
        <v>766566950</v>
      </c>
      <c r="C202" s="130" t="s">
        <v>69</v>
      </c>
      <c r="D202" s="133">
        <v>45750.461913368097</v>
      </c>
      <c r="E202" s="130" t="s">
        <v>776</v>
      </c>
      <c r="F202" s="161" t="s">
        <v>543</v>
      </c>
      <c r="G202" s="33" t="str">
        <f>IFERROR(INDEX([1]Positions!$A:$A,MATCH(F202,[1]Positions!$C:$C,0)),"Other")</f>
        <v>ETF</v>
      </c>
      <c r="H202" s="33" t="b">
        <f t="shared" si="4"/>
        <v>1</v>
      </c>
      <c r="I202" s="33" t="str">
        <f t="shared" si="5"/>
        <v>2025-04-03</v>
      </c>
      <c r="J202" s="136">
        <v>0.24</v>
      </c>
      <c r="K202" s="159" t="s">
        <v>0</v>
      </c>
    </row>
    <row r="203" spans="2:11" x14ac:dyDescent="0.25">
      <c r="B203" s="139">
        <v>766566951</v>
      </c>
      <c r="C203" s="139" t="s">
        <v>70</v>
      </c>
      <c r="D203" s="142">
        <v>45750.461913368097</v>
      </c>
      <c r="E203" s="139" t="s">
        <v>777</v>
      </c>
      <c r="F203" s="162" t="s">
        <v>543</v>
      </c>
      <c r="G203" s="33" t="str">
        <f>IFERROR(INDEX([1]Positions!$A:$A,MATCH(F203,[1]Positions!$C:$C,0)),"Other")</f>
        <v>ETF</v>
      </c>
      <c r="H203" s="33" t="b">
        <f t="shared" si="4"/>
        <v>1</v>
      </c>
      <c r="I203" s="33" t="str">
        <f t="shared" si="5"/>
        <v>2025-04-03</v>
      </c>
      <c r="J203" s="145">
        <v>-7.0000000000000007E-2</v>
      </c>
      <c r="K203" s="159" t="s">
        <v>0</v>
      </c>
    </row>
    <row r="204" spans="2:11" x14ac:dyDescent="0.25">
      <c r="B204" s="130">
        <v>769436100</v>
      </c>
      <c r="C204" s="130" t="s">
        <v>73</v>
      </c>
      <c r="D204" s="133">
        <v>45751.723167141201</v>
      </c>
      <c r="E204" s="130" t="s">
        <v>161</v>
      </c>
      <c r="F204" s="161" t="s">
        <v>538</v>
      </c>
      <c r="G204" s="33" t="str">
        <f>IFERROR(INDEX([1]Positions!$A:$A,MATCH(F204,[1]Positions!$C:$C,0)),"Other")</f>
        <v>Energy &amp; Utilities</v>
      </c>
      <c r="H204" s="33" t="b">
        <f t="shared" ref="H204:H267" si="6">ISNUMBER(D204)</f>
        <v>1</v>
      </c>
      <c r="I204" s="33" t="str">
        <f t="shared" ref="I204:I267" si="7">TEXT(D204,"YYYY-MM-DD")</f>
        <v>2025-04-04</v>
      </c>
      <c r="J204" s="147">
        <v>-10</v>
      </c>
      <c r="K204" s="159" t="s">
        <v>0</v>
      </c>
    </row>
    <row r="205" spans="2:11" ht="42" x14ac:dyDescent="0.25">
      <c r="B205" s="139">
        <v>769465419</v>
      </c>
      <c r="C205" s="139" t="s">
        <v>71</v>
      </c>
      <c r="D205" s="142">
        <v>45751.732987488402</v>
      </c>
      <c r="E205" s="139" t="s">
        <v>162</v>
      </c>
      <c r="F205" s="162"/>
      <c r="G205" s="33" t="str">
        <f>IFERROR(INDEX([1]Positions!$A:$A,MATCH(F205,[1]Positions!$C:$C,0)),"Other")</f>
        <v>Other</v>
      </c>
      <c r="H205" s="33" t="b">
        <f t="shared" si="6"/>
        <v>1</v>
      </c>
      <c r="I205" s="33" t="str">
        <f t="shared" si="7"/>
        <v>2025-04-04</v>
      </c>
      <c r="J205" s="148">
        <v>200</v>
      </c>
      <c r="K205" s="159" t="s">
        <v>0</v>
      </c>
    </row>
    <row r="206" spans="2:11" x14ac:dyDescent="0.25">
      <c r="B206" s="130">
        <v>769492457</v>
      </c>
      <c r="C206" s="130" t="s">
        <v>73</v>
      </c>
      <c r="D206" s="133">
        <v>45751.745008738399</v>
      </c>
      <c r="E206" s="130" t="s">
        <v>163</v>
      </c>
      <c r="F206" s="161" t="s">
        <v>523</v>
      </c>
      <c r="G206" s="33" t="str">
        <f>IFERROR(INDEX([1]Positions!$A:$A,MATCH(F206,[1]Positions!$C:$C,0)),"Other")</f>
        <v>Financial Services</v>
      </c>
      <c r="H206" s="33" t="b">
        <f t="shared" si="6"/>
        <v>1</v>
      </c>
      <c r="I206" s="33" t="str">
        <f t="shared" si="7"/>
        <v>2025-04-04</v>
      </c>
      <c r="J206" s="147">
        <v>-19.989999999999998</v>
      </c>
      <c r="K206" s="159" t="s">
        <v>0</v>
      </c>
    </row>
    <row r="207" spans="2:11" x14ac:dyDescent="0.25">
      <c r="B207" s="139">
        <v>769493151</v>
      </c>
      <c r="C207" s="139" t="s">
        <v>73</v>
      </c>
      <c r="D207" s="142">
        <v>45751.745347905096</v>
      </c>
      <c r="E207" s="139" t="s">
        <v>164</v>
      </c>
      <c r="F207" s="162" t="s">
        <v>543</v>
      </c>
      <c r="G207" s="33" t="str">
        <f>IFERROR(INDEX([1]Positions!$A:$A,MATCH(F207,[1]Positions!$C:$C,0)),"Other")</f>
        <v>ETF</v>
      </c>
      <c r="H207" s="33" t="b">
        <f t="shared" si="6"/>
        <v>1</v>
      </c>
      <c r="I207" s="33" t="str">
        <f t="shared" si="7"/>
        <v>2025-04-04</v>
      </c>
      <c r="J207" s="145">
        <v>-74.13</v>
      </c>
      <c r="K207" s="159" t="s">
        <v>0</v>
      </c>
    </row>
    <row r="208" spans="2:11" x14ac:dyDescent="0.25">
      <c r="B208" s="130">
        <v>769480903</v>
      </c>
      <c r="C208" s="130" t="s">
        <v>73</v>
      </c>
      <c r="D208" s="133">
        <v>45751.739259432899</v>
      </c>
      <c r="E208" s="130" t="s">
        <v>165</v>
      </c>
      <c r="F208" s="161" t="s">
        <v>513</v>
      </c>
      <c r="G208" s="33" t="str">
        <f>IFERROR(INDEX([1]Positions!$A:$A,MATCH(F208,[1]Positions!$C:$C,0)),"Other")</f>
        <v>Technology</v>
      </c>
      <c r="H208" s="33" t="b">
        <f t="shared" si="6"/>
        <v>1</v>
      </c>
      <c r="I208" s="33" t="str">
        <f t="shared" si="7"/>
        <v>2025-04-04</v>
      </c>
      <c r="J208" s="147">
        <v>-40</v>
      </c>
      <c r="K208" s="159" t="s">
        <v>0</v>
      </c>
    </row>
    <row r="209" spans="2:11" x14ac:dyDescent="0.25">
      <c r="B209" s="139">
        <v>769487423</v>
      </c>
      <c r="C209" s="139" t="s">
        <v>73</v>
      </c>
      <c r="D209" s="142">
        <v>45751.7423156597</v>
      </c>
      <c r="E209" s="139" t="s">
        <v>166</v>
      </c>
      <c r="F209" s="162" t="s">
        <v>529</v>
      </c>
      <c r="G209" s="33" t="str">
        <f>IFERROR(INDEX([1]Positions!$A:$A,MATCH(F209,[1]Positions!$C:$C,0)),"Other")</f>
        <v>Financial Services</v>
      </c>
      <c r="H209" s="33" t="b">
        <f t="shared" si="6"/>
        <v>1</v>
      </c>
      <c r="I209" s="33" t="str">
        <f t="shared" si="7"/>
        <v>2025-04-04</v>
      </c>
      <c r="J209" s="145">
        <v>-17.54</v>
      </c>
      <c r="K209" s="159" t="s">
        <v>0</v>
      </c>
    </row>
    <row r="210" spans="2:11" x14ac:dyDescent="0.25">
      <c r="B210" s="130">
        <v>769487406</v>
      </c>
      <c r="C210" s="130" t="s">
        <v>73</v>
      </c>
      <c r="D210" s="133">
        <v>45751.742301747698</v>
      </c>
      <c r="E210" s="130" t="s">
        <v>167</v>
      </c>
      <c r="F210" s="161" t="s">
        <v>529</v>
      </c>
      <c r="G210" s="33" t="str">
        <f>IFERROR(INDEX([1]Positions!$A:$A,MATCH(F210,[1]Positions!$C:$C,0)),"Other")</f>
        <v>Financial Services</v>
      </c>
      <c r="H210" s="33" t="b">
        <f t="shared" si="6"/>
        <v>1</v>
      </c>
      <c r="I210" s="33" t="str">
        <f t="shared" si="7"/>
        <v>2025-04-04</v>
      </c>
      <c r="J210" s="147">
        <v>-7.45</v>
      </c>
      <c r="K210" s="159" t="s">
        <v>0</v>
      </c>
    </row>
    <row r="211" spans="2:11" x14ac:dyDescent="0.25">
      <c r="B211" s="139">
        <v>705921636</v>
      </c>
      <c r="C211" s="139" t="s">
        <v>116</v>
      </c>
      <c r="D211" s="142">
        <v>45681.691528182899</v>
      </c>
      <c r="E211" s="139" t="s">
        <v>778</v>
      </c>
      <c r="F211" s="162" t="s">
        <v>510</v>
      </c>
      <c r="G211" s="33" t="str">
        <f>IFERROR(INDEX([1]Positions!$A:$A,MATCH(F211,[1]Positions!$C:$C,0)),"Other")</f>
        <v>Technology</v>
      </c>
      <c r="H211" s="33" t="b">
        <f t="shared" si="6"/>
        <v>1</v>
      </c>
      <c r="I211" s="33" t="str">
        <f t="shared" si="7"/>
        <v>2025-01-24</v>
      </c>
      <c r="J211" s="148">
        <v>0</v>
      </c>
      <c r="K211" s="159" t="s">
        <v>0</v>
      </c>
    </row>
    <row r="212" spans="2:11" x14ac:dyDescent="0.25">
      <c r="B212" s="130">
        <v>772553486</v>
      </c>
      <c r="C212" s="130" t="s">
        <v>73</v>
      </c>
      <c r="D212" s="133">
        <v>45754.5794065972</v>
      </c>
      <c r="E212" s="130" t="s">
        <v>168</v>
      </c>
      <c r="F212" s="161" t="s">
        <v>55</v>
      </c>
      <c r="G212" s="33" t="str">
        <f>IFERROR(INDEX([1]Positions!$A:$A,MATCH(F212,[1]Positions!$C:$C,0)),"Other")</f>
        <v>ETF</v>
      </c>
      <c r="H212" s="33" t="b">
        <f t="shared" si="6"/>
        <v>1</v>
      </c>
      <c r="I212" s="33" t="str">
        <f t="shared" si="7"/>
        <v>2025-04-07</v>
      </c>
      <c r="J212" s="147">
        <v>-41.06</v>
      </c>
      <c r="K212" s="159" t="s">
        <v>0</v>
      </c>
    </row>
    <row r="213" spans="2:11" x14ac:dyDescent="0.25">
      <c r="B213" s="139">
        <v>772744353</v>
      </c>
      <c r="C213" s="139" t="s">
        <v>77</v>
      </c>
      <c r="D213" s="142">
        <v>45754.647631874999</v>
      </c>
      <c r="E213" s="139" t="s">
        <v>169</v>
      </c>
      <c r="F213" s="162" t="s">
        <v>533</v>
      </c>
      <c r="G213" s="33" t="str">
        <f>IFERROR(INDEX([1]Positions!$A:$A,MATCH(F213,[1]Positions!$C:$C,0)),"Other")</f>
        <v>Energy &amp; Utilities</v>
      </c>
      <c r="H213" s="33" t="b">
        <f t="shared" si="6"/>
        <v>1</v>
      </c>
      <c r="I213" s="33" t="str">
        <f t="shared" si="7"/>
        <v>2025-04-07</v>
      </c>
      <c r="J213" s="148">
        <v>1.31</v>
      </c>
      <c r="K213" s="159" t="s">
        <v>0</v>
      </c>
    </row>
    <row r="214" spans="2:11" x14ac:dyDescent="0.25">
      <c r="B214" s="130">
        <v>772744354</v>
      </c>
      <c r="C214" s="130" t="s">
        <v>80</v>
      </c>
      <c r="D214" s="133">
        <v>45754.647631874999</v>
      </c>
      <c r="E214" s="130" t="s">
        <v>170</v>
      </c>
      <c r="F214" s="161" t="s">
        <v>533</v>
      </c>
      <c r="G214" s="33" t="str">
        <f>IFERROR(INDEX([1]Positions!$A:$A,MATCH(F214,[1]Positions!$C:$C,0)),"Other")</f>
        <v>Energy &amp; Utilities</v>
      </c>
      <c r="H214" s="33" t="b">
        <f t="shared" si="6"/>
        <v>1</v>
      </c>
      <c r="I214" s="33" t="str">
        <f t="shared" si="7"/>
        <v>2025-04-07</v>
      </c>
      <c r="J214" s="136">
        <v>10.99</v>
      </c>
      <c r="K214" s="159" t="s">
        <v>0</v>
      </c>
    </row>
    <row r="215" spans="2:11" x14ac:dyDescent="0.25">
      <c r="B215" s="139">
        <v>772744355</v>
      </c>
      <c r="C215" s="139" t="s">
        <v>77</v>
      </c>
      <c r="D215" s="142">
        <v>45754.647631886597</v>
      </c>
      <c r="E215" s="139" t="s">
        <v>171</v>
      </c>
      <c r="F215" s="162" t="s">
        <v>533</v>
      </c>
      <c r="G215" s="33" t="str">
        <f>IFERROR(INDEX([1]Positions!$A:$A,MATCH(F215,[1]Positions!$C:$C,0)),"Other")</f>
        <v>Energy &amp; Utilities</v>
      </c>
      <c r="H215" s="33" t="b">
        <f t="shared" si="6"/>
        <v>1</v>
      </c>
      <c r="I215" s="33" t="str">
        <f t="shared" si="7"/>
        <v>2025-04-07</v>
      </c>
      <c r="J215" s="148">
        <v>1.02</v>
      </c>
      <c r="K215" s="159" t="s">
        <v>0</v>
      </c>
    </row>
    <row r="216" spans="2:11" x14ac:dyDescent="0.25">
      <c r="B216" s="130">
        <v>772744356</v>
      </c>
      <c r="C216" s="130" t="s">
        <v>80</v>
      </c>
      <c r="D216" s="133">
        <v>45754.647631886597</v>
      </c>
      <c r="E216" s="130" t="s">
        <v>172</v>
      </c>
      <c r="F216" s="161" t="s">
        <v>533</v>
      </c>
      <c r="G216" s="33" t="str">
        <f>IFERROR(INDEX([1]Positions!$A:$A,MATCH(F216,[1]Positions!$C:$C,0)),"Other")</f>
        <v>Energy &amp; Utilities</v>
      </c>
      <c r="H216" s="33" t="b">
        <f t="shared" si="6"/>
        <v>1</v>
      </c>
      <c r="I216" s="33" t="str">
        <f t="shared" si="7"/>
        <v>2025-04-07</v>
      </c>
      <c r="J216" s="136">
        <v>10</v>
      </c>
      <c r="K216" s="159" t="s">
        <v>0</v>
      </c>
    </row>
    <row r="217" spans="2:11" x14ac:dyDescent="0.25">
      <c r="B217" s="139">
        <v>772744358</v>
      </c>
      <c r="C217" s="139" t="s">
        <v>77</v>
      </c>
      <c r="D217" s="142">
        <v>45754.647631898202</v>
      </c>
      <c r="E217" s="139" t="s">
        <v>173</v>
      </c>
      <c r="F217" s="162" t="s">
        <v>533</v>
      </c>
      <c r="G217" s="33" t="str">
        <f>IFERROR(INDEX([1]Positions!$A:$A,MATCH(F217,[1]Positions!$C:$C,0)),"Other")</f>
        <v>Energy &amp; Utilities</v>
      </c>
      <c r="H217" s="33" t="b">
        <f t="shared" si="6"/>
        <v>1</v>
      </c>
      <c r="I217" s="33" t="str">
        <f t="shared" si="7"/>
        <v>2025-04-07</v>
      </c>
      <c r="J217" s="148">
        <v>0.33</v>
      </c>
      <c r="K217" s="159" t="s">
        <v>0</v>
      </c>
    </row>
    <row r="218" spans="2:11" x14ac:dyDescent="0.25">
      <c r="B218" s="130">
        <v>772744359</v>
      </c>
      <c r="C218" s="130" t="s">
        <v>80</v>
      </c>
      <c r="D218" s="133">
        <v>45754.647631909698</v>
      </c>
      <c r="E218" s="130" t="s">
        <v>174</v>
      </c>
      <c r="F218" s="161" t="s">
        <v>533</v>
      </c>
      <c r="G218" s="33" t="str">
        <f>IFERROR(INDEX([1]Positions!$A:$A,MATCH(F218,[1]Positions!$C:$C,0)),"Other")</f>
        <v>Energy &amp; Utilities</v>
      </c>
      <c r="H218" s="33" t="b">
        <f t="shared" si="6"/>
        <v>1</v>
      </c>
      <c r="I218" s="33" t="str">
        <f t="shared" si="7"/>
        <v>2025-04-07</v>
      </c>
      <c r="J218" s="136">
        <v>7.72</v>
      </c>
      <c r="K218" s="159" t="s">
        <v>0</v>
      </c>
    </row>
    <row r="219" spans="2:11" x14ac:dyDescent="0.25">
      <c r="B219" s="139">
        <v>772791584</v>
      </c>
      <c r="C219" s="139" t="s">
        <v>77</v>
      </c>
      <c r="D219" s="142">
        <v>45754.652187384301</v>
      </c>
      <c r="E219" s="139" t="s">
        <v>175</v>
      </c>
      <c r="F219" s="162" t="s">
        <v>54</v>
      </c>
      <c r="G219" s="33" t="str">
        <f>IFERROR(INDEX([1]Positions!$A:$A,MATCH(F219,[1]Positions!$C:$C,0)),"Other")</f>
        <v>Other</v>
      </c>
      <c r="H219" s="33" t="b">
        <f t="shared" si="6"/>
        <v>1</v>
      </c>
      <c r="I219" s="33" t="str">
        <f t="shared" si="7"/>
        <v>2025-04-07</v>
      </c>
      <c r="J219" s="148">
        <v>6.3</v>
      </c>
      <c r="K219" s="159" t="s">
        <v>0</v>
      </c>
    </row>
    <row r="220" spans="2:11" x14ac:dyDescent="0.25">
      <c r="B220" s="130">
        <v>775029431</v>
      </c>
      <c r="C220" s="130" t="s">
        <v>116</v>
      </c>
      <c r="D220" s="133">
        <v>45755.868075451399</v>
      </c>
      <c r="E220" s="130" t="s">
        <v>779</v>
      </c>
      <c r="F220" s="161" t="s">
        <v>533</v>
      </c>
      <c r="G220" s="33" t="str">
        <f>IFERROR(INDEX([1]Positions!$A:$A,MATCH(F220,[1]Positions!$C:$C,0)),"Other")</f>
        <v>Energy &amp; Utilities</v>
      </c>
      <c r="H220" s="33" t="b">
        <f t="shared" si="6"/>
        <v>1</v>
      </c>
      <c r="I220" s="33" t="str">
        <f t="shared" si="7"/>
        <v>2025-04-08</v>
      </c>
      <c r="J220" s="136">
        <v>0</v>
      </c>
      <c r="K220" s="159" t="s">
        <v>0</v>
      </c>
    </row>
    <row r="221" spans="2:11" x14ac:dyDescent="0.25">
      <c r="B221" s="139">
        <v>775056419</v>
      </c>
      <c r="C221" s="139" t="s">
        <v>73</v>
      </c>
      <c r="D221" s="142">
        <v>45755.880253252297</v>
      </c>
      <c r="E221" s="139" t="s">
        <v>176</v>
      </c>
      <c r="F221" s="162" t="s">
        <v>542</v>
      </c>
      <c r="G221" s="33" t="str">
        <f>IFERROR(INDEX([1]Positions!$A:$A,MATCH(F221,[1]Positions!$C:$C,0)),"Other")</f>
        <v>Energy &amp; Utilities</v>
      </c>
      <c r="H221" s="33" t="b">
        <f t="shared" si="6"/>
        <v>1</v>
      </c>
      <c r="I221" s="33" t="str">
        <f t="shared" si="7"/>
        <v>2025-04-08</v>
      </c>
      <c r="J221" s="145">
        <v>-9.98</v>
      </c>
      <c r="K221" s="159" t="s">
        <v>0</v>
      </c>
    </row>
    <row r="222" spans="2:11" x14ac:dyDescent="0.25">
      <c r="B222" s="130">
        <v>775057235</v>
      </c>
      <c r="C222" s="130" t="s">
        <v>73</v>
      </c>
      <c r="D222" s="133">
        <v>45755.880551134302</v>
      </c>
      <c r="E222" s="130" t="s">
        <v>177</v>
      </c>
      <c r="F222" s="161" t="s">
        <v>538</v>
      </c>
      <c r="G222" s="33" t="str">
        <f>IFERROR(INDEX([1]Positions!$A:$A,MATCH(F222,[1]Positions!$C:$C,0)),"Other")</f>
        <v>Energy &amp; Utilities</v>
      </c>
      <c r="H222" s="33" t="b">
        <f t="shared" si="6"/>
        <v>1</v>
      </c>
      <c r="I222" s="33" t="str">
        <f t="shared" si="7"/>
        <v>2025-04-08</v>
      </c>
      <c r="J222" s="147">
        <v>-9.99</v>
      </c>
      <c r="K222" s="159" t="s">
        <v>0</v>
      </c>
    </row>
    <row r="223" spans="2:11" x14ac:dyDescent="0.25">
      <c r="B223" s="139">
        <v>776315372</v>
      </c>
      <c r="C223" s="139" t="s">
        <v>77</v>
      </c>
      <c r="D223" s="142">
        <v>45756.649374189801</v>
      </c>
      <c r="E223" s="139" t="s">
        <v>178</v>
      </c>
      <c r="F223" s="162" t="s">
        <v>54</v>
      </c>
      <c r="G223" s="33" t="str">
        <f>IFERROR(INDEX([1]Positions!$A:$A,MATCH(F223,[1]Positions!$C:$C,0)),"Other")</f>
        <v>Other</v>
      </c>
      <c r="H223" s="33" t="b">
        <f t="shared" si="6"/>
        <v>1</v>
      </c>
      <c r="I223" s="33" t="str">
        <f t="shared" si="7"/>
        <v>2025-04-09</v>
      </c>
      <c r="J223" s="145">
        <v>-0.25</v>
      </c>
      <c r="K223" s="159" t="s">
        <v>0</v>
      </c>
    </row>
    <row r="224" spans="2:11" x14ac:dyDescent="0.25">
      <c r="B224" s="130">
        <v>776325461</v>
      </c>
      <c r="C224" s="130" t="s">
        <v>77</v>
      </c>
      <c r="D224" s="133">
        <v>45756.651853252297</v>
      </c>
      <c r="E224" s="130" t="s">
        <v>179</v>
      </c>
      <c r="F224" s="161" t="s">
        <v>54</v>
      </c>
      <c r="G224" s="33" t="str">
        <f>IFERROR(INDEX([1]Positions!$A:$A,MATCH(F224,[1]Positions!$C:$C,0)),"Other")</f>
        <v>Other</v>
      </c>
      <c r="H224" s="33" t="b">
        <f t="shared" si="6"/>
        <v>1</v>
      </c>
      <c r="I224" s="33" t="str">
        <f t="shared" si="7"/>
        <v>2025-04-09</v>
      </c>
      <c r="J224" s="147">
        <v>-10.6</v>
      </c>
      <c r="K224" s="159" t="s">
        <v>0</v>
      </c>
    </row>
    <row r="225" spans="2:11" x14ac:dyDescent="0.25">
      <c r="B225" s="139">
        <v>777443872</v>
      </c>
      <c r="C225" s="139" t="s">
        <v>69</v>
      </c>
      <c r="D225" s="142">
        <v>45757.330588888901</v>
      </c>
      <c r="E225" s="139" t="s">
        <v>780</v>
      </c>
      <c r="F225" s="162" t="s">
        <v>513</v>
      </c>
      <c r="G225" s="33" t="str">
        <f>IFERROR(INDEX([1]Positions!$A:$A,MATCH(F225,[1]Positions!$C:$C,0)),"Other")</f>
        <v>Technology</v>
      </c>
      <c r="H225" s="33" t="b">
        <f t="shared" si="6"/>
        <v>1</v>
      </c>
      <c r="I225" s="33" t="str">
        <f t="shared" si="7"/>
        <v>2025-04-10</v>
      </c>
      <c r="J225" s="148">
        <v>0.06</v>
      </c>
      <c r="K225" s="159" t="s">
        <v>0</v>
      </c>
    </row>
    <row r="226" spans="2:11" x14ac:dyDescent="0.25">
      <c r="B226" s="130">
        <v>777443873</v>
      </c>
      <c r="C226" s="130" t="s">
        <v>70</v>
      </c>
      <c r="D226" s="133">
        <v>45757.330588888901</v>
      </c>
      <c r="E226" s="130" t="s">
        <v>781</v>
      </c>
      <c r="F226" s="161" t="s">
        <v>513</v>
      </c>
      <c r="G226" s="33" t="str">
        <f>IFERROR(INDEX([1]Positions!$A:$A,MATCH(F226,[1]Positions!$C:$C,0)),"Other")</f>
        <v>Technology</v>
      </c>
      <c r="H226" s="33" t="b">
        <f t="shared" si="6"/>
        <v>1</v>
      </c>
      <c r="I226" s="33" t="str">
        <f t="shared" si="7"/>
        <v>2025-04-10</v>
      </c>
      <c r="J226" s="147">
        <v>-0.01</v>
      </c>
      <c r="K226" s="159" t="s">
        <v>0</v>
      </c>
    </row>
    <row r="227" spans="2:11" x14ac:dyDescent="0.25">
      <c r="B227" s="139">
        <v>777469070</v>
      </c>
      <c r="C227" s="139" t="s">
        <v>69</v>
      </c>
      <c r="D227" s="142">
        <v>45757.330595335603</v>
      </c>
      <c r="E227" s="139" t="s">
        <v>780</v>
      </c>
      <c r="F227" s="162" t="s">
        <v>513</v>
      </c>
      <c r="G227" s="33" t="str">
        <f>IFERROR(INDEX([1]Positions!$A:$A,MATCH(F227,[1]Positions!$C:$C,0)),"Other")</f>
        <v>Technology</v>
      </c>
      <c r="H227" s="33" t="b">
        <f t="shared" si="6"/>
        <v>1</v>
      </c>
      <c r="I227" s="33" t="str">
        <f t="shared" si="7"/>
        <v>2025-04-10</v>
      </c>
      <c r="J227" s="148">
        <v>0.05</v>
      </c>
      <c r="K227" s="159" t="s">
        <v>0</v>
      </c>
    </row>
    <row r="228" spans="2:11" x14ac:dyDescent="0.25">
      <c r="B228" s="130">
        <v>777469071</v>
      </c>
      <c r="C228" s="130" t="s">
        <v>70</v>
      </c>
      <c r="D228" s="133">
        <v>45757.330595347201</v>
      </c>
      <c r="E228" s="130" t="s">
        <v>781</v>
      </c>
      <c r="F228" s="161" t="s">
        <v>513</v>
      </c>
      <c r="G228" s="33" t="str">
        <f>IFERROR(INDEX([1]Positions!$A:$A,MATCH(F228,[1]Positions!$C:$C,0)),"Other")</f>
        <v>Technology</v>
      </c>
      <c r="H228" s="33" t="b">
        <f t="shared" si="6"/>
        <v>1</v>
      </c>
      <c r="I228" s="33" t="str">
        <f t="shared" si="7"/>
        <v>2025-04-10</v>
      </c>
      <c r="J228" s="147">
        <v>-0.01</v>
      </c>
      <c r="K228" s="159" t="s">
        <v>0</v>
      </c>
    </row>
    <row r="229" spans="2:11" x14ac:dyDescent="0.25">
      <c r="B229" s="139">
        <v>777484070</v>
      </c>
      <c r="C229" s="139" t="s">
        <v>69</v>
      </c>
      <c r="D229" s="142">
        <v>45757.330613726903</v>
      </c>
      <c r="E229" s="139" t="s">
        <v>780</v>
      </c>
      <c r="F229" s="162" t="s">
        <v>513</v>
      </c>
      <c r="G229" s="33" t="str">
        <f>IFERROR(INDEX([1]Positions!$A:$A,MATCH(F229,[1]Positions!$C:$C,0)),"Other")</f>
        <v>Technology</v>
      </c>
      <c r="H229" s="33" t="b">
        <f t="shared" si="6"/>
        <v>1</v>
      </c>
      <c r="I229" s="33" t="str">
        <f t="shared" si="7"/>
        <v>2025-04-10</v>
      </c>
      <c r="J229" s="148">
        <v>0.13</v>
      </c>
      <c r="K229" s="159" t="s">
        <v>0</v>
      </c>
    </row>
    <row r="230" spans="2:11" x14ac:dyDescent="0.25">
      <c r="B230" s="130">
        <v>777484071</v>
      </c>
      <c r="C230" s="130" t="s">
        <v>70</v>
      </c>
      <c r="D230" s="133">
        <v>45757.330613738399</v>
      </c>
      <c r="E230" s="130" t="s">
        <v>781</v>
      </c>
      <c r="F230" s="161" t="s">
        <v>513</v>
      </c>
      <c r="G230" s="33" t="str">
        <f>IFERROR(INDEX([1]Positions!$A:$A,MATCH(F230,[1]Positions!$C:$C,0)),"Other")</f>
        <v>Technology</v>
      </c>
      <c r="H230" s="33" t="b">
        <f t="shared" si="6"/>
        <v>1</v>
      </c>
      <c r="I230" s="33" t="str">
        <f t="shared" si="7"/>
        <v>2025-04-10</v>
      </c>
      <c r="J230" s="147">
        <v>-0.03</v>
      </c>
      <c r="K230" s="159" t="s">
        <v>0</v>
      </c>
    </row>
    <row r="231" spans="2:11" x14ac:dyDescent="0.25">
      <c r="B231" s="139">
        <v>777471608</v>
      </c>
      <c r="C231" s="139" t="s">
        <v>69</v>
      </c>
      <c r="D231" s="142">
        <v>45757.330598506902</v>
      </c>
      <c r="E231" s="139" t="s">
        <v>780</v>
      </c>
      <c r="F231" s="162" t="s">
        <v>513</v>
      </c>
      <c r="G231" s="33" t="str">
        <f>IFERROR(INDEX([1]Positions!$A:$A,MATCH(F231,[1]Positions!$C:$C,0)),"Other")</f>
        <v>Technology</v>
      </c>
      <c r="H231" s="33" t="b">
        <f t="shared" si="6"/>
        <v>1</v>
      </c>
      <c r="I231" s="33" t="str">
        <f t="shared" si="7"/>
        <v>2025-04-10</v>
      </c>
      <c r="J231" s="148">
        <v>0.05</v>
      </c>
      <c r="K231" s="159" t="s">
        <v>0</v>
      </c>
    </row>
    <row r="232" spans="2:11" x14ac:dyDescent="0.25">
      <c r="B232" s="130">
        <v>777471609</v>
      </c>
      <c r="C232" s="130" t="s">
        <v>70</v>
      </c>
      <c r="D232" s="133">
        <v>45757.330598506902</v>
      </c>
      <c r="E232" s="130" t="s">
        <v>781</v>
      </c>
      <c r="F232" s="161" t="s">
        <v>513</v>
      </c>
      <c r="G232" s="33" t="str">
        <f>IFERROR(INDEX([1]Positions!$A:$A,MATCH(F232,[1]Positions!$C:$C,0)),"Other")</f>
        <v>Technology</v>
      </c>
      <c r="H232" s="33" t="b">
        <f t="shared" si="6"/>
        <v>1</v>
      </c>
      <c r="I232" s="33" t="str">
        <f t="shared" si="7"/>
        <v>2025-04-10</v>
      </c>
      <c r="J232" s="147">
        <v>-0.01</v>
      </c>
      <c r="K232" s="159" t="s">
        <v>0</v>
      </c>
    </row>
    <row r="233" spans="2:11" x14ac:dyDescent="0.25">
      <c r="B233" s="139">
        <v>777512370</v>
      </c>
      <c r="C233" s="139" t="s">
        <v>69</v>
      </c>
      <c r="D233" s="142">
        <v>45757.330646863396</v>
      </c>
      <c r="E233" s="139" t="s">
        <v>780</v>
      </c>
      <c r="F233" s="162" t="s">
        <v>513</v>
      </c>
      <c r="G233" s="33" t="str">
        <f>IFERROR(INDEX([1]Positions!$A:$A,MATCH(F233,[1]Positions!$C:$C,0)),"Other")</f>
        <v>Technology</v>
      </c>
      <c r="H233" s="33" t="b">
        <f t="shared" si="6"/>
        <v>1</v>
      </c>
      <c r="I233" s="33" t="str">
        <f t="shared" si="7"/>
        <v>2025-04-10</v>
      </c>
      <c r="J233" s="148">
        <v>0.05</v>
      </c>
      <c r="K233" s="159" t="s">
        <v>0</v>
      </c>
    </row>
    <row r="234" spans="2:11" x14ac:dyDescent="0.25">
      <c r="B234" s="130">
        <v>777512371</v>
      </c>
      <c r="C234" s="130" t="s">
        <v>70</v>
      </c>
      <c r="D234" s="133">
        <v>45757.330646863396</v>
      </c>
      <c r="E234" s="130" t="s">
        <v>781</v>
      </c>
      <c r="F234" s="161" t="s">
        <v>513</v>
      </c>
      <c r="G234" s="33" t="str">
        <f>IFERROR(INDEX([1]Positions!$A:$A,MATCH(F234,[1]Positions!$C:$C,0)),"Other")</f>
        <v>Technology</v>
      </c>
      <c r="H234" s="33" t="b">
        <f t="shared" si="6"/>
        <v>1</v>
      </c>
      <c r="I234" s="33" t="str">
        <f t="shared" si="7"/>
        <v>2025-04-10</v>
      </c>
      <c r="J234" s="147">
        <v>-0.01</v>
      </c>
      <c r="K234" s="159" t="s">
        <v>0</v>
      </c>
    </row>
    <row r="235" spans="2:11" x14ac:dyDescent="0.25">
      <c r="B235" s="139">
        <v>777513339</v>
      </c>
      <c r="C235" s="139" t="s">
        <v>69</v>
      </c>
      <c r="D235" s="142">
        <v>45757.330647951399</v>
      </c>
      <c r="E235" s="139" t="s">
        <v>780</v>
      </c>
      <c r="F235" s="162" t="s">
        <v>513</v>
      </c>
      <c r="G235" s="33" t="str">
        <f>IFERROR(INDEX([1]Positions!$A:$A,MATCH(F235,[1]Positions!$C:$C,0)),"Other")</f>
        <v>Technology</v>
      </c>
      <c r="H235" s="33" t="b">
        <f t="shared" si="6"/>
        <v>1</v>
      </c>
      <c r="I235" s="33" t="str">
        <f t="shared" si="7"/>
        <v>2025-04-10</v>
      </c>
      <c r="J235" s="148">
        <v>7.0000000000000007E-2</v>
      </c>
      <c r="K235" s="159" t="s">
        <v>0</v>
      </c>
    </row>
    <row r="236" spans="2:11" x14ac:dyDescent="0.25">
      <c r="B236" s="130">
        <v>777513340</v>
      </c>
      <c r="C236" s="130" t="s">
        <v>70</v>
      </c>
      <c r="D236" s="133">
        <v>45757.330647951399</v>
      </c>
      <c r="E236" s="130" t="s">
        <v>781</v>
      </c>
      <c r="F236" s="161" t="s">
        <v>513</v>
      </c>
      <c r="G236" s="33" t="str">
        <f>IFERROR(INDEX([1]Positions!$A:$A,MATCH(F236,[1]Positions!$C:$C,0)),"Other")</f>
        <v>Technology</v>
      </c>
      <c r="H236" s="33" t="b">
        <f t="shared" si="6"/>
        <v>1</v>
      </c>
      <c r="I236" s="33" t="str">
        <f t="shared" si="7"/>
        <v>2025-04-10</v>
      </c>
      <c r="J236" s="147">
        <v>-0.01</v>
      </c>
      <c r="K236" s="159" t="s">
        <v>0</v>
      </c>
    </row>
    <row r="237" spans="2:11" x14ac:dyDescent="0.25">
      <c r="B237" s="139">
        <v>777514620</v>
      </c>
      <c r="C237" s="139" t="s">
        <v>69</v>
      </c>
      <c r="D237" s="142">
        <v>45757.330649479198</v>
      </c>
      <c r="E237" s="139" t="s">
        <v>780</v>
      </c>
      <c r="F237" s="162" t="s">
        <v>513</v>
      </c>
      <c r="G237" s="33" t="str">
        <f>IFERROR(INDEX([1]Positions!$A:$A,MATCH(F237,[1]Positions!$C:$C,0)),"Other")</f>
        <v>Technology</v>
      </c>
      <c r="H237" s="33" t="b">
        <f t="shared" si="6"/>
        <v>1</v>
      </c>
      <c r="I237" s="33" t="str">
        <f t="shared" si="7"/>
        <v>2025-04-10</v>
      </c>
      <c r="J237" s="148">
        <v>0.06</v>
      </c>
      <c r="K237" s="159" t="s">
        <v>0</v>
      </c>
    </row>
    <row r="238" spans="2:11" x14ac:dyDescent="0.25">
      <c r="B238" s="130">
        <v>777514621</v>
      </c>
      <c r="C238" s="130" t="s">
        <v>70</v>
      </c>
      <c r="D238" s="133">
        <v>45757.330649490701</v>
      </c>
      <c r="E238" s="130" t="s">
        <v>781</v>
      </c>
      <c r="F238" s="161" t="s">
        <v>513</v>
      </c>
      <c r="G238" s="33" t="str">
        <f>IFERROR(INDEX([1]Positions!$A:$A,MATCH(F238,[1]Positions!$C:$C,0)),"Other")</f>
        <v>Technology</v>
      </c>
      <c r="H238" s="33" t="b">
        <f t="shared" si="6"/>
        <v>1</v>
      </c>
      <c r="I238" s="33" t="str">
        <f t="shared" si="7"/>
        <v>2025-04-10</v>
      </c>
      <c r="J238" s="147">
        <v>-0.01</v>
      </c>
      <c r="K238" s="159" t="s">
        <v>0</v>
      </c>
    </row>
    <row r="239" spans="2:11" x14ac:dyDescent="0.25">
      <c r="B239" s="139">
        <v>781556656</v>
      </c>
      <c r="C239" s="139" t="s">
        <v>77</v>
      </c>
      <c r="D239" s="142">
        <v>45761.669661099499</v>
      </c>
      <c r="E239" s="139" t="s">
        <v>180</v>
      </c>
      <c r="F239" s="162" t="s">
        <v>41</v>
      </c>
      <c r="G239" s="33" t="str">
        <f>IFERROR(INDEX([1]Positions!$A:$A,MATCH(F239,[1]Positions!$C:$C,0)),"Other")</f>
        <v>Other</v>
      </c>
      <c r="H239" s="33" t="b">
        <f t="shared" si="6"/>
        <v>1</v>
      </c>
      <c r="I239" s="33" t="str">
        <f t="shared" si="7"/>
        <v>2025-04-14</v>
      </c>
      <c r="J239" s="145">
        <v>-3.77</v>
      </c>
      <c r="K239" s="159" t="s">
        <v>0</v>
      </c>
    </row>
    <row r="240" spans="2:11" x14ac:dyDescent="0.25">
      <c r="B240" s="130">
        <v>781762912</v>
      </c>
      <c r="C240" s="130" t="s">
        <v>77</v>
      </c>
      <c r="D240" s="133">
        <v>45761.773712962997</v>
      </c>
      <c r="E240" s="130" t="s">
        <v>181</v>
      </c>
      <c r="F240" s="161" t="s">
        <v>41</v>
      </c>
      <c r="G240" s="33" t="str">
        <f>IFERROR(INDEX([1]Positions!$A:$A,MATCH(F240,[1]Positions!$C:$C,0)),"Other")</f>
        <v>Other</v>
      </c>
      <c r="H240" s="33" t="b">
        <f t="shared" si="6"/>
        <v>1</v>
      </c>
      <c r="I240" s="33" t="str">
        <f t="shared" si="7"/>
        <v>2025-04-14</v>
      </c>
      <c r="J240" s="136">
        <v>1.69</v>
      </c>
      <c r="K240" s="159" t="s">
        <v>0</v>
      </c>
    </row>
    <row r="241" spans="2:11" x14ac:dyDescent="0.25">
      <c r="B241" s="139">
        <v>782960927</v>
      </c>
      <c r="C241" s="139" t="s">
        <v>77</v>
      </c>
      <c r="D241" s="142">
        <v>45762.6122593287</v>
      </c>
      <c r="E241" s="139" t="s">
        <v>182</v>
      </c>
      <c r="F241" s="162" t="s">
        <v>41</v>
      </c>
      <c r="G241" s="33" t="str">
        <f>IFERROR(INDEX([1]Positions!$A:$A,MATCH(F241,[1]Positions!$C:$C,0)),"Other")</f>
        <v>Other</v>
      </c>
      <c r="H241" s="33" t="b">
        <f t="shared" si="6"/>
        <v>1</v>
      </c>
      <c r="I241" s="33" t="str">
        <f t="shared" si="7"/>
        <v>2025-04-15</v>
      </c>
      <c r="J241" s="145">
        <v>-4.0599999999999996</v>
      </c>
      <c r="K241" s="159" t="s">
        <v>0</v>
      </c>
    </row>
    <row r="242" spans="2:11" x14ac:dyDescent="0.25">
      <c r="B242" s="130">
        <v>785659568</v>
      </c>
      <c r="C242" s="130" t="s">
        <v>77</v>
      </c>
      <c r="D242" s="133">
        <v>45764.850288356502</v>
      </c>
      <c r="E242" s="130" t="s">
        <v>173</v>
      </c>
      <c r="F242" s="161" t="s">
        <v>533</v>
      </c>
      <c r="G242" s="33" t="str">
        <f>IFERROR(INDEX([1]Positions!$A:$A,MATCH(F242,[1]Positions!$C:$C,0)),"Other")</f>
        <v>Energy &amp; Utilities</v>
      </c>
      <c r="H242" s="33" t="b">
        <f t="shared" si="6"/>
        <v>1</v>
      </c>
      <c r="I242" s="33" t="str">
        <f t="shared" si="7"/>
        <v>2025-04-17</v>
      </c>
      <c r="J242" s="136">
        <v>0.25</v>
      </c>
      <c r="K242" s="159" t="s">
        <v>0</v>
      </c>
    </row>
    <row r="243" spans="2:11" x14ac:dyDescent="0.25">
      <c r="B243" s="139">
        <v>785659569</v>
      </c>
      <c r="C243" s="139" t="s">
        <v>80</v>
      </c>
      <c r="D243" s="142">
        <v>45764.850288356502</v>
      </c>
      <c r="E243" s="139" t="s">
        <v>183</v>
      </c>
      <c r="F243" s="162" t="s">
        <v>533</v>
      </c>
      <c r="G243" s="33" t="str">
        <f>IFERROR(INDEX([1]Positions!$A:$A,MATCH(F243,[1]Positions!$C:$C,0)),"Other")</f>
        <v>Energy &amp; Utilities</v>
      </c>
      <c r="H243" s="33" t="b">
        <f t="shared" si="6"/>
        <v>1</v>
      </c>
      <c r="I243" s="33" t="str">
        <f t="shared" si="7"/>
        <v>2025-04-17</v>
      </c>
      <c r="J243" s="148">
        <v>2.2799999999999998</v>
      </c>
      <c r="K243" s="159" t="s">
        <v>0</v>
      </c>
    </row>
    <row r="244" spans="2:11" x14ac:dyDescent="0.25">
      <c r="B244" s="130">
        <v>785661086</v>
      </c>
      <c r="C244" s="130" t="s">
        <v>77</v>
      </c>
      <c r="D244" s="133">
        <v>45764.851781388898</v>
      </c>
      <c r="E244" s="130" t="s">
        <v>153</v>
      </c>
      <c r="F244" s="161" t="s">
        <v>531</v>
      </c>
      <c r="G244" s="33" t="str">
        <f>IFERROR(INDEX([1]Positions!$A:$A,MATCH(F244,[1]Positions!$C:$C,0)),"Other")</f>
        <v>Consumer Defensive</v>
      </c>
      <c r="H244" s="33" t="b">
        <f t="shared" si="6"/>
        <v>1</v>
      </c>
      <c r="I244" s="33" t="str">
        <f t="shared" si="7"/>
        <v>2025-04-17</v>
      </c>
      <c r="J244" s="147">
        <v>-0.42</v>
      </c>
      <c r="K244" s="159" t="s">
        <v>0</v>
      </c>
    </row>
    <row r="245" spans="2:11" x14ac:dyDescent="0.25">
      <c r="B245" s="139">
        <v>785661087</v>
      </c>
      <c r="C245" s="139" t="s">
        <v>80</v>
      </c>
      <c r="D245" s="142">
        <v>45764.851781388898</v>
      </c>
      <c r="E245" s="139" t="s">
        <v>184</v>
      </c>
      <c r="F245" s="162" t="s">
        <v>531</v>
      </c>
      <c r="G245" s="33" t="str">
        <f>IFERROR(INDEX([1]Positions!$A:$A,MATCH(F245,[1]Positions!$C:$C,0)),"Other")</f>
        <v>Consumer Defensive</v>
      </c>
      <c r="H245" s="33" t="b">
        <f t="shared" si="6"/>
        <v>1</v>
      </c>
      <c r="I245" s="33" t="str">
        <f t="shared" si="7"/>
        <v>2025-04-17</v>
      </c>
      <c r="J245" s="148">
        <v>14.74</v>
      </c>
      <c r="K245" s="159" t="s">
        <v>0</v>
      </c>
    </row>
    <row r="246" spans="2:11" x14ac:dyDescent="0.25">
      <c r="B246" s="130">
        <v>785663603</v>
      </c>
      <c r="C246" s="130" t="s">
        <v>73</v>
      </c>
      <c r="D246" s="133">
        <v>45764.8545152199</v>
      </c>
      <c r="E246" s="130" t="s">
        <v>185</v>
      </c>
      <c r="F246" s="161" t="s">
        <v>539</v>
      </c>
      <c r="G246" s="33" t="str">
        <f>IFERROR(INDEX([1]Positions!$A:$A,MATCH(F246,[1]Positions!$C:$C,0)),"Other")</f>
        <v>Financial Services</v>
      </c>
      <c r="H246" s="33" t="b">
        <f t="shared" si="6"/>
        <v>1</v>
      </c>
      <c r="I246" s="33" t="str">
        <f t="shared" si="7"/>
        <v>2025-04-17</v>
      </c>
      <c r="J246" s="147">
        <v>-10</v>
      </c>
      <c r="K246" s="159" t="s">
        <v>0</v>
      </c>
    </row>
    <row r="247" spans="2:11" x14ac:dyDescent="0.25">
      <c r="B247" s="139">
        <v>785899545</v>
      </c>
      <c r="C247" s="139" t="s">
        <v>116</v>
      </c>
      <c r="D247" s="142">
        <v>45765.741117338002</v>
      </c>
      <c r="E247" s="139" t="s">
        <v>782</v>
      </c>
      <c r="F247" s="162" t="s">
        <v>533</v>
      </c>
      <c r="G247" s="33" t="str">
        <f>IFERROR(INDEX([1]Positions!$A:$A,MATCH(F247,[1]Positions!$C:$C,0)),"Other")</f>
        <v>Energy &amp; Utilities</v>
      </c>
      <c r="H247" s="33" t="b">
        <f t="shared" si="6"/>
        <v>1</v>
      </c>
      <c r="I247" s="33" t="str">
        <f t="shared" si="7"/>
        <v>2025-04-18</v>
      </c>
      <c r="J247" s="148">
        <v>0</v>
      </c>
      <c r="K247" s="159" t="s">
        <v>0</v>
      </c>
    </row>
    <row r="248" spans="2:11" x14ac:dyDescent="0.25">
      <c r="B248" s="130">
        <v>785900668</v>
      </c>
      <c r="C248" s="130" t="s">
        <v>116</v>
      </c>
      <c r="D248" s="133">
        <v>45765.742772615697</v>
      </c>
      <c r="E248" s="130" t="s">
        <v>783</v>
      </c>
      <c r="F248" s="161" t="s">
        <v>531</v>
      </c>
      <c r="G248" s="33" t="str">
        <f>IFERROR(INDEX([1]Positions!$A:$A,MATCH(F248,[1]Positions!$C:$C,0)),"Other")</f>
        <v>Consumer Defensive</v>
      </c>
      <c r="H248" s="33" t="b">
        <f t="shared" si="6"/>
        <v>1</v>
      </c>
      <c r="I248" s="33" t="str">
        <f t="shared" si="7"/>
        <v>2025-04-18</v>
      </c>
      <c r="J248" s="136">
        <v>0</v>
      </c>
      <c r="K248" s="159" t="s">
        <v>0</v>
      </c>
    </row>
    <row r="249" spans="2:11" x14ac:dyDescent="0.25">
      <c r="B249" s="139">
        <v>786345621</v>
      </c>
      <c r="C249" s="139" t="s">
        <v>77</v>
      </c>
      <c r="D249" s="142">
        <v>45768.133066678201</v>
      </c>
      <c r="E249" s="139" t="s">
        <v>186</v>
      </c>
      <c r="F249" s="162" t="s">
        <v>41</v>
      </c>
      <c r="G249" s="33" t="str">
        <f>IFERROR(INDEX([1]Positions!$A:$A,MATCH(F249,[1]Positions!$C:$C,0)),"Other")</f>
        <v>Other</v>
      </c>
      <c r="H249" s="33" t="b">
        <f t="shared" si="6"/>
        <v>1</v>
      </c>
      <c r="I249" s="33" t="str">
        <f t="shared" si="7"/>
        <v>2025-04-21</v>
      </c>
      <c r="J249" s="148">
        <v>0.51</v>
      </c>
      <c r="K249" s="159" t="s">
        <v>0</v>
      </c>
    </row>
    <row r="250" spans="2:11" x14ac:dyDescent="0.25">
      <c r="B250" s="130">
        <v>787709607</v>
      </c>
      <c r="C250" s="130" t="s">
        <v>69</v>
      </c>
      <c r="D250" s="133">
        <v>45769.4979170718</v>
      </c>
      <c r="E250" s="130" t="s">
        <v>784</v>
      </c>
      <c r="F250" s="161" t="s">
        <v>541</v>
      </c>
      <c r="G250" s="33" t="str">
        <f>IFERROR(INDEX([1]Positions!$A:$A,MATCH(F250,[1]Positions!$C:$C,0)),"Other")</f>
        <v>Consumer Defensive</v>
      </c>
      <c r="H250" s="33" t="b">
        <f t="shared" si="6"/>
        <v>1</v>
      </c>
      <c r="I250" s="33" t="str">
        <f t="shared" si="7"/>
        <v>2025-04-22</v>
      </c>
      <c r="J250" s="136">
        <v>0.15</v>
      </c>
      <c r="K250" s="159" t="s">
        <v>0</v>
      </c>
    </row>
    <row r="251" spans="2:11" x14ac:dyDescent="0.25">
      <c r="B251" s="139">
        <v>787709608</v>
      </c>
      <c r="C251" s="139" t="s">
        <v>70</v>
      </c>
      <c r="D251" s="142">
        <v>45769.4979170718</v>
      </c>
      <c r="E251" s="139" t="s">
        <v>785</v>
      </c>
      <c r="F251" s="162" t="s">
        <v>541</v>
      </c>
      <c r="G251" s="33" t="str">
        <f>IFERROR(INDEX([1]Positions!$A:$A,MATCH(F251,[1]Positions!$C:$C,0)),"Other")</f>
        <v>Consumer Defensive</v>
      </c>
      <c r="H251" s="33" t="b">
        <f t="shared" si="6"/>
        <v>1</v>
      </c>
      <c r="I251" s="33" t="str">
        <f t="shared" si="7"/>
        <v>2025-04-22</v>
      </c>
      <c r="J251" s="145">
        <v>-0.05</v>
      </c>
      <c r="K251" s="159" t="s">
        <v>0</v>
      </c>
    </row>
    <row r="252" spans="2:11" x14ac:dyDescent="0.25">
      <c r="B252" s="130">
        <v>787709619</v>
      </c>
      <c r="C252" s="130" t="s">
        <v>69</v>
      </c>
      <c r="D252" s="133">
        <v>45769.497917094901</v>
      </c>
      <c r="E252" s="130" t="s">
        <v>784</v>
      </c>
      <c r="F252" s="161" t="s">
        <v>541</v>
      </c>
      <c r="G252" s="33" t="str">
        <f>IFERROR(INDEX([1]Positions!$A:$A,MATCH(F252,[1]Positions!$C:$C,0)),"Other")</f>
        <v>Consumer Defensive</v>
      </c>
      <c r="H252" s="33" t="b">
        <f t="shared" si="6"/>
        <v>1</v>
      </c>
      <c r="I252" s="33" t="str">
        <f t="shared" si="7"/>
        <v>2025-04-22</v>
      </c>
      <c r="J252" s="136">
        <v>0.13</v>
      </c>
      <c r="K252" s="159" t="s">
        <v>0</v>
      </c>
    </row>
    <row r="253" spans="2:11" x14ac:dyDescent="0.25">
      <c r="B253" s="139">
        <v>787709620</v>
      </c>
      <c r="C253" s="139" t="s">
        <v>70</v>
      </c>
      <c r="D253" s="142">
        <v>45769.497917094901</v>
      </c>
      <c r="E253" s="139" t="s">
        <v>785</v>
      </c>
      <c r="F253" s="162" t="s">
        <v>541</v>
      </c>
      <c r="G253" s="33" t="str">
        <f>IFERROR(INDEX([1]Positions!$A:$A,MATCH(F253,[1]Positions!$C:$C,0)),"Other")</f>
        <v>Consumer Defensive</v>
      </c>
      <c r="H253" s="33" t="b">
        <f t="shared" si="6"/>
        <v>1</v>
      </c>
      <c r="I253" s="33" t="str">
        <f t="shared" si="7"/>
        <v>2025-04-22</v>
      </c>
      <c r="J253" s="145">
        <v>-0.04</v>
      </c>
      <c r="K253" s="159" t="s">
        <v>0</v>
      </c>
    </row>
    <row r="254" spans="2:11" x14ac:dyDescent="0.25">
      <c r="B254" s="130">
        <v>788242299</v>
      </c>
      <c r="C254" s="130" t="s">
        <v>77</v>
      </c>
      <c r="D254" s="133">
        <v>45769.760842083298</v>
      </c>
      <c r="E254" s="130" t="s">
        <v>187</v>
      </c>
      <c r="F254" s="161" t="s">
        <v>41</v>
      </c>
      <c r="G254" s="33" t="str">
        <f>IFERROR(INDEX([1]Positions!$A:$A,MATCH(F254,[1]Positions!$C:$C,0)),"Other")</f>
        <v>Other</v>
      </c>
      <c r="H254" s="33" t="b">
        <f t="shared" si="6"/>
        <v>1</v>
      </c>
      <c r="I254" s="33" t="str">
        <f t="shared" si="7"/>
        <v>2025-04-22</v>
      </c>
      <c r="J254" s="147">
        <v>-2.79</v>
      </c>
      <c r="K254" s="159" t="s">
        <v>0</v>
      </c>
    </row>
    <row r="255" spans="2:11" ht="63" x14ac:dyDescent="0.25">
      <c r="B255" s="139">
        <v>556516261</v>
      </c>
      <c r="C255" s="139" t="s">
        <v>71</v>
      </c>
      <c r="D255" s="142">
        <v>45443.625310219897</v>
      </c>
      <c r="E255" s="139" t="s">
        <v>188</v>
      </c>
      <c r="F255" s="162"/>
      <c r="G255" s="33" t="str">
        <f>IFERROR(INDEX([1]Positions!$A:$A,MATCH(F255,[1]Positions!$C:$C,0)),"Other")</f>
        <v>Other</v>
      </c>
      <c r="H255" s="33" t="b">
        <f t="shared" si="6"/>
        <v>1</v>
      </c>
      <c r="I255" s="33" t="str">
        <f t="shared" si="7"/>
        <v>2024-05-31</v>
      </c>
      <c r="J255" s="148">
        <v>100</v>
      </c>
      <c r="K255" s="159" t="s">
        <v>0</v>
      </c>
    </row>
    <row r="256" spans="2:11" x14ac:dyDescent="0.25">
      <c r="B256" s="130">
        <v>557153112</v>
      </c>
      <c r="C256" s="130" t="s">
        <v>73</v>
      </c>
      <c r="D256" s="133">
        <v>45446.3753484259</v>
      </c>
      <c r="E256" s="130" t="s">
        <v>189</v>
      </c>
      <c r="F256" s="161" t="s">
        <v>36</v>
      </c>
      <c r="G256" s="33" t="str">
        <f>IFERROR(INDEX([1]Positions!$A:$A,MATCH(F256,[1]Positions!$C:$C,0)),"Other")</f>
        <v>MISC</v>
      </c>
      <c r="H256" s="33" t="b">
        <f t="shared" si="6"/>
        <v>1</v>
      </c>
      <c r="I256" s="33" t="str">
        <f t="shared" si="7"/>
        <v>2024-06-03</v>
      </c>
      <c r="J256" s="147">
        <v>-15.15</v>
      </c>
      <c r="K256" s="159" t="s">
        <v>0</v>
      </c>
    </row>
    <row r="257" spans="2:11" x14ac:dyDescent="0.25">
      <c r="B257" s="139">
        <v>557470756</v>
      </c>
      <c r="C257" s="139" t="s">
        <v>73</v>
      </c>
      <c r="D257" s="142">
        <v>45446.645871770801</v>
      </c>
      <c r="E257" s="139" t="s">
        <v>190</v>
      </c>
      <c r="F257" s="162" t="s">
        <v>513</v>
      </c>
      <c r="G257" s="33" t="str">
        <f>IFERROR(INDEX([1]Positions!$A:$A,MATCH(F257,[1]Positions!$C:$C,0)),"Other")</f>
        <v>Technology</v>
      </c>
      <c r="H257" s="33" t="b">
        <f t="shared" si="6"/>
        <v>1</v>
      </c>
      <c r="I257" s="33" t="str">
        <f t="shared" si="7"/>
        <v>2024-06-03</v>
      </c>
      <c r="J257" s="145">
        <v>-20.57</v>
      </c>
      <c r="K257" s="159" t="s">
        <v>0</v>
      </c>
    </row>
    <row r="258" spans="2:11" x14ac:dyDescent="0.25">
      <c r="B258" s="130">
        <v>557778020</v>
      </c>
      <c r="C258" s="130" t="s">
        <v>73</v>
      </c>
      <c r="D258" s="133">
        <v>45446.893661006899</v>
      </c>
      <c r="E258" s="130" t="s">
        <v>191</v>
      </c>
      <c r="F258" s="161" t="s">
        <v>510</v>
      </c>
      <c r="G258" s="33" t="str">
        <f>IFERROR(INDEX([1]Positions!$A:$A,MATCH(F258,[1]Positions!$C:$C,0)),"Other")</f>
        <v>Technology</v>
      </c>
      <c r="H258" s="33" t="b">
        <f t="shared" si="6"/>
        <v>1</v>
      </c>
      <c r="I258" s="33" t="str">
        <f t="shared" si="7"/>
        <v>2024-06-03</v>
      </c>
      <c r="J258" s="147">
        <v>-20</v>
      </c>
      <c r="K258" s="159" t="s">
        <v>0</v>
      </c>
    </row>
    <row r="259" spans="2:11" x14ac:dyDescent="0.25">
      <c r="B259" s="139">
        <v>557784122</v>
      </c>
      <c r="C259" s="139" t="s">
        <v>73</v>
      </c>
      <c r="D259" s="142">
        <v>45446.904114536999</v>
      </c>
      <c r="E259" s="139" t="s">
        <v>192</v>
      </c>
      <c r="F259" s="162" t="s">
        <v>509</v>
      </c>
      <c r="G259" s="33" t="str">
        <f>IFERROR(INDEX([1]Positions!$A:$A,MATCH(F259,[1]Positions!$C:$C,0)),"Other")</f>
        <v>MISC</v>
      </c>
      <c r="H259" s="33" t="b">
        <f t="shared" si="6"/>
        <v>1</v>
      </c>
      <c r="I259" s="33" t="str">
        <f t="shared" si="7"/>
        <v>2024-06-03</v>
      </c>
      <c r="J259" s="145">
        <v>-13.37</v>
      </c>
      <c r="K259" s="159" t="s">
        <v>0</v>
      </c>
    </row>
    <row r="260" spans="2:11" x14ac:dyDescent="0.25">
      <c r="B260" s="130">
        <v>559538038</v>
      </c>
      <c r="C260" s="130" t="s">
        <v>73</v>
      </c>
      <c r="D260" s="133">
        <v>45448.645873703703</v>
      </c>
      <c r="E260" s="130" t="s">
        <v>193</v>
      </c>
      <c r="F260" s="161" t="s">
        <v>507</v>
      </c>
      <c r="G260" s="33" t="str">
        <f>IFERROR(INDEX([1]Positions!$A:$A,MATCH(F260,[1]Positions!$C:$C,0)),"Other")</f>
        <v>Technology</v>
      </c>
      <c r="H260" s="33" t="b">
        <f t="shared" si="6"/>
        <v>1</v>
      </c>
      <c r="I260" s="33" t="str">
        <f t="shared" si="7"/>
        <v>2024-06-05</v>
      </c>
      <c r="J260" s="147">
        <v>-20.25</v>
      </c>
      <c r="K260" s="159" t="s">
        <v>0</v>
      </c>
    </row>
    <row r="261" spans="2:11" x14ac:dyDescent="0.25">
      <c r="B261" s="139">
        <v>560399287</v>
      </c>
      <c r="C261" s="139" t="s">
        <v>73</v>
      </c>
      <c r="D261" s="142">
        <v>45449.867608900502</v>
      </c>
      <c r="E261" s="139" t="s">
        <v>194</v>
      </c>
      <c r="F261" s="162" t="s">
        <v>514</v>
      </c>
      <c r="G261" s="33" t="str">
        <f>IFERROR(INDEX([1]Positions!$A:$A,MATCH(F261,[1]Positions!$C:$C,0)),"Other")</f>
        <v>Consumer Defensive</v>
      </c>
      <c r="H261" s="33" t="b">
        <f t="shared" si="6"/>
        <v>1</v>
      </c>
      <c r="I261" s="33" t="str">
        <f t="shared" si="7"/>
        <v>2024-06-06</v>
      </c>
      <c r="J261" s="145">
        <v>-10</v>
      </c>
      <c r="K261" s="159" t="s">
        <v>0</v>
      </c>
    </row>
    <row r="262" spans="2:11" x14ac:dyDescent="0.25">
      <c r="B262" s="130">
        <v>561654650</v>
      </c>
      <c r="C262" s="130" t="s">
        <v>77</v>
      </c>
      <c r="D262" s="133">
        <v>45453.663600567103</v>
      </c>
      <c r="E262" s="130" t="s">
        <v>195</v>
      </c>
      <c r="F262" s="161" t="s">
        <v>36</v>
      </c>
      <c r="G262" s="33" t="str">
        <f>IFERROR(INDEX([1]Positions!$A:$A,MATCH(F262,[1]Positions!$C:$C,0)),"Other")</f>
        <v>MISC</v>
      </c>
      <c r="H262" s="33" t="b">
        <f t="shared" si="6"/>
        <v>1</v>
      </c>
      <c r="I262" s="33" t="str">
        <f t="shared" si="7"/>
        <v>2024-06-10</v>
      </c>
      <c r="J262" s="147">
        <v>-0.73</v>
      </c>
      <c r="K262" s="159" t="s">
        <v>0</v>
      </c>
    </row>
    <row r="263" spans="2:11" x14ac:dyDescent="0.25">
      <c r="B263" s="139">
        <v>561654651</v>
      </c>
      <c r="C263" s="139" t="s">
        <v>80</v>
      </c>
      <c r="D263" s="142">
        <v>45453.663600567103</v>
      </c>
      <c r="E263" s="139" t="s">
        <v>196</v>
      </c>
      <c r="F263" s="162" t="s">
        <v>36</v>
      </c>
      <c r="G263" s="33" t="str">
        <f>IFERROR(INDEX([1]Positions!$A:$A,MATCH(F263,[1]Positions!$C:$C,0)),"Other")</f>
        <v>MISC</v>
      </c>
      <c r="H263" s="33" t="b">
        <f t="shared" si="6"/>
        <v>1</v>
      </c>
      <c r="I263" s="33" t="str">
        <f t="shared" si="7"/>
        <v>2024-06-10</v>
      </c>
      <c r="J263" s="148">
        <v>15.15</v>
      </c>
      <c r="K263" s="159" t="s">
        <v>0</v>
      </c>
    </row>
    <row r="264" spans="2:11" x14ac:dyDescent="0.25">
      <c r="B264" s="130">
        <v>561850164</v>
      </c>
      <c r="C264" s="130" t="s">
        <v>77</v>
      </c>
      <c r="D264" s="133">
        <v>45453.9097241782</v>
      </c>
      <c r="E264" s="130" t="s">
        <v>197</v>
      </c>
      <c r="F264" s="161" t="s">
        <v>37</v>
      </c>
      <c r="G264" s="33" t="str">
        <f>IFERROR(INDEX([1]Positions!$A:$A,MATCH(F264,[1]Positions!$C:$C,0)),"Other")</f>
        <v>Other</v>
      </c>
      <c r="H264" s="33" t="b">
        <f t="shared" si="6"/>
        <v>1</v>
      </c>
      <c r="I264" s="33" t="str">
        <f t="shared" si="7"/>
        <v>2024-06-10</v>
      </c>
      <c r="J264" s="147">
        <v>-1.55</v>
      </c>
      <c r="K264" s="159" t="s">
        <v>0</v>
      </c>
    </row>
    <row r="265" spans="2:11" x14ac:dyDescent="0.25">
      <c r="B265" s="139">
        <v>561852140</v>
      </c>
      <c r="C265" s="139" t="s">
        <v>73</v>
      </c>
      <c r="D265" s="142">
        <v>45453.913344155102</v>
      </c>
      <c r="E265" s="139" t="s">
        <v>198</v>
      </c>
      <c r="F265" s="162" t="s">
        <v>521</v>
      </c>
      <c r="G265" s="33" t="str">
        <f>IFERROR(INDEX([1]Positions!$A:$A,MATCH(F265,[1]Positions!$C:$C,0)),"Other")</f>
        <v>Technology</v>
      </c>
      <c r="H265" s="33" t="b">
        <f t="shared" si="6"/>
        <v>1</v>
      </c>
      <c r="I265" s="33" t="str">
        <f t="shared" si="7"/>
        <v>2024-06-10</v>
      </c>
      <c r="J265" s="145">
        <v>-10</v>
      </c>
      <c r="K265" s="159" t="s">
        <v>0</v>
      </c>
    </row>
    <row r="266" spans="2:11" ht="52.5" x14ac:dyDescent="0.25">
      <c r="B266" s="130">
        <v>564919536</v>
      </c>
      <c r="C266" s="130" t="s">
        <v>71</v>
      </c>
      <c r="D266" s="133">
        <v>45458.110830648096</v>
      </c>
      <c r="E266" s="130" t="s">
        <v>199</v>
      </c>
      <c r="F266" s="161"/>
      <c r="G266" s="33" t="str">
        <f>IFERROR(INDEX([1]Positions!$A:$A,MATCH(F266,[1]Positions!$C:$C,0)),"Other")</f>
        <v>Other</v>
      </c>
      <c r="H266" s="33" t="b">
        <f t="shared" si="6"/>
        <v>1</v>
      </c>
      <c r="I266" s="33" t="str">
        <f t="shared" si="7"/>
        <v>2024-06-15</v>
      </c>
      <c r="J266" s="136">
        <v>50</v>
      </c>
      <c r="K266" s="159" t="s">
        <v>0</v>
      </c>
    </row>
    <row r="267" spans="2:11" x14ac:dyDescent="0.25">
      <c r="B267" s="139">
        <v>565607855</v>
      </c>
      <c r="C267" s="139" t="s">
        <v>73</v>
      </c>
      <c r="D267" s="142">
        <v>45460.6460210648</v>
      </c>
      <c r="E267" s="139" t="s">
        <v>200</v>
      </c>
      <c r="F267" s="162" t="s">
        <v>508</v>
      </c>
      <c r="G267" s="33" t="str">
        <f>IFERROR(INDEX([1]Positions!$A:$A,MATCH(F267,[1]Positions!$C:$C,0)),"Other")</f>
        <v>Consumer Defensive</v>
      </c>
      <c r="H267" s="33" t="b">
        <f t="shared" si="6"/>
        <v>1</v>
      </c>
      <c r="I267" s="33" t="str">
        <f t="shared" si="7"/>
        <v>2024-06-17</v>
      </c>
      <c r="J267" s="145">
        <v>-0.2</v>
      </c>
      <c r="K267" s="159" t="s">
        <v>0</v>
      </c>
    </row>
    <row r="268" spans="2:11" x14ac:dyDescent="0.25">
      <c r="B268" s="130">
        <v>565611180</v>
      </c>
      <c r="C268" s="130" t="s">
        <v>73</v>
      </c>
      <c r="D268" s="133">
        <v>45460.647657870402</v>
      </c>
      <c r="E268" s="130" t="s">
        <v>201</v>
      </c>
      <c r="F268" s="161" t="s">
        <v>518</v>
      </c>
      <c r="G268" s="33" t="str">
        <f>IFERROR(INDEX([1]Positions!$A:$A,MATCH(F268,[1]Positions!$C:$C,0)),"Other")</f>
        <v>MISC</v>
      </c>
      <c r="H268" s="33" t="b">
        <f t="shared" ref="H268:H331" si="8">ISNUMBER(D268)</f>
        <v>1</v>
      </c>
      <c r="I268" s="33" t="str">
        <f t="shared" ref="I268:I331" si="9">TEXT(D268,"YYYY-MM-DD")</f>
        <v>2024-06-17</v>
      </c>
      <c r="J268" s="147">
        <v>-22.89</v>
      </c>
      <c r="K268" s="159" t="s">
        <v>0</v>
      </c>
    </row>
    <row r="269" spans="2:11" x14ac:dyDescent="0.25">
      <c r="B269" s="139">
        <v>565649663</v>
      </c>
      <c r="C269" s="139" t="s">
        <v>73</v>
      </c>
      <c r="D269" s="142">
        <v>45460.685576747703</v>
      </c>
      <c r="E269" s="139" t="s">
        <v>202</v>
      </c>
      <c r="F269" s="162" t="s">
        <v>511</v>
      </c>
      <c r="G269" s="33" t="str">
        <f>IFERROR(INDEX([1]Positions!$A:$A,MATCH(F269,[1]Positions!$C:$C,0)),"Other")</f>
        <v>MISC</v>
      </c>
      <c r="H269" s="33" t="b">
        <f t="shared" si="8"/>
        <v>1</v>
      </c>
      <c r="I269" s="33" t="str">
        <f t="shared" si="9"/>
        <v>2024-06-17</v>
      </c>
      <c r="J269" s="145">
        <v>-20.67</v>
      </c>
      <c r="K269" s="159" t="s">
        <v>0</v>
      </c>
    </row>
    <row r="270" spans="2:11" x14ac:dyDescent="0.25">
      <c r="B270" s="130">
        <v>565713107</v>
      </c>
      <c r="C270" s="130" t="s">
        <v>80</v>
      </c>
      <c r="D270" s="133">
        <v>45460.738475231497</v>
      </c>
      <c r="E270" s="130" t="s">
        <v>203</v>
      </c>
      <c r="F270" s="161" t="s">
        <v>508</v>
      </c>
      <c r="G270" s="33" t="str">
        <f>IFERROR(INDEX([1]Positions!$A:$A,MATCH(F270,[1]Positions!$C:$C,0)),"Other")</f>
        <v>Consumer Defensive</v>
      </c>
      <c r="H270" s="33" t="b">
        <f t="shared" si="8"/>
        <v>1</v>
      </c>
      <c r="I270" s="33" t="str">
        <f t="shared" si="9"/>
        <v>2024-06-17</v>
      </c>
      <c r="J270" s="136">
        <v>0.2</v>
      </c>
      <c r="K270" s="159" t="s">
        <v>0</v>
      </c>
    </row>
    <row r="271" spans="2:11" ht="21" x14ac:dyDescent="0.25">
      <c r="B271" s="139">
        <v>565713108</v>
      </c>
      <c r="C271" s="139" t="s">
        <v>34</v>
      </c>
      <c r="D271" s="142">
        <v>45460.738475266196</v>
      </c>
      <c r="E271" s="139" t="s">
        <v>204</v>
      </c>
      <c r="F271" s="162" t="s">
        <v>508</v>
      </c>
      <c r="G271" s="33" t="str">
        <f>IFERROR(INDEX([1]Positions!$A:$A,MATCH(F271,[1]Positions!$C:$C,0)),"Other")</f>
        <v>Consumer Defensive</v>
      </c>
      <c r="H271" s="33" t="b">
        <f t="shared" si="8"/>
        <v>1</v>
      </c>
      <c r="I271" s="33" t="str">
        <f t="shared" si="9"/>
        <v>2024-06-17</v>
      </c>
      <c r="J271" s="148">
        <v>0</v>
      </c>
      <c r="K271" s="159" t="s">
        <v>0</v>
      </c>
    </row>
    <row r="272" spans="2:11" x14ac:dyDescent="0.25">
      <c r="B272" s="130">
        <v>565713109</v>
      </c>
      <c r="C272" s="130" t="s">
        <v>205</v>
      </c>
      <c r="D272" s="133">
        <v>45460.738475266196</v>
      </c>
      <c r="E272" s="130" t="s">
        <v>206</v>
      </c>
      <c r="F272" s="161" t="s">
        <v>508</v>
      </c>
      <c r="G272" s="33" t="str">
        <f>IFERROR(INDEX([1]Positions!$A:$A,MATCH(F272,[1]Positions!$C:$C,0)),"Other")</f>
        <v>Consumer Defensive</v>
      </c>
      <c r="H272" s="33" t="b">
        <f t="shared" si="8"/>
        <v>1</v>
      </c>
      <c r="I272" s="33" t="str">
        <f t="shared" si="9"/>
        <v>2024-06-17</v>
      </c>
      <c r="J272" s="136">
        <v>0</v>
      </c>
      <c r="K272" s="159" t="s">
        <v>0</v>
      </c>
    </row>
    <row r="273" spans="2:11" x14ac:dyDescent="0.25">
      <c r="B273" s="139">
        <v>565713106</v>
      </c>
      <c r="C273" s="139" t="s">
        <v>77</v>
      </c>
      <c r="D273" s="142">
        <v>45460.738475231497</v>
      </c>
      <c r="E273" s="139" t="s">
        <v>207</v>
      </c>
      <c r="F273" s="162" t="s">
        <v>508</v>
      </c>
      <c r="G273" s="33" t="str">
        <f>IFERROR(INDEX([1]Positions!$A:$A,MATCH(F273,[1]Positions!$C:$C,0)),"Other")</f>
        <v>Consumer Defensive</v>
      </c>
      <c r="H273" s="33" t="b">
        <f t="shared" si="8"/>
        <v>1</v>
      </c>
      <c r="I273" s="33" t="str">
        <f t="shared" si="9"/>
        <v>2024-06-17</v>
      </c>
      <c r="J273" s="148">
        <v>0</v>
      </c>
      <c r="K273" s="159" t="s">
        <v>0</v>
      </c>
    </row>
    <row r="274" spans="2:11" x14ac:dyDescent="0.25">
      <c r="B274" s="130">
        <v>565825624</v>
      </c>
      <c r="C274" s="130" t="s">
        <v>73</v>
      </c>
      <c r="D274" s="133">
        <v>45460.885290532402</v>
      </c>
      <c r="E274" s="130" t="s">
        <v>208</v>
      </c>
      <c r="F274" s="161" t="s">
        <v>508</v>
      </c>
      <c r="G274" s="33" t="str">
        <f>IFERROR(INDEX([1]Positions!$A:$A,MATCH(F274,[1]Positions!$C:$C,0)),"Other")</f>
        <v>Consumer Defensive</v>
      </c>
      <c r="H274" s="33" t="b">
        <f t="shared" si="8"/>
        <v>1</v>
      </c>
      <c r="I274" s="33" t="str">
        <f t="shared" si="9"/>
        <v>2024-06-17</v>
      </c>
      <c r="J274" s="147">
        <v>-19.989999999999998</v>
      </c>
      <c r="K274" s="159" t="s">
        <v>0</v>
      </c>
    </row>
    <row r="275" spans="2:11" x14ac:dyDescent="0.25">
      <c r="B275" s="139">
        <v>565825453</v>
      </c>
      <c r="C275" s="139" t="s">
        <v>77</v>
      </c>
      <c r="D275" s="142">
        <v>45460.885041701396</v>
      </c>
      <c r="E275" s="139" t="s">
        <v>209</v>
      </c>
      <c r="F275" s="162" t="s">
        <v>509</v>
      </c>
      <c r="G275" s="33" t="str">
        <f>IFERROR(INDEX([1]Positions!$A:$A,MATCH(F275,[1]Positions!$C:$C,0)),"Other")</f>
        <v>MISC</v>
      </c>
      <c r="H275" s="33" t="b">
        <f t="shared" si="8"/>
        <v>1</v>
      </c>
      <c r="I275" s="33" t="str">
        <f t="shared" si="9"/>
        <v>2024-06-17</v>
      </c>
      <c r="J275" s="145">
        <v>-0.75</v>
      </c>
      <c r="K275" s="159" t="s">
        <v>0</v>
      </c>
    </row>
    <row r="276" spans="2:11" x14ac:dyDescent="0.25">
      <c r="B276" s="130">
        <v>565825454</v>
      </c>
      <c r="C276" s="130" t="s">
        <v>80</v>
      </c>
      <c r="D276" s="133">
        <v>45460.885041701396</v>
      </c>
      <c r="E276" s="130" t="s">
        <v>210</v>
      </c>
      <c r="F276" s="161" t="s">
        <v>509</v>
      </c>
      <c r="G276" s="33" t="str">
        <f>IFERROR(INDEX([1]Positions!$A:$A,MATCH(F276,[1]Positions!$C:$C,0)),"Other")</f>
        <v>MISC</v>
      </c>
      <c r="H276" s="33" t="b">
        <f t="shared" si="8"/>
        <v>1</v>
      </c>
      <c r="I276" s="33" t="str">
        <f t="shared" si="9"/>
        <v>2024-06-17</v>
      </c>
      <c r="J276" s="136">
        <v>13.37</v>
      </c>
      <c r="K276" s="159" t="s">
        <v>0</v>
      </c>
    </row>
    <row r="277" spans="2:11" x14ac:dyDescent="0.25">
      <c r="B277" s="139">
        <v>566363866</v>
      </c>
      <c r="C277" s="139" t="s">
        <v>116</v>
      </c>
      <c r="D277" s="142">
        <v>45461.709676018501</v>
      </c>
      <c r="E277" s="139" t="s">
        <v>786</v>
      </c>
      <c r="F277" s="162" t="s">
        <v>509</v>
      </c>
      <c r="G277" s="33" t="str">
        <f>IFERROR(INDEX([1]Positions!$A:$A,MATCH(F277,[1]Positions!$C:$C,0)),"Other")</f>
        <v>MISC</v>
      </c>
      <c r="H277" s="33" t="b">
        <f t="shared" si="8"/>
        <v>1</v>
      </c>
      <c r="I277" s="33" t="str">
        <f t="shared" si="9"/>
        <v>2024-06-18</v>
      </c>
      <c r="J277" s="145">
        <v>-0.01</v>
      </c>
      <c r="K277" s="159" t="s">
        <v>0</v>
      </c>
    </row>
    <row r="278" spans="2:11" x14ac:dyDescent="0.25">
      <c r="B278" s="130">
        <v>566364612</v>
      </c>
      <c r="C278" s="130" t="s">
        <v>116</v>
      </c>
      <c r="D278" s="133">
        <v>45461.710179664398</v>
      </c>
      <c r="E278" s="130" t="s">
        <v>787</v>
      </c>
      <c r="F278" s="161" t="s">
        <v>508</v>
      </c>
      <c r="G278" s="33" t="str">
        <f>IFERROR(INDEX([1]Positions!$A:$A,MATCH(F278,[1]Positions!$C:$C,0)),"Other")</f>
        <v>Consumer Defensive</v>
      </c>
      <c r="H278" s="33" t="b">
        <f t="shared" si="8"/>
        <v>1</v>
      </c>
      <c r="I278" s="33" t="str">
        <f t="shared" si="9"/>
        <v>2024-06-18</v>
      </c>
      <c r="J278" s="136">
        <v>0</v>
      </c>
      <c r="K278" s="159" t="s">
        <v>0</v>
      </c>
    </row>
    <row r="279" spans="2:11" x14ac:dyDescent="0.25">
      <c r="B279" s="139">
        <v>568018754</v>
      </c>
      <c r="C279" s="139" t="s">
        <v>77</v>
      </c>
      <c r="D279" s="142">
        <v>45464.645872465298</v>
      </c>
      <c r="E279" s="139" t="s">
        <v>211</v>
      </c>
      <c r="F279" s="162" t="s">
        <v>510</v>
      </c>
      <c r="G279" s="33" t="str">
        <f>IFERROR(INDEX([1]Positions!$A:$A,MATCH(F279,[1]Positions!$C:$C,0)),"Other")</f>
        <v>Technology</v>
      </c>
      <c r="H279" s="33" t="b">
        <f t="shared" si="8"/>
        <v>1</v>
      </c>
      <c r="I279" s="33" t="str">
        <f t="shared" si="9"/>
        <v>2024-06-21</v>
      </c>
      <c r="J279" s="148">
        <v>0.6</v>
      </c>
      <c r="K279" s="159" t="s">
        <v>0</v>
      </c>
    </row>
    <row r="280" spans="2:11" x14ac:dyDescent="0.25">
      <c r="B280" s="130">
        <v>568018755</v>
      </c>
      <c r="C280" s="130" t="s">
        <v>80</v>
      </c>
      <c r="D280" s="133">
        <v>45464.645872465298</v>
      </c>
      <c r="E280" s="130" t="s">
        <v>212</v>
      </c>
      <c r="F280" s="161" t="s">
        <v>510</v>
      </c>
      <c r="G280" s="33" t="str">
        <f>IFERROR(INDEX([1]Positions!$A:$A,MATCH(F280,[1]Positions!$C:$C,0)),"Other")</f>
        <v>Technology</v>
      </c>
      <c r="H280" s="33" t="b">
        <f t="shared" si="8"/>
        <v>1</v>
      </c>
      <c r="I280" s="33" t="str">
        <f t="shared" si="9"/>
        <v>2024-06-21</v>
      </c>
      <c r="J280" s="136">
        <v>20</v>
      </c>
      <c r="K280" s="159" t="s">
        <v>0</v>
      </c>
    </row>
    <row r="281" spans="2:11" x14ac:dyDescent="0.25">
      <c r="B281" s="139">
        <v>568018581</v>
      </c>
      <c r="C281" s="139" t="s">
        <v>77</v>
      </c>
      <c r="D281" s="142">
        <v>45464.645871979199</v>
      </c>
      <c r="E281" s="139" t="s">
        <v>213</v>
      </c>
      <c r="F281" s="162" t="s">
        <v>507</v>
      </c>
      <c r="G281" s="33" t="str">
        <f>IFERROR(INDEX([1]Positions!$A:$A,MATCH(F281,[1]Positions!$C:$C,0)),"Other")</f>
        <v>Technology</v>
      </c>
      <c r="H281" s="33" t="b">
        <f t="shared" si="8"/>
        <v>1</v>
      </c>
      <c r="I281" s="33" t="str">
        <f t="shared" si="9"/>
        <v>2024-06-21</v>
      </c>
      <c r="J281" s="148">
        <v>1</v>
      </c>
      <c r="K281" s="159" t="s">
        <v>0</v>
      </c>
    </row>
    <row r="282" spans="2:11" x14ac:dyDescent="0.25">
      <c r="B282" s="130">
        <v>568018582</v>
      </c>
      <c r="C282" s="130" t="s">
        <v>80</v>
      </c>
      <c r="D282" s="133">
        <v>45464.645871979199</v>
      </c>
      <c r="E282" s="130" t="s">
        <v>214</v>
      </c>
      <c r="F282" s="161" t="s">
        <v>507</v>
      </c>
      <c r="G282" s="33" t="str">
        <f>IFERROR(INDEX([1]Positions!$A:$A,MATCH(F282,[1]Positions!$C:$C,0)),"Other")</f>
        <v>Technology</v>
      </c>
      <c r="H282" s="33" t="b">
        <f t="shared" si="8"/>
        <v>1</v>
      </c>
      <c r="I282" s="33" t="str">
        <f t="shared" si="9"/>
        <v>2024-06-21</v>
      </c>
      <c r="J282" s="136">
        <v>14.21</v>
      </c>
      <c r="K282" s="159" t="s">
        <v>0</v>
      </c>
    </row>
    <row r="283" spans="2:11" x14ac:dyDescent="0.25">
      <c r="B283" s="139">
        <v>568018921</v>
      </c>
      <c r="C283" s="139" t="s">
        <v>77</v>
      </c>
      <c r="D283" s="142">
        <v>45464.645872951398</v>
      </c>
      <c r="E283" s="139" t="s">
        <v>213</v>
      </c>
      <c r="F283" s="162" t="s">
        <v>507</v>
      </c>
      <c r="G283" s="33" t="str">
        <f>IFERROR(INDEX([1]Positions!$A:$A,MATCH(F283,[1]Positions!$C:$C,0)),"Other")</f>
        <v>Technology</v>
      </c>
      <c r="H283" s="33" t="b">
        <f t="shared" si="8"/>
        <v>1</v>
      </c>
      <c r="I283" s="33" t="str">
        <f t="shared" si="9"/>
        <v>2024-06-21</v>
      </c>
      <c r="J283" s="148">
        <v>0.42</v>
      </c>
      <c r="K283" s="159" t="s">
        <v>0</v>
      </c>
    </row>
    <row r="284" spans="2:11" x14ac:dyDescent="0.25">
      <c r="B284" s="130">
        <v>568018922</v>
      </c>
      <c r="C284" s="130" t="s">
        <v>80</v>
      </c>
      <c r="D284" s="133">
        <v>45464.645872951398</v>
      </c>
      <c r="E284" s="130" t="s">
        <v>215</v>
      </c>
      <c r="F284" s="161" t="s">
        <v>507</v>
      </c>
      <c r="G284" s="33" t="str">
        <f>IFERROR(INDEX([1]Positions!$A:$A,MATCH(F284,[1]Positions!$C:$C,0)),"Other")</f>
        <v>Technology</v>
      </c>
      <c r="H284" s="33" t="b">
        <f t="shared" si="8"/>
        <v>1</v>
      </c>
      <c r="I284" s="33" t="str">
        <f t="shared" si="9"/>
        <v>2024-06-21</v>
      </c>
      <c r="J284" s="136">
        <v>6.04</v>
      </c>
      <c r="K284" s="159" t="s">
        <v>0</v>
      </c>
    </row>
    <row r="285" spans="2:11" x14ac:dyDescent="0.25">
      <c r="B285" s="139">
        <v>568057989</v>
      </c>
      <c r="C285" s="139" t="s">
        <v>77</v>
      </c>
      <c r="D285" s="142">
        <v>45464.659826875002</v>
      </c>
      <c r="E285" s="139" t="s">
        <v>216</v>
      </c>
      <c r="F285" s="162" t="s">
        <v>511</v>
      </c>
      <c r="G285" s="33" t="str">
        <f>IFERROR(INDEX([1]Positions!$A:$A,MATCH(F285,[1]Positions!$C:$C,0)),"Other")</f>
        <v>MISC</v>
      </c>
      <c r="H285" s="33" t="b">
        <f t="shared" si="8"/>
        <v>1</v>
      </c>
      <c r="I285" s="33" t="str">
        <f t="shared" si="9"/>
        <v>2024-06-21</v>
      </c>
      <c r="J285" s="145">
        <v>-1.28</v>
      </c>
      <c r="K285" s="159" t="s">
        <v>0</v>
      </c>
    </row>
    <row r="286" spans="2:11" x14ac:dyDescent="0.25">
      <c r="B286" s="130">
        <v>568057990</v>
      </c>
      <c r="C286" s="130" t="s">
        <v>80</v>
      </c>
      <c r="D286" s="133">
        <v>45464.659826875002</v>
      </c>
      <c r="E286" s="130" t="s">
        <v>217</v>
      </c>
      <c r="F286" s="161" t="s">
        <v>511</v>
      </c>
      <c r="G286" s="33" t="str">
        <f>IFERROR(INDEX([1]Positions!$A:$A,MATCH(F286,[1]Positions!$C:$C,0)),"Other")</f>
        <v>MISC</v>
      </c>
      <c r="H286" s="33" t="b">
        <f t="shared" si="8"/>
        <v>1</v>
      </c>
      <c r="I286" s="33" t="str">
        <f t="shared" si="9"/>
        <v>2024-06-21</v>
      </c>
      <c r="J286" s="136">
        <v>20.67</v>
      </c>
      <c r="K286" s="159" t="s">
        <v>0</v>
      </c>
    </row>
    <row r="287" spans="2:11" x14ac:dyDescent="0.25">
      <c r="B287" s="139">
        <v>568062921</v>
      </c>
      <c r="C287" s="139" t="s">
        <v>73</v>
      </c>
      <c r="D287" s="142">
        <v>45464.661390868103</v>
      </c>
      <c r="E287" s="139" t="s">
        <v>218</v>
      </c>
      <c r="F287" s="162" t="s">
        <v>519</v>
      </c>
      <c r="G287" s="33" t="str">
        <f>IFERROR(INDEX([1]Positions!$A:$A,MATCH(F287,[1]Positions!$C:$C,0)),"Other")</f>
        <v>MISC</v>
      </c>
      <c r="H287" s="33" t="b">
        <f t="shared" si="8"/>
        <v>1</v>
      </c>
      <c r="I287" s="33" t="str">
        <f t="shared" si="9"/>
        <v>2024-06-21</v>
      </c>
      <c r="J287" s="145">
        <v>-20.23</v>
      </c>
      <c r="K287" s="159" t="s">
        <v>0</v>
      </c>
    </row>
    <row r="288" spans="2:11" x14ac:dyDescent="0.25">
      <c r="B288" s="130">
        <v>568061760</v>
      </c>
      <c r="C288" s="130" t="s">
        <v>73</v>
      </c>
      <c r="D288" s="133">
        <v>45464.660972407401</v>
      </c>
      <c r="E288" s="130" t="s">
        <v>219</v>
      </c>
      <c r="F288" s="161" t="s">
        <v>516</v>
      </c>
      <c r="G288" s="33" t="str">
        <f>IFERROR(INDEX([1]Positions!$A:$A,MATCH(F288,[1]Positions!$C:$C,0)),"Other")</f>
        <v>Energy &amp; Utilities</v>
      </c>
      <c r="H288" s="33" t="b">
        <f t="shared" si="8"/>
        <v>1</v>
      </c>
      <c r="I288" s="33" t="str">
        <f t="shared" si="9"/>
        <v>2024-06-21</v>
      </c>
      <c r="J288" s="147">
        <v>-20</v>
      </c>
      <c r="K288" s="159" t="s">
        <v>0</v>
      </c>
    </row>
    <row r="289" spans="2:11" x14ac:dyDescent="0.25">
      <c r="B289" s="139">
        <v>568063320</v>
      </c>
      <c r="C289" s="139" t="s">
        <v>73</v>
      </c>
      <c r="D289" s="142">
        <v>45464.661507569399</v>
      </c>
      <c r="E289" s="139" t="s">
        <v>220</v>
      </c>
      <c r="F289" s="162" t="s">
        <v>512</v>
      </c>
      <c r="G289" s="33" t="str">
        <f>IFERROR(INDEX([1]Positions!$A:$A,MATCH(F289,[1]Positions!$C:$C,0)),"Other")</f>
        <v>MISC</v>
      </c>
      <c r="H289" s="33" t="b">
        <f t="shared" si="8"/>
        <v>1</v>
      </c>
      <c r="I289" s="33" t="str">
        <f t="shared" si="9"/>
        <v>2024-06-21</v>
      </c>
      <c r="J289" s="145">
        <v>-20.09</v>
      </c>
      <c r="K289" s="159" t="s">
        <v>0</v>
      </c>
    </row>
    <row r="290" spans="2:11" x14ac:dyDescent="0.25">
      <c r="B290" s="130">
        <v>568079573</v>
      </c>
      <c r="C290" s="130" t="s">
        <v>77</v>
      </c>
      <c r="D290" s="133">
        <v>45464.667253877298</v>
      </c>
      <c r="E290" s="130" t="s">
        <v>221</v>
      </c>
      <c r="F290" s="161" t="s">
        <v>512</v>
      </c>
      <c r="G290" s="33" t="str">
        <f>IFERROR(INDEX([1]Positions!$A:$A,MATCH(F290,[1]Positions!$C:$C,0)),"Other")</f>
        <v>MISC</v>
      </c>
      <c r="H290" s="33" t="b">
        <f t="shared" si="8"/>
        <v>1</v>
      </c>
      <c r="I290" s="33" t="str">
        <f t="shared" si="9"/>
        <v>2024-06-21</v>
      </c>
      <c r="J290" s="147">
        <v>-0.18</v>
      </c>
      <c r="K290" s="159" t="s">
        <v>0</v>
      </c>
    </row>
    <row r="291" spans="2:11" x14ac:dyDescent="0.25">
      <c r="B291" s="139">
        <v>568079574</v>
      </c>
      <c r="C291" s="139" t="s">
        <v>80</v>
      </c>
      <c r="D291" s="142">
        <v>45464.667253877298</v>
      </c>
      <c r="E291" s="139" t="s">
        <v>222</v>
      </c>
      <c r="F291" s="162" t="s">
        <v>512</v>
      </c>
      <c r="G291" s="33" t="str">
        <f>IFERROR(INDEX([1]Positions!$A:$A,MATCH(F291,[1]Positions!$C:$C,0)),"Other")</f>
        <v>MISC</v>
      </c>
      <c r="H291" s="33" t="b">
        <f t="shared" si="8"/>
        <v>1</v>
      </c>
      <c r="I291" s="33" t="str">
        <f t="shared" si="9"/>
        <v>2024-06-21</v>
      </c>
      <c r="J291" s="148">
        <v>20.09</v>
      </c>
      <c r="K291" s="159" t="s">
        <v>0</v>
      </c>
    </row>
    <row r="292" spans="2:11" x14ac:dyDescent="0.25">
      <c r="B292" s="130">
        <v>568093433</v>
      </c>
      <c r="C292" s="130" t="s">
        <v>73</v>
      </c>
      <c r="D292" s="133">
        <v>45464.673817291703</v>
      </c>
      <c r="E292" s="130" t="s">
        <v>223</v>
      </c>
      <c r="F292" s="161" t="s">
        <v>515</v>
      </c>
      <c r="G292" s="33" t="str">
        <f>IFERROR(INDEX([1]Positions!$A:$A,MATCH(F292,[1]Positions!$C:$C,0)),"Other")</f>
        <v>Energy &amp; Utilities</v>
      </c>
      <c r="H292" s="33" t="b">
        <f t="shared" si="8"/>
        <v>1</v>
      </c>
      <c r="I292" s="33" t="str">
        <f t="shared" si="9"/>
        <v>2024-06-21</v>
      </c>
      <c r="J292" s="147">
        <v>-20.36</v>
      </c>
      <c r="K292" s="159" t="s">
        <v>0</v>
      </c>
    </row>
    <row r="293" spans="2:11" x14ac:dyDescent="0.25">
      <c r="B293" s="139">
        <v>568736466</v>
      </c>
      <c r="C293" s="139" t="s">
        <v>116</v>
      </c>
      <c r="D293" s="142">
        <v>45467.635166990702</v>
      </c>
      <c r="E293" s="139" t="s">
        <v>788</v>
      </c>
      <c r="F293" s="162" t="s">
        <v>510</v>
      </c>
      <c r="G293" s="33" t="str">
        <f>IFERROR(INDEX([1]Positions!$A:$A,MATCH(F293,[1]Positions!$C:$C,0)),"Other")</f>
        <v>Technology</v>
      </c>
      <c r="H293" s="33" t="b">
        <f t="shared" si="8"/>
        <v>1</v>
      </c>
      <c r="I293" s="33" t="str">
        <f t="shared" si="9"/>
        <v>2024-06-24</v>
      </c>
      <c r="J293" s="148">
        <v>0</v>
      </c>
      <c r="K293" s="159" t="s">
        <v>0</v>
      </c>
    </row>
    <row r="294" spans="2:11" x14ac:dyDescent="0.25">
      <c r="B294" s="130">
        <v>568741188</v>
      </c>
      <c r="C294" s="130" t="s">
        <v>116</v>
      </c>
      <c r="D294" s="133">
        <v>45467.638114467598</v>
      </c>
      <c r="E294" s="130" t="s">
        <v>789</v>
      </c>
      <c r="F294" s="161" t="s">
        <v>511</v>
      </c>
      <c r="G294" s="33" t="str">
        <f>IFERROR(INDEX([1]Positions!$A:$A,MATCH(F294,[1]Positions!$C:$C,0)),"Other")</f>
        <v>MISC</v>
      </c>
      <c r="H294" s="33" t="b">
        <f t="shared" si="8"/>
        <v>1</v>
      </c>
      <c r="I294" s="33" t="str">
        <f t="shared" si="9"/>
        <v>2024-06-24</v>
      </c>
      <c r="J294" s="136">
        <v>0</v>
      </c>
      <c r="K294" s="159" t="s">
        <v>0</v>
      </c>
    </row>
    <row r="295" spans="2:11" x14ac:dyDescent="0.25">
      <c r="B295" s="139">
        <v>568746399</v>
      </c>
      <c r="C295" s="139" t="s">
        <v>116</v>
      </c>
      <c r="D295" s="142">
        <v>45467.641949166697</v>
      </c>
      <c r="E295" s="139" t="s">
        <v>790</v>
      </c>
      <c r="F295" s="162" t="s">
        <v>512</v>
      </c>
      <c r="G295" s="33" t="str">
        <f>IFERROR(INDEX([1]Positions!$A:$A,MATCH(F295,[1]Positions!$C:$C,0)),"Other")</f>
        <v>MISC</v>
      </c>
      <c r="H295" s="33" t="b">
        <f t="shared" si="8"/>
        <v>1</v>
      </c>
      <c r="I295" s="33" t="str">
        <f t="shared" si="9"/>
        <v>2024-06-24</v>
      </c>
      <c r="J295" s="148">
        <v>0</v>
      </c>
      <c r="K295" s="159" t="s">
        <v>0</v>
      </c>
    </row>
    <row r="296" spans="2:11" x14ac:dyDescent="0.25">
      <c r="B296" s="130">
        <v>568747147</v>
      </c>
      <c r="C296" s="130" t="s">
        <v>116</v>
      </c>
      <c r="D296" s="133">
        <v>45467.642665544001</v>
      </c>
      <c r="E296" s="130" t="s">
        <v>791</v>
      </c>
      <c r="F296" s="161" t="s">
        <v>507</v>
      </c>
      <c r="G296" s="33" t="str">
        <f>IFERROR(INDEX([1]Positions!$A:$A,MATCH(F296,[1]Positions!$C:$C,0)),"Other")</f>
        <v>Technology</v>
      </c>
      <c r="H296" s="33" t="b">
        <f t="shared" si="8"/>
        <v>1</v>
      </c>
      <c r="I296" s="33" t="str">
        <f t="shared" si="9"/>
        <v>2024-06-24</v>
      </c>
      <c r="J296" s="136">
        <v>0</v>
      </c>
      <c r="K296" s="159" t="s">
        <v>0</v>
      </c>
    </row>
    <row r="297" spans="2:11" x14ac:dyDescent="0.25">
      <c r="B297" s="139">
        <v>571591268</v>
      </c>
      <c r="C297" s="139" t="s">
        <v>69</v>
      </c>
      <c r="D297" s="142">
        <v>45471.501582210702</v>
      </c>
      <c r="E297" s="139" t="s">
        <v>792</v>
      </c>
      <c r="F297" s="162" t="s">
        <v>507</v>
      </c>
      <c r="G297" s="33" t="str">
        <f>IFERROR(INDEX([1]Positions!$A:$A,MATCH(F297,[1]Positions!$C:$C,0)),"Other")</f>
        <v>Technology</v>
      </c>
      <c r="H297" s="33" t="b">
        <f t="shared" si="8"/>
        <v>1</v>
      </c>
      <c r="I297" s="33" t="str">
        <f t="shared" si="9"/>
        <v>2024-06-28</v>
      </c>
      <c r="J297" s="148">
        <v>0</v>
      </c>
      <c r="K297" s="159" t="s">
        <v>0</v>
      </c>
    </row>
    <row r="298" spans="2:11" ht="52.5" x14ac:dyDescent="0.25">
      <c r="B298" s="130">
        <v>573611029</v>
      </c>
      <c r="C298" s="130" t="s">
        <v>71</v>
      </c>
      <c r="D298" s="133">
        <v>45475.980674444399</v>
      </c>
      <c r="E298" s="130" t="s">
        <v>224</v>
      </c>
      <c r="F298" s="161"/>
      <c r="G298" s="33" t="str">
        <f>IFERROR(INDEX([1]Positions!$A:$A,MATCH(F298,[1]Positions!$C:$C,0)),"Other")</f>
        <v>Other</v>
      </c>
      <c r="H298" s="33" t="b">
        <f t="shared" si="8"/>
        <v>1</v>
      </c>
      <c r="I298" s="33" t="str">
        <f t="shared" si="9"/>
        <v>2024-07-02</v>
      </c>
      <c r="J298" s="136">
        <v>50</v>
      </c>
      <c r="K298" s="159" t="s">
        <v>0</v>
      </c>
    </row>
    <row r="299" spans="2:11" x14ac:dyDescent="0.25">
      <c r="B299" s="139">
        <v>574228900</v>
      </c>
      <c r="C299" s="139" t="s">
        <v>73</v>
      </c>
      <c r="D299" s="142">
        <v>45476.645869479202</v>
      </c>
      <c r="E299" s="139" t="s">
        <v>225</v>
      </c>
      <c r="F299" s="162" t="s">
        <v>510</v>
      </c>
      <c r="G299" s="33" t="str">
        <f>IFERROR(INDEX([1]Positions!$A:$A,MATCH(F299,[1]Positions!$C:$C,0)),"Other")</f>
        <v>Technology</v>
      </c>
      <c r="H299" s="33" t="b">
        <f t="shared" si="8"/>
        <v>1</v>
      </c>
      <c r="I299" s="33" t="str">
        <f t="shared" si="9"/>
        <v>2024-07-03</v>
      </c>
      <c r="J299" s="145">
        <v>-25.28</v>
      </c>
      <c r="K299" s="159" t="s">
        <v>0</v>
      </c>
    </row>
    <row r="300" spans="2:11" x14ac:dyDescent="0.25">
      <c r="B300" s="130">
        <v>574267846</v>
      </c>
      <c r="C300" s="130" t="s">
        <v>73</v>
      </c>
      <c r="D300" s="133">
        <v>45476.658791724498</v>
      </c>
      <c r="E300" s="130" t="s">
        <v>226</v>
      </c>
      <c r="F300" s="161" t="s">
        <v>521</v>
      </c>
      <c r="G300" s="33" t="str">
        <f>IFERROR(INDEX([1]Positions!$A:$A,MATCH(F300,[1]Positions!$C:$C,0)),"Other")</f>
        <v>Technology</v>
      </c>
      <c r="H300" s="33" t="b">
        <f t="shared" si="8"/>
        <v>1</v>
      </c>
      <c r="I300" s="33" t="str">
        <f t="shared" si="9"/>
        <v>2024-07-03</v>
      </c>
      <c r="J300" s="147">
        <v>-10.75</v>
      </c>
      <c r="K300" s="159" t="s">
        <v>0</v>
      </c>
    </row>
    <row r="301" spans="2:11" x14ac:dyDescent="0.25">
      <c r="B301" s="139">
        <v>575788975</v>
      </c>
      <c r="C301" s="139" t="s">
        <v>77</v>
      </c>
      <c r="D301" s="142">
        <v>45478.651864490697</v>
      </c>
      <c r="E301" s="139" t="s">
        <v>227</v>
      </c>
      <c r="F301" s="162" t="s">
        <v>513</v>
      </c>
      <c r="G301" s="33" t="str">
        <f>IFERROR(INDEX([1]Positions!$A:$A,MATCH(F301,[1]Positions!$C:$C,0)),"Other")</f>
        <v>Technology</v>
      </c>
      <c r="H301" s="33" t="b">
        <f t="shared" si="8"/>
        <v>1</v>
      </c>
      <c r="I301" s="33" t="str">
        <f t="shared" si="9"/>
        <v>2024-07-05</v>
      </c>
      <c r="J301" s="148">
        <v>3.7</v>
      </c>
      <c r="K301" s="159" t="s">
        <v>0</v>
      </c>
    </row>
    <row r="302" spans="2:11" x14ac:dyDescent="0.25">
      <c r="B302" s="130">
        <v>575788976</v>
      </c>
      <c r="C302" s="130" t="s">
        <v>80</v>
      </c>
      <c r="D302" s="133">
        <v>45478.651864490697</v>
      </c>
      <c r="E302" s="130" t="s">
        <v>228</v>
      </c>
      <c r="F302" s="161" t="s">
        <v>513</v>
      </c>
      <c r="G302" s="33" t="str">
        <f>IFERROR(INDEX([1]Positions!$A:$A,MATCH(F302,[1]Positions!$C:$C,0)),"Other")</f>
        <v>Technology</v>
      </c>
      <c r="H302" s="33" t="b">
        <f t="shared" si="8"/>
        <v>1</v>
      </c>
      <c r="I302" s="33" t="str">
        <f t="shared" si="9"/>
        <v>2024-07-05</v>
      </c>
      <c r="J302" s="136">
        <v>20.57</v>
      </c>
      <c r="K302" s="159" t="s">
        <v>0</v>
      </c>
    </row>
    <row r="303" spans="2:11" x14ac:dyDescent="0.25">
      <c r="B303" s="139">
        <v>575800576</v>
      </c>
      <c r="C303" s="139" t="s">
        <v>73</v>
      </c>
      <c r="D303" s="142">
        <v>45478.655819467604</v>
      </c>
      <c r="E303" s="139" t="s">
        <v>229</v>
      </c>
      <c r="F303" s="162" t="s">
        <v>517</v>
      </c>
      <c r="G303" s="33" t="str">
        <f>IFERROR(INDEX([1]Positions!$A:$A,MATCH(F303,[1]Positions!$C:$C,0)),"Other")</f>
        <v>Technology</v>
      </c>
      <c r="H303" s="33" t="b">
        <f t="shared" si="8"/>
        <v>1</v>
      </c>
      <c r="I303" s="33" t="str">
        <f t="shared" si="9"/>
        <v>2024-07-05</v>
      </c>
      <c r="J303" s="145">
        <v>-20.32</v>
      </c>
      <c r="K303" s="159" t="s">
        <v>0</v>
      </c>
    </row>
    <row r="304" spans="2:11" x14ac:dyDescent="0.25">
      <c r="B304" s="130">
        <v>575850675</v>
      </c>
      <c r="C304" s="130" t="s">
        <v>73</v>
      </c>
      <c r="D304" s="133">
        <v>45478.678155335598</v>
      </c>
      <c r="E304" s="130" t="s">
        <v>230</v>
      </c>
      <c r="F304" s="161" t="s">
        <v>513</v>
      </c>
      <c r="G304" s="33" t="str">
        <f>IFERROR(INDEX([1]Positions!$A:$A,MATCH(F304,[1]Positions!$C:$C,0)),"Other")</f>
        <v>Technology</v>
      </c>
      <c r="H304" s="33" t="b">
        <f t="shared" si="8"/>
        <v>1</v>
      </c>
      <c r="I304" s="33" t="str">
        <f t="shared" si="9"/>
        <v>2024-07-05</v>
      </c>
      <c r="J304" s="147">
        <v>-20.2</v>
      </c>
      <c r="K304" s="159" t="s">
        <v>0</v>
      </c>
    </row>
    <row r="305" spans="2:11" x14ac:dyDescent="0.25">
      <c r="B305" s="139">
        <v>576520334</v>
      </c>
      <c r="C305" s="139" t="s">
        <v>116</v>
      </c>
      <c r="D305" s="142">
        <v>45481.635814166701</v>
      </c>
      <c r="E305" s="139" t="s">
        <v>793</v>
      </c>
      <c r="F305" s="162" t="s">
        <v>513</v>
      </c>
      <c r="G305" s="33" t="str">
        <f>IFERROR(INDEX([1]Positions!$A:$A,MATCH(F305,[1]Positions!$C:$C,0)),"Other")</f>
        <v>Technology</v>
      </c>
      <c r="H305" s="33" t="b">
        <f t="shared" si="8"/>
        <v>1</v>
      </c>
      <c r="I305" s="33" t="str">
        <f t="shared" si="9"/>
        <v>2024-07-08</v>
      </c>
      <c r="J305" s="148">
        <v>0</v>
      </c>
      <c r="K305" s="159" t="s">
        <v>0</v>
      </c>
    </row>
    <row r="306" spans="2:11" x14ac:dyDescent="0.25">
      <c r="B306" s="130">
        <v>576566234</v>
      </c>
      <c r="C306" s="130" t="s">
        <v>77</v>
      </c>
      <c r="D306" s="133">
        <v>45481.657729178201</v>
      </c>
      <c r="E306" s="130" t="s">
        <v>231</v>
      </c>
      <c r="F306" s="161" t="s">
        <v>514</v>
      </c>
      <c r="G306" s="33" t="str">
        <f>IFERROR(INDEX([1]Positions!$A:$A,MATCH(F306,[1]Positions!$C:$C,0)),"Other")</f>
        <v>Consumer Defensive</v>
      </c>
      <c r="H306" s="33" t="b">
        <f t="shared" si="8"/>
        <v>1</v>
      </c>
      <c r="I306" s="33" t="str">
        <f t="shared" si="9"/>
        <v>2024-07-08</v>
      </c>
      <c r="J306" s="136">
        <v>0.36</v>
      </c>
      <c r="K306" s="159" t="s">
        <v>0</v>
      </c>
    </row>
    <row r="307" spans="2:11" x14ac:dyDescent="0.25">
      <c r="B307" s="139">
        <v>576566235</v>
      </c>
      <c r="C307" s="139" t="s">
        <v>80</v>
      </c>
      <c r="D307" s="142">
        <v>45481.657729178201</v>
      </c>
      <c r="E307" s="139" t="s">
        <v>232</v>
      </c>
      <c r="F307" s="162" t="s">
        <v>514</v>
      </c>
      <c r="G307" s="33" t="str">
        <f>IFERROR(INDEX([1]Positions!$A:$A,MATCH(F307,[1]Positions!$C:$C,0)),"Other")</f>
        <v>Consumer Defensive</v>
      </c>
      <c r="H307" s="33" t="b">
        <f t="shared" si="8"/>
        <v>1</v>
      </c>
      <c r="I307" s="33" t="str">
        <f t="shared" si="9"/>
        <v>2024-07-08</v>
      </c>
      <c r="J307" s="148">
        <v>10</v>
      </c>
      <c r="K307" s="159" t="s">
        <v>0</v>
      </c>
    </row>
    <row r="308" spans="2:11" x14ac:dyDescent="0.25">
      <c r="B308" s="130">
        <v>576566602</v>
      </c>
      <c r="C308" s="130" t="s">
        <v>73</v>
      </c>
      <c r="D308" s="133">
        <v>45481.658016481502</v>
      </c>
      <c r="E308" s="130" t="s">
        <v>233</v>
      </c>
      <c r="F308" s="161" t="s">
        <v>507</v>
      </c>
      <c r="G308" s="33" t="str">
        <f>IFERROR(INDEX([1]Positions!$A:$A,MATCH(F308,[1]Positions!$C:$C,0)),"Other")</f>
        <v>Technology</v>
      </c>
      <c r="H308" s="33" t="b">
        <f t="shared" si="8"/>
        <v>1</v>
      </c>
      <c r="I308" s="33" t="str">
        <f t="shared" si="9"/>
        <v>2024-07-08</v>
      </c>
      <c r="J308" s="147">
        <v>-10</v>
      </c>
      <c r="K308" s="159" t="s">
        <v>0</v>
      </c>
    </row>
    <row r="309" spans="2:11" x14ac:dyDescent="0.25">
      <c r="B309" s="139">
        <v>576589618</v>
      </c>
      <c r="C309" s="139" t="s">
        <v>77</v>
      </c>
      <c r="D309" s="142">
        <v>45481.670220219901</v>
      </c>
      <c r="E309" s="139" t="s">
        <v>234</v>
      </c>
      <c r="F309" s="162" t="s">
        <v>515</v>
      </c>
      <c r="G309" s="33" t="str">
        <f>IFERROR(INDEX([1]Positions!$A:$A,MATCH(F309,[1]Positions!$C:$C,0)),"Other")</f>
        <v>Energy &amp; Utilities</v>
      </c>
      <c r="H309" s="33" t="b">
        <f t="shared" si="8"/>
        <v>1</v>
      </c>
      <c r="I309" s="33" t="str">
        <f t="shared" si="9"/>
        <v>2024-07-08</v>
      </c>
      <c r="J309" s="148">
        <v>0.01</v>
      </c>
      <c r="K309" s="159" t="s">
        <v>0</v>
      </c>
    </row>
    <row r="310" spans="2:11" x14ac:dyDescent="0.25">
      <c r="B310" s="130">
        <v>576589619</v>
      </c>
      <c r="C310" s="130" t="s">
        <v>80</v>
      </c>
      <c r="D310" s="133">
        <v>45481.670220219901</v>
      </c>
      <c r="E310" s="130" t="s">
        <v>235</v>
      </c>
      <c r="F310" s="161" t="s">
        <v>515</v>
      </c>
      <c r="G310" s="33" t="str">
        <f>IFERROR(INDEX([1]Positions!$A:$A,MATCH(F310,[1]Positions!$C:$C,0)),"Other")</f>
        <v>Energy &amp; Utilities</v>
      </c>
      <c r="H310" s="33" t="b">
        <f t="shared" si="8"/>
        <v>1</v>
      </c>
      <c r="I310" s="33" t="str">
        <f t="shared" si="9"/>
        <v>2024-07-08</v>
      </c>
      <c r="J310" s="136">
        <v>20.36</v>
      </c>
      <c r="K310" s="159" t="s">
        <v>0</v>
      </c>
    </row>
    <row r="311" spans="2:11" x14ac:dyDescent="0.25">
      <c r="B311" s="139">
        <v>576644568</v>
      </c>
      <c r="C311" s="139" t="s">
        <v>73</v>
      </c>
      <c r="D311" s="142">
        <v>45481.711071979204</v>
      </c>
      <c r="E311" s="139" t="s">
        <v>236</v>
      </c>
      <c r="F311" s="162" t="s">
        <v>520</v>
      </c>
      <c r="G311" s="33" t="str">
        <f>IFERROR(INDEX([1]Positions!$A:$A,MATCH(F311,[1]Positions!$C:$C,0)),"Other")</f>
        <v>MISC</v>
      </c>
      <c r="H311" s="33" t="b">
        <f t="shared" si="8"/>
        <v>1</v>
      </c>
      <c r="I311" s="33" t="str">
        <f t="shared" si="9"/>
        <v>2024-07-08</v>
      </c>
      <c r="J311" s="145">
        <v>-20.27</v>
      </c>
      <c r="K311" s="159" t="s">
        <v>0</v>
      </c>
    </row>
    <row r="312" spans="2:11" x14ac:dyDescent="0.25">
      <c r="B312" s="130">
        <v>576713365</v>
      </c>
      <c r="C312" s="130" t="s">
        <v>73</v>
      </c>
      <c r="D312" s="133">
        <v>45481.779346319403</v>
      </c>
      <c r="E312" s="130" t="s">
        <v>237</v>
      </c>
      <c r="F312" s="161" t="s">
        <v>524</v>
      </c>
      <c r="G312" s="33" t="str">
        <f>IFERROR(INDEX([1]Positions!$A:$A,MATCH(F312,[1]Positions!$C:$C,0)),"Other")</f>
        <v>Technology</v>
      </c>
      <c r="H312" s="33" t="b">
        <f t="shared" si="8"/>
        <v>1</v>
      </c>
      <c r="I312" s="33" t="str">
        <f t="shared" si="9"/>
        <v>2024-07-08</v>
      </c>
      <c r="J312" s="147">
        <v>-20.27</v>
      </c>
      <c r="K312" s="159" t="s">
        <v>0</v>
      </c>
    </row>
    <row r="313" spans="2:11" x14ac:dyDescent="0.25">
      <c r="B313" s="139">
        <v>576713073</v>
      </c>
      <c r="C313" s="139" t="s">
        <v>77</v>
      </c>
      <c r="D313" s="142">
        <v>45481.779040706002</v>
      </c>
      <c r="E313" s="139" t="s">
        <v>238</v>
      </c>
      <c r="F313" s="162" t="s">
        <v>516</v>
      </c>
      <c r="G313" s="33" t="str">
        <f>IFERROR(INDEX([1]Positions!$A:$A,MATCH(F313,[1]Positions!$C:$C,0)),"Other")</f>
        <v>Energy &amp; Utilities</v>
      </c>
      <c r="H313" s="33" t="b">
        <f t="shared" si="8"/>
        <v>1</v>
      </c>
      <c r="I313" s="33" t="str">
        <f t="shared" si="9"/>
        <v>2024-07-08</v>
      </c>
      <c r="J313" s="145">
        <v>-0.18</v>
      </c>
      <c r="K313" s="159" t="s">
        <v>0</v>
      </c>
    </row>
    <row r="314" spans="2:11" x14ac:dyDescent="0.25">
      <c r="B314" s="130">
        <v>576713074</v>
      </c>
      <c r="C314" s="130" t="s">
        <v>80</v>
      </c>
      <c r="D314" s="133">
        <v>45481.779040706002</v>
      </c>
      <c r="E314" s="130" t="s">
        <v>239</v>
      </c>
      <c r="F314" s="161" t="s">
        <v>516</v>
      </c>
      <c r="G314" s="33" t="str">
        <f>IFERROR(INDEX([1]Positions!$A:$A,MATCH(F314,[1]Positions!$C:$C,0)),"Other")</f>
        <v>Energy &amp; Utilities</v>
      </c>
      <c r="H314" s="33" t="b">
        <f t="shared" si="8"/>
        <v>1</v>
      </c>
      <c r="I314" s="33" t="str">
        <f t="shared" si="9"/>
        <v>2024-07-08</v>
      </c>
      <c r="J314" s="136">
        <v>20</v>
      </c>
      <c r="K314" s="159" t="s">
        <v>0</v>
      </c>
    </row>
    <row r="315" spans="2:11" x14ac:dyDescent="0.25">
      <c r="B315" s="139">
        <v>576730639</v>
      </c>
      <c r="C315" s="139" t="s">
        <v>77</v>
      </c>
      <c r="D315" s="142">
        <v>45481.812057106501</v>
      </c>
      <c r="E315" s="139" t="s">
        <v>240</v>
      </c>
      <c r="F315" s="162" t="s">
        <v>513</v>
      </c>
      <c r="G315" s="33" t="str">
        <f>IFERROR(INDEX([1]Positions!$A:$A,MATCH(F315,[1]Positions!$C:$C,0)),"Other")</f>
        <v>Technology</v>
      </c>
      <c r="H315" s="33" t="b">
        <f t="shared" si="8"/>
        <v>1</v>
      </c>
      <c r="I315" s="33" t="str">
        <f t="shared" si="9"/>
        <v>2024-07-08</v>
      </c>
      <c r="J315" s="148">
        <v>0.39</v>
      </c>
      <c r="K315" s="159" t="s">
        <v>0</v>
      </c>
    </row>
    <row r="316" spans="2:11" x14ac:dyDescent="0.25">
      <c r="B316" s="130">
        <v>576730640</v>
      </c>
      <c r="C316" s="130" t="s">
        <v>80</v>
      </c>
      <c r="D316" s="133">
        <v>45481.812057106501</v>
      </c>
      <c r="E316" s="130" t="s">
        <v>241</v>
      </c>
      <c r="F316" s="161" t="s">
        <v>513</v>
      </c>
      <c r="G316" s="33" t="str">
        <f>IFERROR(INDEX([1]Positions!$A:$A,MATCH(F316,[1]Positions!$C:$C,0)),"Other")</f>
        <v>Technology</v>
      </c>
      <c r="H316" s="33" t="b">
        <f t="shared" si="8"/>
        <v>1</v>
      </c>
      <c r="I316" s="33" t="str">
        <f t="shared" si="9"/>
        <v>2024-07-08</v>
      </c>
      <c r="J316" s="136">
        <v>19.940000000000001</v>
      </c>
      <c r="K316" s="159" t="s">
        <v>0</v>
      </c>
    </row>
    <row r="317" spans="2:11" x14ac:dyDescent="0.25">
      <c r="B317" s="139">
        <v>576738618</v>
      </c>
      <c r="C317" s="139" t="s">
        <v>77</v>
      </c>
      <c r="D317" s="142">
        <v>45481.8263175463</v>
      </c>
      <c r="E317" s="139" t="s">
        <v>242</v>
      </c>
      <c r="F317" s="162" t="s">
        <v>517</v>
      </c>
      <c r="G317" s="33" t="str">
        <f>IFERROR(INDEX([1]Positions!$A:$A,MATCH(F317,[1]Positions!$C:$C,0)),"Other")</f>
        <v>Technology</v>
      </c>
      <c r="H317" s="33" t="b">
        <f t="shared" si="8"/>
        <v>1</v>
      </c>
      <c r="I317" s="33" t="str">
        <f t="shared" si="9"/>
        <v>2024-07-08</v>
      </c>
      <c r="J317" s="148">
        <v>7.0000000000000007E-2</v>
      </c>
      <c r="K317" s="159" t="s">
        <v>0</v>
      </c>
    </row>
    <row r="318" spans="2:11" x14ac:dyDescent="0.25">
      <c r="B318" s="130">
        <v>576738619</v>
      </c>
      <c r="C318" s="130" t="s">
        <v>80</v>
      </c>
      <c r="D318" s="133">
        <v>45481.8263175463</v>
      </c>
      <c r="E318" s="130" t="s">
        <v>243</v>
      </c>
      <c r="F318" s="161" t="s">
        <v>517</v>
      </c>
      <c r="G318" s="33" t="str">
        <f>IFERROR(INDEX([1]Positions!$A:$A,MATCH(F318,[1]Positions!$C:$C,0)),"Other")</f>
        <v>Technology</v>
      </c>
      <c r="H318" s="33" t="b">
        <f t="shared" si="8"/>
        <v>1</v>
      </c>
      <c r="I318" s="33" t="str">
        <f t="shared" si="9"/>
        <v>2024-07-08</v>
      </c>
      <c r="J318" s="136">
        <v>19.829999999999998</v>
      </c>
      <c r="K318" s="159" t="s">
        <v>0</v>
      </c>
    </row>
    <row r="319" spans="2:11" x14ac:dyDescent="0.25">
      <c r="B319" s="139">
        <v>576740764</v>
      </c>
      <c r="C319" s="139" t="s">
        <v>73</v>
      </c>
      <c r="D319" s="142">
        <v>45481.831282442101</v>
      </c>
      <c r="E319" s="139" t="s">
        <v>244</v>
      </c>
      <c r="F319" s="162" t="s">
        <v>513</v>
      </c>
      <c r="G319" s="33" t="str">
        <f>IFERROR(INDEX([1]Positions!$A:$A,MATCH(F319,[1]Positions!$C:$C,0)),"Other")</f>
        <v>Technology</v>
      </c>
      <c r="H319" s="33" t="b">
        <f t="shared" si="8"/>
        <v>1</v>
      </c>
      <c r="I319" s="33" t="str">
        <f t="shared" si="9"/>
        <v>2024-07-08</v>
      </c>
      <c r="J319" s="145">
        <v>-20.309999999999999</v>
      </c>
      <c r="K319" s="159" t="s">
        <v>0</v>
      </c>
    </row>
    <row r="320" spans="2:11" x14ac:dyDescent="0.25">
      <c r="B320" s="130">
        <v>577175969</v>
      </c>
      <c r="C320" s="130" t="s">
        <v>116</v>
      </c>
      <c r="D320" s="133">
        <v>45482.648599259301</v>
      </c>
      <c r="E320" s="130" t="s">
        <v>794</v>
      </c>
      <c r="F320" s="161" t="s">
        <v>517</v>
      </c>
      <c r="G320" s="33" t="str">
        <f>IFERROR(INDEX([1]Positions!$A:$A,MATCH(F320,[1]Positions!$C:$C,0)),"Other")</f>
        <v>Technology</v>
      </c>
      <c r="H320" s="33" t="b">
        <f t="shared" si="8"/>
        <v>1</v>
      </c>
      <c r="I320" s="33" t="str">
        <f t="shared" si="9"/>
        <v>2024-07-09</v>
      </c>
      <c r="J320" s="136">
        <v>0</v>
      </c>
      <c r="K320" s="159" t="s">
        <v>0</v>
      </c>
    </row>
    <row r="321" spans="2:11" x14ac:dyDescent="0.25">
      <c r="B321" s="139">
        <v>577186491</v>
      </c>
      <c r="C321" s="139" t="s">
        <v>116</v>
      </c>
      <c r="D321" s="142">
        <v>45482.652306759301</v>
      </c>
      <c r="E321" s="139" t="s">
        <v>795</v>
      </c>
      <c r="F321" s="162" t="s">
        <v>516</v>
      </c>
      <c r="G321" s="33" t="str">
        <f>IFERROR(INDEX([1]Positions!$A:$A,MATCH(F321,[1]Positions!$C:$C,0)),"Other")</f>
        <v>Energy &amp; Utilities</v>
      </c>
      <c r="H321" s="33" t="b">
        <f t="shared" si="8"/>
        <v>1</v>
      </c>
      <c r="I321" s="33" t="str">
        <f t="shared" si="9"/>
        <v>2024-07-09</v>
      </c>
      <c r="J321" s="148">
        <v>0</v>
      </c>
      <c r="K321" s="159" t="s">
        <v>0</v>
      </c>
    </row>
    <row r="322" spans="2:11" x14ac:dyDescent="0.25">
      <c r="B322" s="130">
        <v>577186824</v>
      </c>
      <c r="C322" s="130" t="s">
        <v>116</v>
      </c>
      <c r="D322" s="133">
        <v>45482.652503518497</v>
      </c>
      <c r="E322" s="130" t="s">
        <v>796</v>
      </c>
      <c r="F322" s="161" t="s">
        <v>514</v>
      </c>
      <c r="G322" s="33" t="str">
        <f>IFERROR(INDEX([1]Positions!$A:$A,MATCH(F322,[1]Positions!$C:$C,0)),"Other")</f>
        <v>Consumer Defensive</v>
      </c>
      <c r="H322" s="33" t="b">
        <f t="shared" si="8"/>
        <v>1</v>
      </c>
      <c r="I322" s="33" t="str">
        <f t="shared" si="9"/>
        <v>2024-07-09</v>
      </c>
      <c r="J322" s="136">
        <v>0</v>
      </c>
      <c r="K322" s="159" t="s">
        <v>0</v>
      </c>
    </row>
    <row r="323" spans="2:11" x14ac:dyDescent="0.25">
      <c r="B323" s="139">
        <v>577204395</v>
      </c>
      <c r="C323" s="139" t="s">
        <v>116</v>
      </c>
      <c r="D323" s="142">
        <v>45482.661068043999</v>
      </c>
      <c r="E323" s="139" t="s">
        <v>797</v>
      </c>
      <c r="F323" s="162" t="s">
        <v>513</v>
      </c>
      <c r="G323" s="33" t="str">
        <f>IFERROR(INDEX([1]Positions!$A:$A,MATCH(F323,[1]Positions!$C:$C,0)),"Other")</f>
        <v>Technology</v>
      </c>
      <c r="H323" s="33" t="b">
        <f t="shared" si="8"/>
        <v>1</v>
      </c>
      <c r="I323" s="33" t="str">
        <f t="shared" si="9"/>
        <v>2024-07-09</v>
      </c>
      <c r="J323" s="148">
        <v>0</v>
      </c>
      <c r="K323" s="159" t="s">
        <v>0</v>
      </c>
    </row>
    <row r="324" spans="2:11" x14ac:dyDescent="0.25">
      <c r="B324" s="130">
        <v>577197569</v>
      </c>
      <c r="C324" s="130" t="s">
        <v>116</v>
      </c>
      <c r="D324" s="133">
        <v>45482.657559039399</v>
      </c>
      <c r="E324" s="130" t="s">
        <v>798</v>
      </c>
      <c r="F324" s="161" t="s">
        <v>515</v>
      </c>
      <c r="G324" s="33" t="str">
        <f>IFERROR(INDEX([1]Positions!$A:$A,MATCH(F324,[1]Positions!$C:$C,0)),"Other")</f>
        <v>Energy &amp; Utilities</v>
      </c>
      <c r="H324" s="33" t="b">
        <f t="shared" si="8"/>
        <v>1</v>
      </c>
      <c r="I324" s="33" t="str">
        <f t="shared" si="9"/>
        <v>2024-07-09</v>
      </c>
      <c r="J324" s="136">
        <v>0</v>
      </c>
      <c r="K324" s="159" t="s">
        <v>0</v>
      </c>
    </row>
    <row r="325" spans="2:11" x14ac:dyDescent="0.25">
      <c r="B325" s="139">
        <v>577298495</v>
      </c>
      <c r="C325" s="139" t="s">
        <v>73</v>
      </c>
      <c r="D325" s="142">
        <v>45482.712945601903</v>
      </c>
      <c r="E325" s="139" t="s">
        <v>245</v>
      </c>
      <c r="F325" s="162" t="s">
        <v>60</v>
      </c>
      <c r="G325" s="33" t="str">
        <f>IFERROR(INDEX([1]Positions!$A:$A,MATCH(F325,[1]Positions!$C:$C,0)),"Other")</f>
        <v>ETF</v>
      </c>
      <c r="H325" s="33" t="b">
        <f t="shared" si="8"/>
        <v>1</v>
      </c>
      <c r="I325" s="33" t="str">
        <f t="shared" si="9"/>
        <v>2024-07-09</v>
      </c>
      <c r="J325" s="145">
        <v>-20.58</v>
      </c>
      <c r="K325" s="159" t="s">
        <v>0</v>
      </c>
    </row>
    <row r="326" spans="2:11" x14ac:dyDescent="0.25">
      <c r="B326" s="130">
        <v>577299140</v>
      </c>
      <c r="C326" s="130" t="s">
        <v>73</v>
      </c>
      <c r="D326" s="133">
        <v>45482.713720972199</v>
      </c>
      <c r="E326" s="130" t="s">
        <v>246</v>
      </c>
      <c r="F326" s="161" t="s">
        <v>528</v>
      </c>
      <c r="G326" s="33" t="str">
        <f>IFERROR(INDEX([1]Positions!$A:$A,MATCH(F326,[1]Positions!$C:$C,0)),"Other")</f>
        <v>Technology</v>
      </c>
      <c r="H326" s="33" t="b">
        <f t="shared" si="8"/>
        <v>1</v>
      </c>
      <c r="I326" s="33" t="str">
        <f t="shared" si="9"/>
        <v>2024-07-09</v>
      </c>
      <c r="J326" s="147">
        <v>-14.99</v>
      </c>
      <c r="K326" s="159" t="s">
        <v>0</v>
      </c>
    </row>
    <row r="327" spans="2:11" x14ac:dyDescent="0.25">
      <c r="B327" s="139">
        <v>577298781</v>
      </c>
      <c r="C327" s="139" t="s">
        <v>77</v>
      </c>
      <c r="D327" s="142">
        <v>45482.7132670602</v>
      </c>
      <c r="E327" s="139" t="s">
        <v>247</v>
      </c>
      <c r="F327" s="162" t="s">
        <v>518</v>
      </c>
      <c r="G327" s="33" t="str">
        <f>IFERROR(INDEX([1]Positions!$A:$A,MATCH(F327,[1]Positions!$C:$C,0)),"Other")</f>
        <v>MISC</v>
      </c>
      <c r="H327" s="33" t="b">
        <f t="shared" si="8"/>
        <v>1</v>
      </c>
      <c r="I327" s="33" t="str">
        <f t="shared" si="9"/>
        <v>2024-07-09</v>
      </c>
      <c r="J327" s="145">
        <v>-4.2699999999999996</v>
      </c>
      <c r="K327" s="159" t="s">
        <v>0</v>
      </c>
    </row>
    <row r="328" spans="2:11" x14ac:dyDescent="0.25">
      <c r="B328" s="130">
        <v>577298782</v>
      </c>
      <c r="C328" s="130" t="s">
        <v>80</v>
      </c>
      <c r="D328" s="133">
        <v>45482.7132670602</v>
      </c>
      <c r="E328" s="130" t="s">
        <v>248</v>
      </c>
      <c r="F328" s="161" t="s">
        <v>518</v>
      </c>
      <c r="G328" s="33" t="str">
        <f>IFERROR(INDEX([1]Positions!$A:$A,MATCH(F328,[1]Positions!$C:$C,0)),"Other")</f>
        <v>MISC</v>
      </c>
      <c r="H328" s="33" t="b">
        <f t="shared" si="8"/>
        <v>1</v>
      </c>
      <c r="I328" s="33" t="str">
        <f t="shared" si="9"/>
        <v>2024-07-09</v>
      </c>
      <c r="J328" s="136">
        <v>22.89</v>
      </c>
      <c r="K328" s="159" t="s">
        <v>0</v>
      </c>
    </row>
    <row r="329" spans="2:11" x14ac:dyDescent="0.25">
      <c r="B329" s="139">
        <v>577321581</v>
      </c>
      <c r="C329" s="139" t="s">
        <v>77</v>
      </c>
      <c r="D329" s="142">
        <v>45482.729964907398</v>
      </c>
      <c r="E329" s="139" t="s">
        <v>240</v>
      </c>
      <c r="F329" s="162" t="s">
        <v>513</v>
      </c>
      <c r="G329" s="33" t="str">
        <f>IFERROR(INDEX([1]Positions!$A:$A,MATCH(F329,[1]Positions!$C:$C,0)),"Other")</f>
        <v>Technology</v>
      </c>
      <c r="H329" s="33" t="b">
        <f t="shared" si="8"/>
        <v>1</v>
      </c>
      <c r="I329" s="33" t="str">
        <f t="shared" si="9"/>
        <v>2024-07-09</v>
      </c>
      <c r="J329" s="148">
        <v>0</v>
      </c>
      <c r="K329" s="159" t="s">
        <v>0</v>
      </c>
    </row>
    <row r="330" spans="2:11" x14ac:dyDescent="0.25">
      <c r="B330" s="130">
        <v>577321582</v>
      </c>
      <c r="C330" s="130" t="s">
        <v>80</v>
      </c>
      <c r="D330" s="133">
        <v>45482.729964919003</v>
      </c>
      <c r="E330" s="130" t="s">
        <v>249</v>
      </c>
      <c r="F330" s="161" t="s">
        <v>513</v>
      </c>
      <c r="G330" s="33" t="str">
        <f>IFERROR(INDEX([1]Positions!$A:$A,MATCH(F330,[1]Positions!$C:$C,0)),"Other")</f>
        <v>Technology</v>
      </c>
      <c r="H330" s="33" t="b">
        <f t="shared" si="8"/>
        <v>1</v>
      </c>
      <c r="I330" s="33" t="str">
        <f t="shared" si="9"/>
        <v>2024-07-09</v>
      </c>
      <c r="J330" s="136">
        <v>0.26</v>
      </c>
      <c r="K330" s="159" t="s">
        <v>0</v>
      </c>
    </row>
    <row r="331" spans="2:11" x14ac:dyDescent="0.25">
      <c r="B331" s="139">
        <v>577321583</v>
      </c>
      <c r="C331" s="139" t="s">
        <v>77</v>
      </c>
      <c r="D331" s="142">
        <v>45482.729964919003</v>
      </c>
      <c r="E331" s="139" t="s">
        <v>250</v>
      </c>
      <c r="F331" s="162" t="s">
        <v>513</v>
      </c>
      <c r="G331" s="33" t="str">
        <f>IFERROR(INDEX([1]Positions!$A:$A,MATCH(F331,[1]Positions!$C:$C,0)),"Other")</f>
        <v>Technology</v>
      </c>
      <c r="H331" s="33" t="b">
        <f t="shared" si="8"/>
        <v>1</v>
      </c>
      <c r="I331" s="33" t="str">
        <f t="shared" si="9"/>
        <v>2024-07-09</v>
      </c>
      <c r="J331" s="145">
        <v>-0.39</v>
      </c>
      <c r="K331" s="159" t="s">
        <v>0</v>
      </c>
    </row>
    <row r="332" spans="2:11" x14ac:dyDescent="0.25">
      <c r="B332" s="130">
        <v>577321584</v>
      </c>
      <c r="C332" s="130" t="s">
        <v>80</v>
      </c>
      <c r="D332" s="133">
        <v>45482.729964919003</v>
      </c>
      <c r="E332" s="130" t="s">
        <v>251</v>
      </c>
      <c r="F332" s="161" t="s">
        <v>513</v>
      </c>
      <c r="G332" s="33" t="str">
        <f>IFERROR(INDEX([1]Positions!$A:$A,MATCH(F332,[1]Positions!$C:$C,0)),"Other")</f>
        <v>Technology</v>
      </c>
      <c r="H332" s="33" t="b">
        <f t="shared" ref="H332:H395" si="10">ISNUMBER(D332)</f>
        <v>1</v>
      </c>
      <c r="I332" s="33" t="str">
        <f t="shared" ref="I332:I395" si="11">TEXT(D332,"YYYY-MM-DD")</f>
        <v>2024-07-09</v>
      </c>
      <c r="J332" s="136">
        <v>20.100000000000001</v>
      </c>
      <c r="K332" s="159" t="s">
        <v>0</v>
      </c>
    </row>
    <row r="333" spans="2:11" x14ac:dyDescent="0.25">
      <c r="B333" s="139">
        <v>577413102</v>
      </c>
      <c r="C333" s="139" t="s">
        <v>77</v>
      </c>
      <c r="D333" s="142">
        <v>45482.864656331003</v>
      </c>
      <c r="E333" s="139" t="s">
        <v>252</v>
      </c>
      <c r="F333" s="162" t="s">
        <v>507</v>
      </c>
      <c r="G333" s="33" t="str">
        <f>IFERROR(INDEX([1]Positions!$A:$A,MATCH(F333,[1]Positions!$C:$C,0)),"Other")</f>
        <v>Technology</v>
      </c>
      <c r="H333" s="33" t="b">
        <f t="shared" si="10"/>
        <v>1</v>
      </c>
      <c r="I333" s="33" t="str">
        <f t="shared" si="11"/>
        <v>2024-07-09</v>
      </c>
      <c r="J333" s="148">
        <v>0.09</v>
      </c>
      <c r="K333" s="159" t="s">
        <v>0</v>
      </c>
    </row>
    <row r="334" spans="2:11" x14ac:dyDescent="0.25">
      <c r="B334" s="130">
        <v>577413103</v>
      </c>
      <c r="C334" s="130" t="s">
        <v>80</v>
      </c>
      <c r="D334" s="133">
        <v>45482.864656331003</v>
      </c>
      <c r="E334" s="130" t="s">
        <v>253</v>
      </c>
      <c r="F334" s="161" t="s">
        <v>507</v>
      </c>
      <c r="G334" s="33" t="str">
        <f>IFERROR(INDEX([1]Positions!$A:$A,MATCH(F334,[1]Positions!$C:$C,0)),"Other")</f>
        <v>Technology</v>
      </c>
      <c r="H334" s="33" t="b">
        <f t="shared" si="10"/>
        <v>1</v>
      </c>
      <c r="I334" s="33" t="str">
        <f t="shared" si="11"/>
        <v>2024-07-09</v>
      </c>
      <c r="J334" s="136">
        <v>9.99</v>
      </c>
      <c r="K334" s="159" t="s">
        <v>0</v>
      </c>
    </row>
    <row r="335" spans="2:11" x14ac:dyDescent="0.25">
      <c r="B335" s="139">
        <v>577432430</v>
      </c>
      <c r="C335" s="139" t="s">
        <v>73</v>
      </c>
      <c r="D335" s="142">
        <v>45482.9158128009</v>
      </c>
      <c r="E335" s="139" t="s">
        <v>254</v>
      </c>
      <c r="F335" s="162" t="s">
        <v>507</v>
      </c>
      <c r="G335" s="33" t="str">
        <f>IFERROR(INDEX([1]Positions!$A:$A,MATCH(F335,[1]Positions!$C:$C,0)),"Other")</f>
        <v>Technology</v>
      </c>
      <c r="H335" s="33" t="b">
        <f t="shared" si="10"/>
        <v>1</v>
      </c>
      <c r="I335" s="33" t="str">
        <f t="shared" si="11"/>
        <v>2024-07-09</v>
      </c>
      <c r="J335" s="145">
        <v>-19.98</v>
      </c>
      <c r="K335" s="159" t="s">
        <v>0</v>
      </c>
    </row>
    <row r="336" spans="2:11" x14ac:dyDescent="0.25">
      <c r="B336" s="130">
        <v>577431994</v>
      </c>
      <c r="C336" s="130" t="s">
        <v>77</v>
      </c>
      <c r="D336" s="133">
        <v>45482.915065011599</v>
      </c>
      <c r="E336" s="130" t="s">
        <v>250</v>
      </c>
      <c r="F336" s="161" t="s">
        <v>513</v>
      </c>
      <c r="G336" s="33" t="str">
        <f>IFERROR(INDEX([1]Positions!$A:$A,MATCH(F336,[1]Positions!$C:$C,0)),"Other")</f>
        <v>Technology</v>
      </c>
      <c r="H336" s="33" t="b">
        <f t="shared" si="10"/>
        <v>1</v>
      </c>
      <c r="I336" s="33" t="str">
        <f t="shared" si="11"/>
        <v>2024-07-09</v>
      </c>
      <c r="J336" s="147">
        <v>-0.01</v>
      </c>
      <c r="K336" s="159" t="s">
        <v>0</v>
      </c>
    </row>
    <row r="337" spans="2:11" x14ac:dyDescent="0.25">
      <c r="B337" s="139">
        <v>577431995</v>
      </c>
      <c r="C337" s="139" t="s">
        <v>80</v>
      </c>
      <c r="D337" s="142">
        <v>45482.915065011599</v>
      </c>
      <c r="E337" s="139" t="s">
        <v>255</v>
      </c>
      <c r="F337" s="162" t="s">
        <v>513</v>
      </c>
      <c r="G337" s="33" t="str">
        <f>IFERROR(INDEX([1]Positions!$A:$A,MATCH(F337,[1]Positions!$C:$C,0)),"Other")</f>
        <v>Technology</v>
      </c>
      <c r="H337" s="33" t="b">
        <f t="shared" si="10"/>
        <v>1</v>
      </c>
      <c r="I337" s="33" t="str">
        <f t="shared" si="11"/>
        <v>2024-07-09</v>
      </c>
      <c r="J337" s="148">
        <v>0.21</v>
      </c>
      <c r="K337" s="159" t="s">
        <v>0</v>
      </c>
    </row>
    <row r="338" spans="2:11" x14ac:dyDescent="0.25">
      <c r="B338" s="130">
        <v>577431928</v>
      </c>
      <c r="C338" s="130" t="s">
        <v>77</v>
      </c>
      <c r="D338" s="133">
        <v>45482.915005833303</v>
      </c>
      <c r="E338" s="130" t="s">
        <v>252</v>
      </c>
      <c r="F338" s="161" t="s">
        <v>507</v>
      </c>
      <c r="G338" s="33" t="str">
        <f>IFERROR(INDEX([1]Positions!$A:$A,MATCH(F338,[1]Positions!$C:$C,0)),"Other")</f>
        <v>Technology</v>
      </c>
      <c r="H338" s="33" t="b">
        <f t="shared" si="10"/>
        <v>1</v>
      </c>
      <c r="I338" s="33" t="str">
        <f t="shared" si="11"/>
        <v>2024-07-09</v>
      </c>
      <c r="J338" s="136">
        <v>0</v>
      </c>
      <c r="K338" s="159" t="s">
        <v>0</v>
      </c>
    </row>
    <row r="339" spans="2:11" x14ac:dyDescent="0.25">
      <c r="B339" s="139">
        <v>577431929</v>
      </c>
      <c r="C339" s="139" t="s">
        <v>80</v>
      </c>
      <c r="D339" s="142">
        <v>45482.915005833303</v>
      </c>
      <c r="E339" s="139" t="s">
        <v>256</v>
      </c>
      <c r="F339" s="162" t="s">
        <v>507</v>
      </c>
      <c r="G339" s="33" t="str">
        <f>IFERROR(INDEX([1]Positions!$A:$A,MATCH(F339,[1]Positions!$C:$C,0)),"Other")</f>
        <v>Technology</v>
      </c>
      <c r="H339" s="33" t="b">
        <f t="shared" si="10"/>
        <v>1</v>
      </c>
      <c r="I339" s="33" t="str">
        <f t="shared" si="11"/>
        <v>2024-07-09</v>
      </c>
      <c r="J339" s="148">
        <v>0.01</v>
      </c>
      <c r="K339" s="159" t="s">
        <v>0</v>
      </c>
    </row>
    <row r="340" spans="2:11" x14ac:dyDescent="0.25">
      <c r="B340" s="130">
        <v>577964887</v>
      </c>
      <c r="C340" s="130" t="s">
        <v>116</v>
      </c>
      <c r="D340" s="133">
        <v>45483.709260752301</v>
      </c>
      <c r="E340" s="130" t="s">
        <v>799</v>
      </c>
      <c r="F340" s="161" t="s">
        <v>513</v>
      </c>
      <c r="G340" s="33" t="str">
        <f>IFERROR(INDEX([1]Positions!$A:$A,MATCH(F340,[1]Positions!$C:$C,0)),"Other")</f>
        <v>Technology</v>
      </c>
      <c r="H340" s="33" t="b">
        <f t="shared" si="10"/>
        <v>1</v>
      </c>
      <c r="I340" s="33" t="str">
        <f t="shared" si="11"/>
        <v>2024-07-10</v>
      </c>
      <c r="J340" s="136">
        <v>0</v>
      </c>
      <c r="K340" s="159" t="s">
        <v>0</v>
      </c>
    </row>
    <row r="341" spans="2:11" x14ac:dyDescent="0.25">
      <c r="B341" s="139">
        <v>577968836</v>
      </c>
      <c r="C341" s="139" t="s">
        <v>116</v>
      </c>
      <c r="D341" s="142">
        <v>45483.7113193634</v>
      </c>
      <c r="E341" s="139" t="s">
        <v>800</v>
      </c>
      <c r="F341" s="162" t="s">
        <v>518</v>
      </c>
      <c r="G341" s="33" t="str">
        <f>IFERROR(INDEX([1]Positions!$A:$A,MATCH(F341,[1]Positions!$C:$C,0)),"Other")</f>
        <v>MISC</v>
      </c>
      <c r="H341" s="33" t="b">
        <f t="shared" si="10"/>
        <v>1</v>
      </c>
      <c r="I341" s="33" t="str">
        <f t="shared" si="11"/>
        <v>2024-07-10</v>
      </c>
      <c r="J341" s="145">
        <v>-0.01</v>
      </c>
      <c r="K341" s="159" t="s">
        <v>0</v>
      </c>
    </row>
    <row r="342" spans="2:11" x14ac:dyDescent="0.25">
      <c r="B342" s="130">
        <v>577972563</v>
      </c>
      <c r="C342" s="130" t="s">
        <v>116</v>
      </c>
      <c r="D342" s="133">
        <v>45483.714046030102</v>
      </c>
      <c r="E342" s="130" t="s">
        <v>801</v>
      </c>
      <c r="F342" s="161" t="s">
        <v>507</v>
      </c>
      <c r="G342" s="33" t="str">
        <f>IFERROR(INDEX([1]Positions!$A:$A,MATCH(F342,[1]Positions!$C:$C,0)),"Other")</f>
        <v>Technology</v>
      </c>
      <c r="H342" s="33" t="b">
        <f t="shared" si="10"/>
        <v>1</v>
      </c>
      <c r="I342" s="33" t="str">
        <f t="shared" si="11"/>
        <v>2024-07-10</v>
      </c>
      <c r="J342" s="136">
        <v>0</v>
      </c>
      <c r="K342" s="159" t="s">
        <v>0</v>
      </c>
    </row>
    <row r="343" spans="2:11" x14ac:dyDescent="0.25">
      <c r="B343" s="139">
        <v>578026861</v>
      </c>
      <c r="C343" s="139" t="s">
        <v>77</v>
      </c>
      <c r="D343" s="142">
        <v>45483.779087650502</v>
      </c>
      <c r="E343" s="139" t="s">
        <v>242</v>
      </c>
      <c r="F343" s="162" t="s">
        <v>517</v>
      </c>
      <c r="G343" s="33" t="str">
        <f>IFERROR(INDEX([1]Positions!$A:$A,MATCH(F343,[1]Positions!$C:$C,0)),"Other")</f>
        <v>Technology</v>
      </c>
      <c r="H343" s="33" t="b">
        <f t="shared" si="10"/>
        <v>1</v>
      </c>
      <c r="I343" s="33" t="str">
        <f t="shared" si="11"/>
        <v>2024-07-10</v>
      </c>
      <c r="J343" s="148">
        <v>0</v>
      </c>
      <c r="K343" s="159" t="s">
        <v>0</v>
      </c>
    </row>
    <row r="344" spans="2:11" x14ac:dyDescent="0.25">
      <c r="B344" s="130">
        <v>578026862</v>
      </c>
      <c r="C344" s="130" t="s">
        <v>80</v>
      </c>
      <c r="D344" s="133">
        <v>45483.779087650502</v>
      </c>
      <c r="E344" s="130" t="s">
        <v>257</v>
      </c>
      <c r="F344" s="161" t="s">
        <v>517</v>
      </c>
      <c r="G344" s="33" t="str">
        <f>IFERROR(INDEX([1]Positions!$A:$A,MATCH(F344,[1]Positions!$C:$C,0)),"Other")</f>
        <v>Technology</v>
      </c>
      <c r="H344" s="33" t="b">
        <f t="shared" si="10"/>
        <v>1</v>
      </c>
      <c r="I344" s="33" t="str">
        <f t="shared" si="11"/>
        <v>2024-07-10</v>
      </c>
      <c r="J344" s="136">
        <v>0.49</v>
      </c>
      <c r="K344" s="159" t="s">
        <v>0</v>
      </c>
    </row>
    <row r="345" spans="2:11" x14ac:dyDescent="0.25">
      <c r="B345" s="139">
        <v>578026598</v>
      </c>
      <c r="C345" s="139" t="s">
        <v>77</v>
      </c>
      <c r="D345" s="142">
        <v>45483.778784861097</v>
      </c>
      <c r="E345" s="139" t="s">
        <v>258</v>
      </c>
      <c r="F345" s="162" t="s">
        <v>519</v>
      </c>
      <c r="G345" s="33" t="str">
        <f>IFERROR(INDEX([1]Positions!$A:$A,MATCH(F345,[1]Positions!$C:$C,0)),"Other")</f>
        <v>MISC</v>
      </c>
      <c r="H345" s="33" t="b">
        <f t="shared" si="10"/>
        <v>1</v>
      </c>
      <c r="I345" s="33" t="str">
        <f t="shared" si="11"/>
        <v>2024-07-10</v>
      </c>
      <c r="J345" s="145">
        <v>-0.2</v>
      </c>
      <c r="K345" s="159" t="s">
        <v>0</v>
      </c>
    </row>
    <row r="346" spans="2:11" x14ac:dyDescent="0.25">
      <c r="B346" s="130">
        <v>578026599</v>
      </c>
      <c r="C346" s="130" t="s">
        <v>80</v>
      </c>
      <c r="D346" s="133">
        <v>45483.778784861097</v>
      </c>
      <c r="E346" s="130" t="s">
        <v>259</v>
      </c>
      <c r="F346" s="161" t="s">
        <v>519</v>
      </c>
      <c r="G346" s="33" t="str">
        <f>IFERROR(INDEX([1]Positions!$A:$A,MATCH(F346,[1]Positions!$C:$C,0)),"Other")</f>
        <v>MISC</v>
      </c>
      <c r="H346" s="33" t="b">
        <f t="shared" si="10"/>
        <v>1</v>
      </c>
      <c r="I346" s="33" t="str">
        <f t="shared" si="11"/>
        <v>2024-07-10</v>
      </c>
      <c r="J346" s="136">
        <v>20.22</v>
      </c>
      <c r="K346" s="159" t="s">
        <v>0</v>
      </c>
    </row>
    <row r="347" spans="2:11" x14ac:dyDescent="0.25">
      <c r="B347" s="139">
        <v>578026789</v>
      </c>
      <c r="C347" s="139" t="s">
        <v>77</v>
      </c>
      <c r="D347" s="142">
        <v>45483.778973205997</v>
      </c>
      <c r="E347" s="139" t="s">
        <v>258</v>
      </c>
      <c r="F347" s="162" t="s">
        <v>519</v>
      </c>
      <c r="G347" s="33" t="str">
        <f>IFERROR(INDEX([1]Positions!$A:$A,MATCH(F347,[1]Positions!$C:$C,0)),"Other")</f>
        <v>MISC</v>
      </c>
      <c r="H347" s="33" t="b">
        <f t="shared" si="10"/>
        <v>1</v>
      </c>
      <c r="I347" s="33" t="str">
        <f t="shared" si="11"/>
        <v>2024-07-10</v>
      </c>
      <c r="J347" s="148">
        <v>0</v>
      </c>
      <c r="K347" s="159" t="s">
        <v>0</v>
      </c>
    </row>
    <row r="348" spans="2:11" x14ac:dyDescent="0.25">
      <c r="B348" s="130">
        <v>578026790</v>
      </c>
      <c r="C348" s="130" t="s">
        <v>80</v>
      </c>
      <c r="D348" s="133">
        <v>45483.778973205997</v>
      </c>
      <c r="E348" s="130" t="s">
        <v>260</v>
      </c>
      <c r="F348" s="161" t="s">
        <v>519</v>
      </c>
      <c r="G348" s="33" t="str">
        <f>IFERROR(INDEX([1]Positions!$A:$A,MATCH(F348,[1]Positions!$C:$C,0)),"Other")</f>
        <v>MISC</v>
      </c>
      <c r="H348" s="33" t="b">
        <f t="shared" si="10"/>
        <v>1</v>
      </c>
      <c r="I348" s="33" t="str">
        <f t="shared" si="11"/>
        <v>2024-07-10</v>
      </c>
      <c r="J348" s="136">
        <v>0.01</v>
      </c>
      <c r="K348" s="159" t="s">
        <v>0</v>
      </c>
    </row>
    <row r="349" spans="2:11" x14ac:dyDescent="0.25">
      <c r="B349" s="139">
        <v>578032273</v>
      </c>
      <c r="C349" s="139" t="s">
        <v>73</v>
      </c>
      <c r="D349" s="142">
        <v>45483.787147789299</v>
      </c>
      <c r="E349" s="139" t="s">
        <v>261</v>
      </c>
      <c r="F349" s="162" t="s">
        <v>517</v>
      </c>
      <c r="G349" s="33" t="str">
        <f>IFERROR(INDEX([1]Positions!$A:$A,MATCH(F349,[1]Positions!$C:$C,0)),"Other")</f>
        <v>Technology</v>
      </c>
      <c r="H349" s="33" t="b">
        <f t="shared" si="10"/>
        <v>1</v>
      </c>
      <c r="I349" s="33" t="str">
        <f t="shared" si="11"/>
        <v>2024-07-10</v>
      </c>
      <c r="J349" s="145">
        <v>-24.98</v>
      </c>
      <c r="K349" s="159" t="s">
        <v>0</v>
      </c>
    </row>
    <row r="350" spans="2:11" x14ac:dyDescent="0.25">
      <c r="B350" s="130">
        <v>578308877</v>
      </c>
      <c r="C350" s="130" t="s">
        <v>69</v>
      </c>
      <c r="D350" s="133">
        <v>45484.500029988398</v>
      </c>
      <c r="E350" s="130" t="s">
        <v>802</v>
      </c>
      <c r="F350" s="161" t="s">
        <v>513</v>
      </c>
      <c r="G350" s="33" t="str">
        <f>IFERROR(INDEX([1]Positions!$A:$A,MATCH(F350,[1]Positions!$C:$C,0)),"Other")</f>
        <v>Technology</v>
      </c>
      <c r="H350" s="33" t="b">
        <f t="shared" si="10"/>
        <v>1</v>
      </c>
      <c r="I350" s="33" t="str">
        <f t="shared" si="11"/>
        <v>2024-07-11</v>
      </c>
      <c r="J350" s="136">
        <v>7.0000000000000007E-2</v>
      </c>
      <c r="K350" s="159" t="s">
        <v>0</v>
      </c>
    </row>
    <row r="351" spans="2:11" x14ac:dyDescent="0.25">
      <c r="B351" s="139">
        <v>578308878</v>
      </c>
      <c r="C351" s="139" t="s">
        <v>70</v>
      </c>
      <c r="D351" s="142">
        <v>45484.500029988398</v>
      </c>
      <c r="E351" s="139" t="s">
        <v>781</v>
      </c>
      <c r="F351" s="162" t="s">
        <v>513</v>
      </c>
      <c r="G351" s="33" t="str">
        <f>IFERROR(INDEX([1]Positions!$A:$A,MATCH(F351,[1]Positions!$C:$C,0)),"Other")</f>
        <v>Technology</v>
      </c>
      <c r="H351" s="33" t="b">
        <f t="shared" si="10"/>
        <v>1</v>
      </c>
      <c r="I351" s="33" t="str">
        <f t="shared" si="11"/>
        <v>2024-07-11</v>
      </c>
      <c r="J351" s="145">
        <v>-0.01</v>
      </c>
      <c r="K351" s="159" t="s">
        <v>0</v>
      </c>
    </row>
    <row r="352" spans="2:11" x14ac:dyDescent="0.25">
      <c r="B352" s="130">
        <v>578626578</v>
      </c>
      <c r="C352" s="130" t="s">
        <v>116</v>
      </c>
      <c r="D352" s="133">
        <v>45484.650492905101</v>
      </c>
      <c r="E352" s="130" t="s">
        <v>803</v>
      </c>
      <c r="F352" s="161" t="s">
        <v>519</v>
      </c>
      <c r="G352" s="33" t="str">
        <f>IFERROR(INDEX([1]Positions!$A:$A,MATCH(F352,[1]Positions!$C:$C,0)),"Other")</f>
        <v>MISC</v>
      </c>
      <c r="H352" s="33" t="b">
        <f t="shared" si="10"/>
        <v>1</v>
      </c>
      <c r="I352" s="33" t="str">
        <f t="shared" si="11"/>
        <v>2024-07-11</v>
      </c>
      <c r="J352" s="136">
        <v>0</v>
      </c>
      <c r="K352" s="159" t="s">
        <v>0</v>
      </c>
    </row>
    <row r="353" spans="2:11" x14ac:dyDescent="0.25">
      <c r="B353" s="139">
        <v>578638167</v>
      </c>
      <c r="C353" s="139" t="s">
        <v>116</v>
      </c>
      <c r="D353" s="142">
        <v>45484.654059722197</v>
      </c>
      <c r="E353" s="139" t="s">
        <v>804</v>
      </c>
      <c r="F353" s="162" t="s">
        <v>517</v>
      </c>
      <c r="G353" s="33" t="str">
        <f>IFERROR(INDEX([1]Positions!$A:$A,MATCH(F353,[1]Positions!$C:$C,0)),"Other")</f>
        <v>Technology</v>
      </c>
      <c r="H353" s="33" t="b">
        <f t="shared" si="10"/>
        <v>1</v>
      </c>
      <c r="I353" s="33" t="str">
        <f t="shared" si="11"/>
        <v>2024-07-11</v>
      </c>
      <c r="J353" s="148">
        <v>0</v>
      </c>
      <c r="K353" s="159" t="s">
        <v>0</v>
      </c>
    </row>
    <row r="354" spans="2:11" x14ac:dyDescent="0.25">
      <c r="B354" s="130">
        <v>578670583</v>
      </c>
      <c r="C354" s="130" t="s">
        <v>77</v>
      </c>
      <c r="D354" s="133">
        <v>45484.667815752298</v>
      </c>
      <c r="E354" s="130" t="s">
        <v>262</v>
      </c>
      <c r="F354" s="161" t="s">
        <v>520</v>
      </c>
      <c r="G354" s="33" t="str">
        <f>IFERROR(INDEX([1]Positions!$A:$A,MATCH(F354,[1]Positions!$C:$C,0)),"Other")</f>
        <v>MISC</v>
      </c>
      <c r="H354" s="33" t="b">
        <f t="shared" si="10"/>
        <v>1</v>
      </c>
      <c r="I354" s="33" t="str">
        <f t="shared" si="11"/>
        <v>2024-07-11</v>
      </c>
      <c r="J354" s="136">
        <v>0.01</v>
      </c>
      <c r="K354" s="159" t="s">
        <v>0</v>
      </c>
    </row>
    <row r="355" spans="2:11" x14ac:dyDescent="0.25">
      <c r="B355" s="139">
        <v>578670584</v>
      </c>
      <c r="C355" s="139" t="s">
        <v>80</v>
      </c>
      <c r="D355" s="142">
        <v>45484.667815752298</v>
      </c>
      <c r="E355" s="139" t="s">
        <v>263</v>
      </c>
      <c r="F355" s="162" t="s">
        <v>520</v>
      </c>
      <c r="G355" s="33" t="str">
        <f>IFERROR(INDEX([1]Positions!$A:$A,MATCH(F355,[1]Positions!$C:$C,0)),"Other")</f>
        <v>MISC</v>
      </c>
      <c r="H355" s="33" t="b">
        <f t="shared" si="10"/>
        <v>1</v>
      </c>
      <c r="I355" s="33" t="str">
        <f t="shared" si="11"/>
        <v>2024-07-11</v>
      </c>
      <c r="J355" s="148">
        <v>0.05</v>
      </c>
      <c r="K355" s="159" t="s">
        <v>0</v>
      </c>
    </row>
    <row r="356" spans="2:11" x14ac:dyDescent="0.25">
      <c r="B356" s="130">
        <v>578670221</v>
      </c>
      <c r="C356" s="130" t="s">
        <v>77</v>
      </c>
      <c r="D356" s="133">
        <v>45484.667682662002</v>
      </c>
      <c r="E356" s="130" t="s">
        <v>262</v>
      </c>
      <c r="F356" s="161" t="s">
        <v>520</v>
      </c>
      <c r="G356" s="33" t="str">
        <f>IFERROR(INDEX([1]Positions!$A:$A,MATCH(F356,[1]Positions!$C:$C,0)),"Other")</f>
        <v>MISC</v>
      </c>
      <c r="H356" s="33" t="b">
        <f t="shared" si="10"/>
        <v>1</v>
      </c>
      <c r="I356" s="33" t="str">
        <f t="shared" si="11"/>
        <v>2024-07-11</v>
      </c>
      <c r="J356" s="136">
        <v>0.23</v>
      </c>
      <c r="K356" s="159" t="s">
        <v>0</v>
      </c>
    </row>
    <row r="357" spans="2:11" x14ac:dyDescent="0.25">
      <c r="B357" s="139">
        <v>578670222</v>
      </c>
      <c r="C357" s="139" t="s">
        <v>80</v>
      </c>
      <c r="D357" s="142">
        <v>45484.667682662002</v>
      </c>
      <c r="E357" s="139" t="s">
        <v>264</v>
      </c>
      <c r="F357" s="162" t="s">
        <v>520</v>
      </c>
      <c r="G357" s="33" t="str">
        <f>IFERROR(INDEX([1]Positions!$A:$A,MATCH(F357,[1]Positions!$C:$C,0)),"Other")</f>
        <v>MISC</v>
      </c>
      <c r="H357" s="33" t="b">
        <f t="shared" si="10"/>
        <v>1</v>
      </c>
      <c r="I357" s="33" t="str">
        <f t="shared" si="11"/>
        <v>2024-07-11</v>
      </c>
      <c r="J357" s="148">
        <v>20.22</v>
      </c>
      <c r="K357" s="159" t="s">
        <v>0</v>
      </c>
    </row>
    <row r="358" spans="2:11" x14ac:dyDescent="0.25">
      <c r="B358" s="130">
        <v>578676301</v>
      </c>
      <c r="C358" s="130" t="s">
        <v>73</v>
      </c>
      <c r="D358" s="133">
        <v>45484.671183171296</v>
      </c>
      <c r="E358" s="130" t="s">
        <v>265</v>
      </c>
      <c r="F358" s="161" t="s">
        <v>513</v>
      </c>
      <c r="G358" s="33" t="str">
        <f>IFERROR(INDEX([1]Positions!$A:$A,MATCH(F358,[1]Positions!$C:$C,0)),"Other")</f>
        <v>Technology</v>
      </c>
      <c r="H358" s="33" t="b">
        <f t="shared" si="10"/>
        <v>1</v>
      </c>
      <c r="I358" s="33" t="str">
        <f t="shared" si="11"/>
        <v>2024-07-11</v>
      </c>
      <c r="J358" s="147">
        <v>-19.989999999999998</v>
      </c>
      <c r="K358" s="159" t="s">
        <v>0</v>
      </c>
    </row>
    <row r="359" spans="2:11" x14ac:dyDescent="0.25">
      <c r="B359" s="139">
        <v>578694140</v>
      </c>
      <c r="C359" s="139" t="s">
        <v>77</v>
      </c>
      <c r="D359" s="142">
        <v>45484.6783467477</v>
      </c>
      <c r="E359" s="139" t="s">
        <v>266</v>
      </c>
      <c r="F359" s="162" t="s">
        <v>521</v>
      </c>
      <c r="G359" s="33" t="str">
        <f>IFERROR(INDEX([1]Positions!$A:$A,MATCH(F359,[1]Positions!$C:$C,0)),"Other")</f>
        <v>Technology</v>
      </c>
      <c r="H359" s="33" t="b">
        <f t="shared" si="10"/>
        <v>1</v>
      </c>
      <c r="I359" s="33" t="str">
        <f t="shared" si="11"/>
        <v>2024-07-11</v>
      </c>
      <c r="J359" s="148">
        <v>0.72</v>
      </c>
      <c r="K359" s="159" t="s">
        <v>0</v>
      </c>
    </row>
    <row r="360" spans="2:11" x14ac:dyDescent="0.25">
      <c r="B360" s="130">
        <v>578694141</v>
      </c>
      <c r="C360" s="130" t="s">
        <v>80</v>
      </c>
      <c r="D360" s="133">
        <v>45484.6783467477</v>
      </c>
      <c r="E360" s="130" t="s">
        <v>267</v>
      </c>
      <c r="F360" s="161" t="s">
        <v>521</v>
      </c>
      <c r="G360" s="33" t="str">
        <f>IFERROR(INDEX([1]Positions!$A:$A,MATCH(F360,[1]Positions!$C:$C,0)),"Other")</f>
        <v>Technology</v>
      </c>
      <c r="H360" s="33" t="b">
        <f t="shared" si="10"/>
        <v>1</v>
      </c>
      <c r="I360" s="33" t="str">
        <f t="shared" si="11"/>
        <v>2024-07-11</v>
      </c>
      <c r="J360" s="136">
        <v>10</v>
      </c>
      <c r="K360" s="159" t="s">
        <v>0</v>
      </c>
    </row>
    <row r="361" spans="2:11" x14ac:dyDescent="0.25">
      <c r="B361" s="139">
        <v>578695109</v>
      </c>
      <c r="C361" s="139" t="s">
        <v>73</v>
      </c>
      <c r="D361" s="142">
        <v>45484.678773321801</v>
      </c>
      <c r="E361" s="139" t="s">
        <v>268</v>
      </c>
      <c r="F361" s="162" t="s">
        <v>59</v>
      </c>
      <c r="G361" s="33" t="str">
        <f>IFERROR(INDEX([1]Positions!$A:$A,MATCH(F361,[1]Positions!$C:$C,0)),"Other")</f>
        <v>ETF</v>
      </c>
      <c r="H361" s="33" t="b">
        <f t="shared" si="10"/>
        <v>1</v>
      </c>
      <c r="I361" s="33" t="str">
        <f t="shared" si="11"/>
        <v>2024-07-11</v>
      </c>
      <c r="J361" s="145">
        <v>-17.899999999999999</v>
      </c>
      <c r="K361" s="159" t="s">
        <v>0</v>
      </c>
    </row>
    <row r="362" spans="2:11" x14ac:dyDescent="0.25">
      <c r="B362" s="130">
        <v>579549186</v>
      </c>
      <c r="C362" s="130" t="s">
        <v>116</v>
      </c>
      <c r="D362" s="133">
        <v>45485.7246438773</v>
      </c>
      <c r="E362" s="130" t="s">
        <v>805</v>
      </c>
      <c r="F362" s="161" t="s">
        <v>521</v>
      </c>
      <c r="G362" s="33" t="str">
        <f>IFERROR(INDEX([1]Positions!$A:$A,MATCH(F362,[1]Positions!$C:$C,0)),"Other")</f>
        <v>Technology</v>
      </c>
      <c r="H362" s="33" t="b">
        <f t="shared" si="10"/>
        <v>1</v>
      </c>
      <c r="I362" s="33" t="str">
        <f t="shared" si="11"/>
        <v>2024-07-12</v>
      </c>
      <c r="J362" s="136">
        <v>0</v>
      </c>
      <c r="K362" s="159" t="s">
        <v>0</v>
      </c>
    </row>
    <row r="363" spans="2:11" x14ac:dyDescent="0.25">
      <c r="B363" s="139">
        <v>579549687</v>
      </c>
      <c r="C363" s="139" t="s">
        <v>116</v>
      </c>
      <c r="D363" s="142">
        <v>45485.724982881897</v>
      </c>
      <c r="E363" s="139" t="s">
        <v>806</v>
      </c>
      <c r="F363" s="162" t="s">
        <v>520</v>
      </c>
      <c r="G363" s="33" t="str">
        <f>IFERROR(INDEX([1]Positions!$A:$A,MATCH(F363,[1]Positions!$C:$C,0)),"Other")</f>
        <v>MISC</v>
      </c>
      <c r="H363" s="33" t="b">
        <f t="shared" si="10"/>
        <v>1</v>
      </c>
      <c r="I363" s="33" t="str">
        <f t="shared" si="11"/>
        <v>2024-07-12</v>
      </c>
      <c r="J363" s="148">
        <v>0</v>
      </c>
      <c r="K363" s="159" t="s">
        <v>0</v>
      </c>
    </row>
    <row r="364" spans="2:11" ht="52.5" x14ac:dyDescent="0.25">
      <c r="B364" s="130">
        <v>584480344</v>
      </c>
      <c r="C364" s="130" t="s">
        <v>71</v>
      </c>
      <c r="D364" s="133">
        <v>45495.911755856498</v>
      </c>
      <c r="E364" s="130" t="s">
        <v>269</v>
      </c>
      <c r="F364" s="161"/>
      <c r="G364" s="33" t="str">
        <f>IFERROR(INDEX([1]Positions!$A:$A,MATCH(F364,[1]Positions!$C:$C,0)),"Other")</f>
        <v>Other</v>
      </c>
      <c r="H364" s="33" t="b">
        <f t="shared" si="10"/>
        <v>1</v>
      </c>
      <c r="I364" s="33" t="str">
        <f t="shared" si="11"/>
        <v>2024-07-22</v>
      </c>
      <c r="J364" s="136">
        <v>50</v>
      </c>
      <c r="K364" s="159" t="s">
        <v>0</v>
      </c>
    </row>
    <row r="365" spans="2:11" x14ac:dyDescent="0.25">
      <c r="B365" s="139">
        <v>584485942</v>
      </c>
      <c r="C365" s="139" t="s">
        <v>119</v>
      </c>
      <c r="D365" s="142">
        <v>45495.925586990699</v>
      </c>
      <c r="E365" s="139" t="s">
        <v>121</v>
      </c>
      <c r="F365" s="162"/>
      <c r="G365" s="33" t="str">
        <f>IFERROR(INDEX([1]Positions!$A:$A,MATCH(F365,[1]Positions!$C:$C,0)),"Other")</f>
        <v>Other</v>
      </c>
      <c r="H365" s="33" t="b">
        <f t="shared" si="10"/>
        <v>1</v>
      </c>
      <c r="I365" s="33" t="str">
        <f t="shared" si="11"/>
        <v>2024-07-22</v>
      </c>
      <c r="J365" s="145">
        <v>-50</v>
      </c>
      <c r="K365" s="159" t="s">
        <v>0</v>
      </c>
    </row>
    <row r="366" spans="2:11" ht="42" x14ac:dyDescent="0.25">
      <c r="B366" s="130">
        <v>594633130</v>
      </c>
      <c r="C366" s="130" t="s">
        <v>71</v>
      </c>
      <c r="D366" s="133">
        <v>45510.907789016201</v>
      </c>
      <c r="E366" s="130" t="s">
        <v>270</v>
      </c>
      <c r="F366" s="161"/>
      <c r="G366" s="33" t="str">
        <f>IFERROR(INDEX([1]Positions!$A:$A,MATCH(F366,[1]Positions!$C:$C,0)),"Other")</f>
        <v>Other</v>
      </c>
      <c r="H366" s="33" t="b">
        <f t="shared" si="10"/>
        <v>1</v>
      </c>
      <c r="I366" s="33" t="str">
        <f t="shared" si="11"/>
        <v>2024-08-06</v>
      </c>
      <c r="J366" s="136">
        <v>50</v>
      </c>
      <c r="K366" s="159" t="s">
        <v>0</v>
      </c>
    </row>
    <row r="367" spans="2:11" x14ac:dyDescent="0.25">
      <c r="B367" s="139">
        <v>595322553</v>
      </c>
      <c r="C367" s="139" t="s">
        <v>73</v>
      </c>
      <c r="D367" s="142">
        <v>45511.723372025503</v>
      </c>
      <c r="E367" s="139" t="s">
        <v>271</v>
      </c>
      <c r="F367" s="162" t="s">
        <v>522</v>
      </c>
      <c r="G367" s="33" t="str">
        <f>IFERROR(INDEX([1]Positions!$A:$A,MATCH(F367,[1]Positions!$C:$C,0)),"Other")</f>
        <v>MISC</v>
      </c>
      <c r="H367" s="33" t="b">
        <f t="shared" si="10"/>
        <v>1</v>
      </c>
      <c r="I367" s="33" t="str">
        <f t="shared" si="11"/>
        <v>2024-08-07</v>
      </c>
      <c r="J367" s="145">
        <v>-15</v>
      </c>
      <c r="K367" s="159" t="s">
        <v>0</v>
      </c>
    </row>
    <row r="368" spans="2:11" x14ac:dyDescent="0.25">
      <c r="B368" s="130">
        <v>595321799</v>
      </c>
      <c r="C368" s="130" t="s">
        <v>73</v>
      </c>
      <c r="D368" s="133">
        <v>45511.722712499999</v>
      </c>
      <c r="E368" s="130" t="s">
        <v>272</v>
      </c>
      <c r="F368" s="161" t="s">
        <v>523</v>
      </c>
      <c r="G368" s="33" t="str">
        <f>IFERROR(INDEX([1]Positions!$A:$A,MATCH(F368,[1]Positions!$C:$C,0)),"Other")</f>
        <v>Financial Services</v>
      </c>
      <c r="H368" s="33" t="b">
        <f t="shared" si="10"/>
        <v>1</v>
      </c>
      <c r="I368" s="33" t="str">
        <f t="shared" si="11"/>
        <v>2024-08-07</v>
      </c>
      <c r="J368" s="147">
        <v>-15</v>
      </c>
      <c r="K368" s="159" t="s">
        <v>0</v>
      </c>
    </row>
    <row r="369" spans="2:11" x14ac:dyDescent="0.25">
      <c r="B369" s="139">
        <v>595321958</v>
      </c>
      <c r="C369" s="139" t="s">
        <v>73</v>
      </c>
      <c r="D369" s="142">
        <v>45511.7228723148</v>
      </c>
      <c r="E369" s="139" t="s">
        <v>273</v>
      </c>
      <c r="F369" s="162" t="s">
        <v>530</v>
      </c>
      <c r="G369" s="33" t="str">
        <f>IFERROR(INDEX([1]Positions!$A:$A,MATCH(F369,[1]Positions!$C:$C,0)),"Other")</f>
        <v>Financial Services</v>
      </c>
      <c r="H369" s="33" t="b">
        <f t="shared" si="10"/>
        <v>1</v>
      </c>
      <c r="I369" s="33" t="str">
        <f t="shared" si="11"/>
        <v>2024-08-07</v>
      </c>
      <c r="J369" s="145">
        <v>-14.98</v>
      </c>
      <c r="K369" s="159" t="s">
        <v>0</v>
      </c>
    </row>
    <row r="370" spans="2:11" x14ac:dyDescent="0.25">
      <c r="B370" s="130">
        <v>595464540</v>
      </c>
      <c r="C370" s="130" t="s">
        <v>73</v>
      </c>
      <c r="D370" s="133">
        <v>45511.860491944397</v>
      </c>
      <c r="E370" s="130" t="s">
        <v>274</v>
      </c>
      <c r="F370" s="161" t="s">
        <v>516</v>
      </c>
      <c r="G370" s="33" t="str">
        <f>IFERROR(INDEX([1]Positions!$A:$A,MATCH(F370,[1]Positions!$C:$C,0)),"Other")</f>
        <v>Energy &amp; Utilities</v>
      </c>
      <c r="H370" s="33" t="b">
        <f t="shared" si="10"/>
        <v>1</v>
      </c>
      <c r="I370" s="33" t="str">
        <f t="shared" si="11"/>
        <v>2024-08-07</v>
      </c>
      <c r="J370" s="147">
        <v>-14.99</v>
      </c>
      <c r="K370" s="159" t="s">
        <v>0</v>
      </c>
    </row>
    <row r="371" spans="2:11" x14ac:dyDescent="0.25">
      <c r="B371" s="139">
        <v>595464014</v>
      </c>
      <c r="C371" s="139" t="s">
        <v>77</v>
      </c>
      <c r="D371" s="142">
        <v>45511.859634479202</v>
      </c>
      <c r="E371" s="139" t="s">
        <v>275</v>
      </c>
      <c r="F371" s="162" t="s">
        <v>522</v>
      </c>
      <c r="G371" s="33" t="str">
        <f>IFERROR(INDEX([1]Positions!$A:$A,MATCH(F371,[1]Positions!$C:$C,0)),"Other")</f>
        <v>MISC</v>
      </c>
      <c r="H371" s="33" t="b">
        <f t="shared" si="10"/>
        <v>1</v>
      </c>
      <c r="I371" s="33" t="str">
        <f t="shared" si="11"/>
        <v>2024-08-07</v>
      </c>
      <c r="J371" s="145">
        <v>-0.19</v>
      </c>
      <c r="K371" s="159" t="s">
        <v>0</v>
      </c>
    </row>
    <row r="372" spans="2:11" x14ac:dyDescent="0.25">
      <c r="B372" s="130">
        <v>595464015</v>
      </c>
      <c r="C372" s="130" t="s">
        <v>80</v>
      </c>
      <c r="D372" s="133">
        <v>45511.859634479202</v>
      </c>
      <c r="E372" s="130" t="s">
        <v>276</v>
      </c>
      <c r="F372" s="161" t="s">
        <v>522</v>
      </c>
      <c r="G372" s="33" t="str">
        <f>IFERROR(INDEX([1]Positions!$A:$A,MATCH(F372,[1]Positions!$C:$C,0)),"Other")</f>
        <v>MISC</v>
      </c>
      <c r="H372" s="33" t="b">
        <f t="shared" si="10"/>
        <v>1</v>
      </c>
      <c r="I372" s="33" t="str">
        <f t="shared" si="11"/>
        <v>2024-08-07</v>
      </c>
      <c r="J372" s="136">
        <v>15</v>
      </c>
      <c r="K372" s="159" t="s">
        <v>0</v>
      </c>
    </row>
    <row r="373" spans="2:11" x14ac:dyDescent="0.25">
      <c r="B373" s="139">
        <v>596003741</v>
      </c>
      <c r="C373" s="139" t="s">
        <v>116</v>
      </c>
      <c r="D373" s="142">
        <v>45512.662516990698</v>
      </c>
      <c r="E373" s="139" t="s">
        <v>807</v>
      </c>
      <c r="F373" s="162" t="s">
        <v>522</v>
      </c>
      <c r="G373" s="33" t="str">
        <f>IFERROR(INDEX([1]Positions!$A:$A,MATCH(F373,[1]Positions!$C:$C,0)),"Other")</f>
        <v>MISC</v>
      </c>
      <c r="H373" s="33" t="b">
        <f t="shared" si="10"/>
        <v>1</v>
      </c>
      <c r="I373" s="33" t="str">
        <f t="shared" si="11"/>
        <v>2024-08-08</v>
      </c>
      <c r="J373" s="148">
        <v>0</v>
      </c>
      <c r="K373" s="159" t="s">
        <v>0</v>
      </c>
    </row>
    <row r="374" spans="2:11" x14ac:dyDescent="0.25">
      <c r="B374" s="130">
        <v>599394769</v>
      </c>
      <c r="C374" s="130" t="s">
        <v>73</v>
      </c>
      <c r="D374" s="133">
        <v>45518.8442852546</v>
      </c>
      <c r="E374" s="130" t="s">
        <v>277</v>
      </c>
      <c r="F374" s="161" t="s">
        <v>532</v>
      </c>
      <c r="G374" s="33" t="str">
        <f>IFERROR(INDEX([1]Positions!$A:$A,MATCH(F374,[1]Positions!$C:$C,0)),"Other")</f>
        <v>Consumer Defensive</v>
      </c>
      <c r="H374" s="33" t="b">
        <f t="shared" si="10"/>
        <v>1</v>
      </c>
      <c r="I374" s="33" t="str">
        <f t="shared" si="11"/>
        <v>2024-08-14</v>
      </c>
      <c r="J374" s="147">
        <v>-35</v>
      </c>
      <c r="K374" s="159" t="s">
        <v>0</v>
      </c>
    </row>
    <row r="375" spans="2:11" ht="42" x14ac:dyDescent="0.25">
      <c r="B375" s="139">
        <v>599394362</v>
      </c>
      <c r="C375" s="139" t="s">
        <v>71</v>
      </c>
      <c r="D375" s="142">
        <v>45518.843671145798</v>
      </c>
      <c r="E375" s="139" t="s">
        <v>278</v>
      </c>
      <c r="F375" s="162"/>
      <c r="G375" s="33" t="str">
        <f>IFERROR(INDEX([1]Positions!$A:$A,MATCH(F375,[1]Positions!$C:$C,0)),"Other")</f>
        <v>Other</v>
      </c>
      <c r="H375" s="33" t="b">
        <f t="shared" si="10"/>
        <v>1</v>
      </c>
      <c r="I375" s="33" t="str">
        <f t="shared" si="11"/>
        <v>2024-08-14</v>
      </c>
      <c r="J375" s="148">
        <v>50</v>
      </c>
      <c r="K375" s="159" t="s">
        <v>0</v>
      </c>
    </row>
    <row r="376" spans="2:11" x14ac:dyDescent="0.25">
      <c r="B376" s="130">
        <v>599899127</v>
      </c>
      <c r="C376" s="130" t="s">
        <v>69</v>
      </c>
      <c r="D376" s="133">
        <v>45519.501939641203</v>
      </c>
      <c r="E376" s="130" t="s">
        <v>808</v>
      </c>
      <c r="F376" s="161" t="s">
        <v>528</v>
      </c>
      <c r="G376" s="33" t="str">
        <f>IFERROR(INDEX([1]Positions!$A:$A,MATCH(F376,[1]Positions!$C:$C,0)),"Other")</f>
        <v>Technology</v>
      </c>
      <c r="H376" s="33" t="b">
        <f t="shared" si="10"/>
        <v>1</v>
      </c>
      <c r="I376" s="33" t="str">
        <f t="shared" si="11"/>
        <v>2024-08-15</v>
      </c>
      <c r="J376" s="136">
        <v>0.02</v>
      </c>
      <c r="K376" s="159" t="s">
        <v>0</v>
      </c>
    </row>
    <row r="377" spans="2:11" x14ac:dyDescent="0.25">
      <c r="B377" s="139">
        <v>599899128</v>
      </c>
      <c r="C377" s="139" t="s">
        <v>70</v>
      </c>
      <c r="D377" s="142">
        <v>45519.501939641203</v>
      </c>
      <c r="E377" s="139" t="s">
        <v>809</v>
      </c>
      <c r="F377" s="162" t="s">
        <v>528</v>
      </c>
      <c r="G377" s="33" t="str">
        <f>IFERROR(INDEX([1]Positions!$A:$A,MATCH(F377,[1]Positions!$C:$C,0)),"Other")</f>
        <v>Technology</v>
      </c>
      <c r="H377" s="33" t="b">
        <f t="shared" si="10"/>
        <v>1</v>
      </c>
      <c r="I377" s="33" t="str">
        <f t="shared" si="11"/>
        <v>2024-08-15</v>
      </c>
      <c r="J377" s="145">
        <v>-0.01</v>
      </c>
      <c r="K377" s="159" t="s">
        <v>0</v>
      </c>
    </row>
    <row r="378" spans="2:11" x14ac:dyDescent="0.25">
      <c r="B378" s="130">
        <v>601597696</v>
      </c>
      <c r="C378" s="130" t="s">
        <v>73</v>
      </c>
      <c r="D378" s="133">
        <v>45523.666336955997</v>
      </c>
      <c r="E378" s="130" t="s">
        <v>279</v>
      </c>
      <c r="F378" s="161" t="s">
        <v>521</v>
      </c>
      <c r="G378" s="33" t="str">
        <f>IFERROR(INDEX([1]Positions!$A:$A,MATCH(F378,[1]Positions!$C:$C,0)),"Other")</f>
        <v>Technology</v>
      </c>
      <c r="H378" s="33" t="b">
        <f t="shared" si="10"/>
        <v>1</v>
      </c>
      <c r="I378" s="33" t="str">
        <f t="shared" si="11"/>
        <v>2024-08-19</v>
      </c>
      <c r="J378" s="147">
        <v>-19.97</v>
      </c>
      <c r="K378" s="159" t="s">
        <v>0</v>
      </c>
    </row>
    <row r="379" spans="2:11" x14ac:dyDescent="0.25">
      <c r="B379" s="139">
        <v>609056665</v>
      </c>
      <c r="C379" s="139" t="s">
        <v>69</v>
      </c>
      <c r="D379" s="142">
        <v>45538.500518854198</v>
      </c>
      <c r="E379" s="139" t="s">
        <v>810</v>
      </c>
      <c r="F379" s="162" t="s">
        <v>523</v>
      </c>
      <c r="G379" s="33" t="str">
        <f>IFERROR(INDEX([1]Positions!$A:$A,MATCH(F379,[1]Positions!$C:$C,0)),"Other")</f>
        <v>Financial Services</v>
      </c>
      <c r="H379" s="33" t="b">
        <f t="shared" si="10"/>
        <v>1</v>
      </c>
      <c r="I379" s="33" t="str">
        <f t="shared" si="11"/>
        <v>2024-09-03</v>
      </c>
      <c r="J379" s="148">
        <v>0.03</v>
      </c>
      <c r="K379" s="159" t="s">
        <v>0</v>
      </c>
    </row>
    <row r="380" spans="2:11" x14ac:dyDescent="0.25">
      <c r="B380" s="130">
        <v>609056666</v>
      </c>
      <c r="C380" s="130" t="s">
        <v>70</v>
      </c>
      <c r="D380" s="133">
        <v>45538.500518854198</v>
      </c>
      <c r="E380" s="130" t="s">
        <v>811</v>
      </c>
      <c r="F380" s="161" t="s">
        <v>523</v>
      </c>
      <c r="G380" s="33" t="str">
        <f>IFERROR(INDEX([1]Positions!$A:$A,MATCH(F380,[1]Positions!$C:$C,0)),"Other")</f>
        <v>Financial Services</v>
      </c>
      <c r="H380" s="33" t="b">
        <f t="shared" si="10"/>
        <v>1</v>
      </c>
      <c r="I380" s="33" t="str">
        <f t="shared" si="11"/>
        <v>2024-09-03</v>
      </c>
      <c r="J380" s="147">
        <v>-0.01</v>
      </c>
      <c r="K380" s="159" t="s">
        <v>0</v>
      </c>
    </row>
    <row r="381" spans="2:11" ht="42" x14ac:dyDescent="0.25">
      <c r="B381" s="139">
        <v>610786133</v>
      </c>
      <c r="C381" s="139" t="s">
        <v>71</v>
      </c>
      <c r="D381" s="142">
        <v>45539.648849791702</v>
      </c>
      <c r="E381" s="139" t="s">
        <v>280</v>
      </c>
      <c r="F381" s="162"/>
      <c r="G381" s="33" t="str">
        <f>IFERROR(INDEX([1]Positions!$A:$A,MATCH(F381,[1]Positions!$C:$C,0)),"Other")</f>
        <v>Other</v>
      </c>
      <c r="H381" s="33" t="b">
        <f t="shared" si="10"/>
        <v>1</v>
      </c>
      <c r="I381" s="33" t="str">
        <f t="shared" si="11"/>
        <v>2024-09-04</v>
      </c>
      <c r="J381" s="148">
        <v>50</v>
      </c>
      <c r="K381" s="159" t="s">
        <v>0</v>
      </c>
    </row>
    <row r="382" spans="2:11" x14ac:dyDescent="0.25">
      <c r="B382" s="130">
        <v>613190556</v>
      </c>
      <c r="C382" s="130" t="s">
        <v>73</v>
      </c>
      <c r="D382" s="133">
        <v>45544.650700300903</v>
      </c>
      <c r="E382" s="130" t="s">
        <v>281</v>
      </c>
      <c r="F382" s="161" t="s">
        <v>510</v>
      </c>
      <c r="G382" s="33" t="str">
        <f>IFERROR(INDEX([1]Positions!$A:$A,MATCH(F382,[1]Positions!$C:$C,0)),"Other")</f>
        <v>Technology</v>
      </c>
      <c r="H382" s="33" t="b">
        <f t="shared" si="10"/>
        <v>1</v>
      </c>
      <c r="I382" s="33" t="str">
        <f t="shared" si="11"/>
        <v>2024-09-09</v>
      </c>
      <c r="J382" s="147">
        <v>-10.99</v>
      </c>
      <c r="K382" s="159" t="s">
        <v>0</v>
      </c>
    </row>
    <row r="383" spans="2:11" x14ac:dyDescent="0.25">
      <c r="B383" s="139">
        <v>613192452</v>
      </c>
      <c r="C383" s="139" t="s">
        <v>73</v>
      </c>
      <c r="D383" s="142">
        <v>45544.6516352662</v>
      </c>
      <c r="E383" s="139" t="s">
        <v>282</v>
      </c>
      <c r="F383" s="162" t="s">
        <v>531</v>
      </c>
      <c r="G383" s="33" t="str">
        <f>IFERROR(INDEX([1]Positions!$A:$A,MATCH(F383,[1]Positions!$C:$C,0)),"Other")</f>
        <v>Consumer Defensive</v>
      </c>
      <c r="H383" s="33" t="b">
        <f t="shared" si="10"/>
        <v>1</v>
      </c>
      <c r="I383" s="33" t="str">
        <f t="shared" si="11"/>
        <v>2024-09-09</v>
      </c>
      <c r="J383" s="145">
        <v>-20.190000000000001</v>
      </c>
      <c r="K383" s="159" t="s">
        <v>0</v>
      </c>
    </row>
    <row r="384" spans="2:11" x14ac:dyDescent="0.25">
      <c r="B384" s="130">
        <v>615263903</v>
      </c>
      <c r="C384" s="130" t="s">
        <v>69</v>
      </c>
      <c r="D384" s="133">
        <v>45547.500072233801</v>
      </c>
      <c r="E384" s="130" t="s">
        <v>812</v>
      </c>
      <c r="F384" s="161" t="s">
        <v>524</v>
      </c>
      <c r="G384" s="33" t="str">
        <f>IFERROR(INDEX([1]Positions!$A:$A,MATCH(F384,[1]Positions!$C:$C,0)),"Other")</f>
        <v>Technology</v>
      </c>
      <c r="H384" s="33" t="b">
        <f t="shared" si="10"/>
        <v>1</v>
      </c>
      <c r="I384" s="33" t="str">
        <f t="shared" si="11"/>
        <v>2024-09-12</v>
      </c>
      <c r="J384" s="136">
        <v>0.03</v>
      </c>
      <c r="K384" s="159" t="s">
        <v>0</v>
      </c>
    </row>
    <row r="385" spans="2:11" x14ac:dyDescent="0.25">
      <c r="B385" s="139">
        <v>615263904</v>
      </c>
      <c r="C385" s="139" t="s">
        <v>70</v>
      </c>
      <c r="D385" s="142">
        <v>45547.500072233801</v>
      </c>
      <c r="E385" s="139" t="s">
        <v>813</v>
      </c>
      <c r="F385" s="162" t="s">
        <v>524</v>
      </c>
      <c r="G385" s="33" t="str">
        <f>IFERROR(INDEX([1]Positions!$A:$A,MATCH(F385,[1]Positions!$C:$C,0)),"Other")</f>
        <v>Technology</v>
      </c>
      <c r="H385" s="33" t="b">
        <f t="shared" si="10"/>
        <v>1</v>
      </c>
      <c r="I385" s="33" t="str">
        <f t="shared" si="11"/>
        <v>2024-09-12</v>
      </c>
      <c r="J385" s="145">
        <v>-0.01</v>
      </c>
      <c r="K385" s="159" t="s">
        <v>0</v>
      </c>
    </row>
    <row r="386" spans="2:11" x14ac:dyDescent="0.25">
      <c r="B386" s="130">
        <v>615378337</v>
      </c>
      <c r="C386" s="130" t="s">
        <v>69</v>
      </c>
      <c r="D386" s="133">
        <v>45547.500440705997</v>
      </c>
      <c r="E386" s="130" t="s">
        <v>814</v>
      </c>
      <c r="F386" s="161" t="s">
        <v>521</v>
      </c>
      <c r="G386" s="33" t="str">
        <f>IFERROR(INDEX([1]Positions!$A:$A,MATCH(F386,[1]Positions!$C:$C,0)),"Other")</f>
        <v>Technology</v>
      </c>
      <c r="H386" s="33" t="b">
        <f t="shared" si="10"/>
        <v>1</v>
      </c>
      <c r="I386" s="33" t="str">
        <f t="shared" si="11"/>
        <v>2024-09-12</v>
      </c>
      <c r="J386" s="136">
        <v>0.02</v>
      </c>
      <c r="K386" s="159" t="s">
        <v>0</v>
      </c>
    </row>
    <row r="387" spans="2:11" x14ac:dyDescent="0.25">
      <c r="B387" s="139">
        <v>615378338</v>
      </c>
      <c r="C387" s="139" t="s">
        <v>70</v>
      </c>
      <c r="D387" s="142">
        <v>45547.500440705997</v>
      </c>
      <c r="E387" s="139" t="s">
        <v>748</v>
      </c>
      <c r="F387" s="162" t="s">
        <v>521</v>
      </c>
      <c r="G387" s="33" t="str">
        <f>IFERROR(INDEX([1]Positions!$A:$A,MATCH(F387,[1]Positions!$C:$C,0)),"Other")</f>
        <v>Technology</v>
      </c>
      <c r="H387" s="33" t="b">
        <f t="shared" si="10"/>
        <v>1</v>
      </c>
      <c r="I387" s="33" t="str">
        <f t="shared" si="11"/>
        <v>2024-09-12</v>
      </c>
      <c r="J387" s="145">
        <v>-0.01</v>
      </c>
      <c r="K387" s="159" t="s">
        <v>0</v>
      </c>
    </row>
    <row r="388" spans="2:11" x14ac:dyDescent="0.25">
      <c r="B388" s="130">
        <v>616536164</v>
      </c>
      <c r="C388" s="130" t="s">
        <v>73</v>
      </c>
      <c r="D388" s="133">
        <v>45548.665737777803</v>
      </c>
      <c r="E388" s="130" t="s">
        <v>283</v>
      </c>
      <c r="F388" s="161" t="s">
        <v>528</v>
      </c>
      <c r="G388" s="33" t="str">
        <f>IFERROR(INDEX([1]Positions!$A:$A,MATCH(F388,[1]Positions!$C:$C,0)),"Other")</f>
        <v>Technology</v>
      </c>
      <c r="H388" s="33" t="b">
        <f t="shared" si="10"/>
        <v>1</v>
      </c>
      <c r="I388" s="33" t="str">
        <f t="shared" si="11"/>
        <v>2024-09-13</v>
      </c>
      <c r="J388" s="147">
        <v>-14.83</v>
      </c>
      <c r="K388" s="159" t="s">
        <v>0</v>
      </c>
    </row>
    <row r="389" spans="2:11" x14ac:dyDescent="0.25">
      <c r="B389" s="139">
        <v>617156293</v>
      </c>
      <c r="C389" s="139" t="s">
        <v>69</v>
      </c>
      <c r="D389" s="142">
        <v>45551.500107557898</v>
      </c>
      <c r="E389" s="139" t="s">
        <v>815</v>
      </c>
      <c r="F389" s="162" t="s">
        <v>516</v>
      </c>
      <c r="G389" s="33" t="str">
        <f>IFERROR(INDEX([1]Positions!$A:$A,MATCH(F389,[1]Positions!$C:$C,0)),"Other")</f>
        <v>Energy &amp; Utilities</v>
      </c>
      <c r="H389" s="33" t="b">
        <f t="shared" si="10"/>
        <v>1</v>
      </c>
      <c r="I389" s="33" t="str">
        <f t="shared" si="11"/>
        <v>2024-09-16</v>
      </c>
      <c r="J389" s="148">
        <v>0.1</v>
      </c>
      <c r="K389" s="159" t="s">
        <v>0</v>
      </c>
    </row>
    <row r="390" spans="2:11" x14ac:dyDescent="0.25">
      <c r="B390" s="130">
        <v>617156294</v>
      </c>
      <c r="C390" s="130" t="s">
        <v>70</v>
      </c>
      <c r="D390" s="133">
        <v>45551.500107569402</v>
      </c>
      <c r="E390" s="130" t="s">
        <v>745</v>
      </c>
      <c r="F390" s="161" t="s">
        <v>516</v>
      </c>
      <c r="G390" s="33" t="str">
        <f>IFERROR(INDEX([1]Positions!$A:$A,MATCH(F390,[1]Positions!$C:$C,0)),"Other")</f>
        <v>Energy &amp; Utilities</v>
      </c>
      <c r="H390" s="33" t="b">
        <f t="shared" si="10"/>
        <v>1</v>
      </c>
      <c r="I390" s="33" t="str">
        <f t="shared" si="11"/>
        <v>2024-09-16</v>
      </c>
      <c r="J390" s="147">
        <v>-0.03</v>
      </c>
      <c r="K390" s="159" t="s">
        <v>0</v>
      </c>
    </row>
    <row r="391" spans="2:11" x14ac:dyDescent="0.25">
      <c r="B391" s="139">
        <v>617274948</v>
      </c>
      <c r="C391" s="139" t="s">
        <v>69</v>
      </c>
      <c r="D391" s="142">
        <v>45551.500590208299</v>
      </c>
      <c r="E391" s="139" t="s">
        <v>746</v>
      </c>
      <c r="F391" s="162" t="s">
        <v>517</v>
      </c>
      <c r="G391" s="33" t="str">
        <f>IFERROR(INDEX([1]Positions!$A:$A,MATCH(F391,[1]Positions!$C:$C,0)),"Other")</f>
        <v>Technology</v>
      </c>
      <c r="H391" s="33" t="b">
        <f t="shared" si="10"/>
        <v>1</v>
      </c>
      <c r="I391" s="33" t="str">
        <f t="shared" si="11"/>
        <v>2024-09-16</v>
      </c>
      <c r="J391" s="148">
        <v>0.03</v>
      </c>
      <c r="K391" s="159" t="s">
        <v>0</v>
      </c>
    </row>
    <row r="392" spans="2:11" x14ac:dyDescent="0.25">
      <c r="B392" s="130">
        <v>617274949</v>
      </c>
      <c r="C392" s="130" t="s">
        <v>70</v>
      </c>
      <c r="D392" s="133">
        <v>45551.500590208299</v>
      </c>
      <c r="E392" s="130" t="s">
        <v>816</v>
      </c>
      <c r="F392" s="161" t="s">
        <v>517</v>
      </c>
      <c r="G392" s="33" t="str">
        <f>IFERROR(INDEX([1]Positions!$A:$A,MATCH(F392,[1]Positions!$C:$C,0)),"Other")</f>
        <v>Technology</v>
      </c>
      <c r="H392" s="33" t="b">
        <f t="shared" si="10"/>
        <v>1</v>
      </c>
      <c r="I392" s="33" t="str">
        <f t="shared" si="11"/>
        <v>2024-09-16</v>
      </c>
      <c r="J392" s="147">
        <v>-0.01</v>
      </c>
      <c r="K392" s="159" t="s">
        <v>0</v>
      </c>
    </row>
    <row r="393" spans="2:11" x14ac:dyDescent="0.25">
      <c r="B393" s="139">
        <v>617756754</v>
      </c>
      <c r="C393" s="139" t="s">
        <v>77</v>
      </c>
      <c r="D393" s="142">
        <v>45551.905095555601</v>
      </c>
      <c r="E393" s="139" t="s">
        <v>284</v>
      </c>
      <c r="F393" s="162" t="s">
        <v>523</v>
      </c>
      <c r="G393" s="33" t="str">
        <f>IFERROR(INDEX([1]Positions!$A:$A,MATCH(F393,[1]Positions!$C:$C,0)),"Other")</f>
        <v>Financial Services</v>
      </c>
      <c r="H393" s="33" t="b">
        <f t="shared" si="10"/>
        <v>1</v>
      </c>
      <c r="I393" s="33" t="str">
        <f t="shared" si="11"/>
        <v>2024-09-16</v>
      </c>
      <c r="J393" s="148">
        <v>1.69</v>
      </c>
      <c r="K393" s="159" t="s">
        <v>0</v>
      </c>
    </row>
    <row r="394" spans="2:11" x14ac:dyDescent="0.25">
      <c r="B394" s="130">
        <v>617756755</v>
      </c>
      <c r="C394" s="130" t="s">
        <v>80</v>
      </c>
      <c r="D394" s="133">
        <v>45551.905095555601</v>
      </c>
      <c r="E394" s="130" t="s">
        <v>285</v>
      </c>
      <c r="F394" s="161" t="s">
        <v>523</v>
      </c>
      <c r="G394" s="33" t="str">
        <f>IFERROR(INDEX([1]Positions!$A:$A,MATCH(F394,[1]Positions!$C:$C,0)),"Other")</f>
        <v>Financial Services</v>
      </c>
      <c r="H394" s="33" t="b">
        <f t="shared" si="10"/>
        <v>1</v>
      </c>
      <c r="I394" s="33" t="str">
        <f t="shared" si="11"/>
        <v>2024-09-16</v>
      </c>
      <c r="J394" s="136">
        <v>15</v>
      </c>
      <c r="K394" s="159" t="s">
        <v>0</v>
      </c>
    </row>
    <row r="395" spans="2:11" x14ac:dyDescent="0.25">
      <c r="B395" s="139">
        <v>618248730</v>
      </c>
      <c r="C395" s="139" t="s">
        <v>116</v>
      </c>
      <c r="D395" s="142">
        <v>45552.6741711574</v>
      </c>
      <c r="E395" s="139" t="s">
        <v>817</v>
      </c>
      <c r="F395" s="162" t="s">
        <v>523</v>
      </c>
      <c r="G395" s="33" t="str">
        <f>IFERROR(INDEX([1]Positions!$A:$A,MATCH(F395,[1]Positions!$C:$C,0)),"Other")</f>
        <v>Financial Services</v>
      </c>
      <c r="H395" s="33" t="b">
        <f t="shared" si="10"/>
        <v>1</v>
      </c>
      <c r="I395" s="33" t="str">
        <f t="shared" si="11"/>
        <v>2024-09-17</v>
      </c>
      <c r="J395" s="148">
        <v>0</v>
      </c>
      <c r="K395" s="159" t="s">
        <v>0</v>
      </c>
    </row>
    <row r="396" spans="2:11" x14ac:dyDescent="0.25">
      <c r="B396" s="130">
        <v>618841181</v>
      </c>
      <c r="C396" s="130" t="s">
        <v>73</v>
      </c>
      <c r="D396" s="133">
        <v>45553.6537414005</v>
      </c>
      <c r="E396" s="130" t="s">
        <v>286</v>
      </c>
      <c r="F396" s="161" t="s">
        <v>532</v>
      </c>
      <c r="G396" s="33" t="str">
        <f>IFERROR(INDEX([1]Positions!$A:$A,MATCH(F396,[1]Positions!$C:$C,0)),"Other")</f>
        <v>Consumer Defensive</v>
      </c>
      <c r="H396" s="33" t="b">
        <f t="shared" ref="H396:H459" si="12">ISNUMBER(D396)</f>
        <v>1</v>
      </c>
      <c r="I396" s="33" t="str">
        <f t="shared" ref="I396:I459" si="13">TEXT(D396,"YYYY-MM-DD")</f>
        <v>2024-09-18</v>
      </c>
      <c r="J396" s="147">
        <v>-20</v>
      </c>
      <c r="K396" s="159" t="s">
        <v>0</v>
      </c>
    </row>
    <row r="397" spans="2:11" ht="42" x14ac:dyDescent="0.25">
      <c r="B397" s="139">
        <v>622025744</v>
      </c>
      <c r="C397" s="139" t="s">
        <v>71</v>
      </c>
      <c r="D397" s="142">
        <v>45559.649427488403</v>
      </c>
      <c r="E397" s="139" t="s">
        <v>287</v>
      </c>
      <c r="F397" s="162"/>
      <c r="G397" s="33" t="str">
        <f>IFERROR(INDEX([1]Positions!$A:$A,MATCH(F397,[1]Positions!$C:$C,0)),"Other")</f>
        <v>Other</v>
      </c>
      <c r="H397" s="33" t="b">
        <f t="shared" si="12"/>
        <v>1</v>
      </c>
      <c r="I397" s="33" t="str">
        <f t="shared" si="13"/>
        <v>2024-09-24</v>
      </c>
      <c r="J397" s="148">
        <v>50</v>
      </c>
      <c r="K397" s="159" t="s">
        <v>0</v>
      </c>
    </row>
    <row r="398" spans="2:11" x14ac:dyDescent="0.25">
      <c r="B398" s="130">
        <v>622028220</v>
      </c>
      <c r="C398" s="130" t="s">
        <v>77</v>
      </c>
      <c r="D398" s="133">
        <v>45559.650510532403</v>
      </c>
      <c r="E398" s="130" t="s">
        <v>288</v>
      </c>
      <c r="F398" s="161" t="s">
        <v>524</v>
      </c>
      <c r="G398" s="33" t="str">
        <f>IFERROR(INDEX([1]Positions!$A:$A,MATCH(F398,[1]Positions!$C:$C,0)),"Other")</f>
        <v>Technology</v>
      </c>
      <c r="H398" s="33" t="b">
        <f t="shared" si="12"/>
        <v>1</v>
      </c>
      <c r="I398" s="33" t="str">
        <f t="shared" si="13"/>
        <v>2024-09-24</v>
      </c>
      <c r="J398" s="147">
        <v>-3.7</v>
      </c>
      <c r="K398" s="159" t="s">
        <v>0</v>
      </c>
    </row>
    <row r="399" spans="2:11" x14ac:dyDescent="0.25">
      <c r="B399" s="139">
        <v>622028221</v>
      </c>
      <c r="C399" s="139" t="s">
        <v>80</v>
      </c>
      <c r="D399" s="142">
        <v>45559.650510532403</v>
      </c>
      <c r="E399" s="139" t="s">
        <v>289</v>
      </c>
      <c r="F399" s="162" t="s">
        <v>524</v>
      </c>
      <c r="G399" s="33" t="str">
        <f>IFERROR(INDEX([1]Positions!$A:$A,MATCH(F399,[1]Positions!$C:$C,0)),"Other")</f>
        <v>Technology</v>
      </c>
      <c r="H399" s="33" t="b">
        <f t="shared" si="12"/>
        <v>1</v>
      </c>
      <c r="I399" s="33" t="str">
        <f t="shared" si="13"/>
        <v>2024-09-24</v>
      </c>
      <c r="J399" s="148">
        <v>19.02</v>
      </c>
      <c r="K399" s="159" t="s">
        <v>0</v>
      </c>
    </row>
    <row r="400" spans="2:11" x14ac:dyDescent="0.25">
      <c r="B400" s="130">
        <v>622029304</v>
      </c>
      <c r="C400" s="130" t="s">
        <v>77</v>
      </c>
      <c r="D400" s="133">
        <v>45559.651056620402</v>
      </c>
      <c r="E400" s="130" t="s">
        <v>288</v>
      </c>
      <c r="F400" s="161" t="s">
        <v>524</v>
      </c>
      <c r="G400" s="33" t="str">
        <f>IFERROR(INDEX([1]Positions!$A:$A,MATCH(F400,[1]Positions!$C:$C,0)),"Other")</f>
        <v>Technology</v>
      </c>
      <c r="H400" s="33" t="b">
        <f t="shared" si="12"/>
        <v>1</v>
      </c>
      <c r="I400" s="33" t="str">
        <f t="shared" si="13"/>
        <v>2024-09-24</v>
      </c>
      <c r="J400" s="147">
        <v>-0.25</v>
      </c>
      <c r="K400" s="159" t="s">
        <v>0</v>
      </c>
    </row>
    <row r="401" spans="2:11" x14ac:dyDescent="0.25">
      <c r="B401" s="139">
        <v>622029305</v>
      </c>
      <c r="C401" s="139" t="s">
        <v>80</v>
      </c>
      <c r="D401" s="142">
        <v>45559.651056620402</v>
      </c>
      <c r="E401" s="139" t="s">
        <v>290</v>
      </c>
      <c r="F401" s="162" t="s">
        <v>524</v>
      </c>
      <c r="G401" s="33" t="str">
        <f>IFERROR(INDEX([1]Positions!$A:$A,MATCH(F401,[1]Positions!$C:$C,0)),"Other")</f>
        <v>Technology</v>
      </c>
      <c r="H401" s="33" t="b">
        <f t="shared" si="12"/>
        <v>1</v>
      </c>
      <c r="I401" s="33" t="str">
        <f t="shared" si="13"/>
        <v>2024-09-24</v>
      </c>
      <c r="J401" s="148">
        <v>1.25</v>
      </c>
      <c r="K401" s="159" t="s">
        <v>0</v>
      </c>
    </row>
    <row r="402" spans="2:11" x14ac:dyDescent="0.25">
      <c r="B402" s="130">
        <v>622031424</v>
      </c>
      <c r="C402" s="130" t="s">
        <v>73</v>
      </c>
      <c r="D402" s="133">
        <v>45559.652128981499</v>
      </c>
      <c r="E402" s="130" t="s">
        <v>291</v>
      </c>
      <c r="F402" s="161" t="s">
        <v>523</v>
      </c>
      <c r="G402" s="33" t="str">
        <f>IFERROR(INDEX([1]Positions!$A:$A,MATCH(F402,[1]Positions!$C:$C,0)),"Other")</f>
        <v>Financial Services</v>
      </c>
      <c r="H402" s="33" t="b">
        <f t="shared" si="12"/>
        <v>1</v>
      </c>
      <c r="I402" s="33" t="str">
        <f t="shared" si="13"/>
        <v>2024-09-24</v>
      </c>
      <c r="J402" s="147">
        <v>-19.98</v>
      </c>
      <c r="K402" s="159" t="s">
        <v>0</v>
      </c>
    </row>
    <row r="403" spans="2:11" x14ac:dyDescent="0.25">
      <c r="B403" s="139">
        <v>622869620</v>
      </c>
      <c r="C403" s="139" t="s">
        <v>116</v>
      </c>
      <c r="D403" s="142">
        <v>45560.6813896065</v>
      </c>
      <c r="E403" s="139" t="s">
        <v>818</v>
      </c>
      <c r="F403" s="162" t="s">
        <v>524</v>
      </c>
      <c r="G403" s="33" t="str">
        <f>IFERROR(INDEX([1]Positions!$A:$A,MATCH(F403,[1]Positions!$C:$C,0)),"Other")</f>
        <v>Technology</v>
      </c>
      <c r="H403" s="33" t="b">
        <f t="shared" si="12"/>
        <v>1</v>
      </c>
      <c r="I403" s="33" t="str">
        <f t="shared" si="13"/>
        <v>2024-09-25</v>
      </c>
      <c r="J403" s="148">
        <v>0</v>
      </c>
      <c r="K403" s="159" t="s">
        <v>0</v>
      </c>
    </row>
    <row r="404" spans="2:11" x14ac:dyDescent="0.25">
      <c r="B404" s="130">
        <v>623020975</v>
      </c>
      <c r="C404" s="130" t="s">
        <v>77</v>
      </c>
      <c r="D404" s="133">
        <v>45560.820298553197</v>
      </c>
      <c r="E404" s="130" t="s">
        <v>292</v>
      </c>
      <c r="F404" s="161" t="s">
        <v>517</v>
      </c>
      <c r="G404" s="33" t="str">
        <f>IFERROR(INDEX([1]Positions!$A:$A,MATCH(F404,[1]Positions!$C:$C,0)),"Other")</f>
        <v>Technology</v>
      </c>
      <c r="H404" s="33" t="b">
        <f t="shared" si="12"/>
        <v>1</v>
      </c>
      <c r="I404" s="33" t="str">
        <f t="shared" si="13"/>
        <v>2024-09-25</v>
      </c>
      <c r="J404" s="147">
        <v>-3.78</v>
      </c>
      <c r="K404" s="159" t="s">
        <v>0</v>
      </c>
    </row>
    <row r="405" spans="2:11" x14ac:dyDescent="0.25">
      <c r="B405" s="139">
        <v>623020976</v>
      </c>
      <c r="C405" s="139" t="s">
        <v>80</v>
      </c>
      <c r="D405" s="142">
        <v>45560.820298553197</v>
      </c>
      <c r="E405" s="139" t="s">
        <v>293</v>
      </c>
      <c r="F405" s="162" t="s">
        <v>517</v>
      </c>
      <c r="G405" s="33" t="str">
        <f>IFERROR(INDEX([1]Positions!$A:$A,MATCH(F405,[1]Positions!$C:$C,0)),"Other")</f>
        <v>Technology</v>
      </c>
      <c r="H405" s="33" t="b">
        <f t="shared" si="12"/>
        <v>1</v>
      </c>
      <c r="I405" s="33" t="str">
        <f t="shared" si="13"/>
        <v>2024-09-25</v>
      </c>
      <c r="J405" s="148">
        <v>24.98</v>
      </c>
      <c r="K405" s="159" t="s">
        <v>0</v>
      </c>
    </row>
    <row r="406" spans="2:11" x14ac:dyDescent="0.25">
      <c r="B406" s="130">
        <v>623021070</v>
      </c>
      <c r="C406" s="130" t="s">
        <v>73</v>
      </c>
      <c r="D406" s="133">
        <v>45560.8204115509</v>
      </c>
      <c r="E406" s="130" t="s">
        <v>294</v>
      </c>
      <c r="F406" s="161" t="s">
        <v>523</v>
      </c>
      <c r="G406" s="33" t="str">
        <f>IFERROR(INDEX([1]Positions!$A:$A,MATCH(F406,[1]Positions!$C:$C,0)),"Other")</f>
        <v>Financial Services</v>
      </c>
      <c r="H406" s="33" t="b">
        <f t="shared" si="12"/>
        <v>1</v>
      </c>
      <c r="I406" s="33" t="str">
        <f t="shared" si="13"/>
        <v>2024-09-25</v>
      </c>
      <c r="J406" s="147">
        <v>-19.98</v>
      </c>
      <c r="K406" s="159" t="s">
        <v>0</v>
      </c>
    </row>
    <row r="407" spans="2:11" x14ac:dyDescent="0.25">
      <c r="B407" s="139">
        <v>623393703</v>
      </c>
      <c r="C407" s="139" t="s">
        <v>69</v>
      </c>
      <c r="D407" s="142">
        <v>45561.500023078697</v>
      </c>
      <c r="E407" s="139" t="s">
        <v>819</v>
      </c>
      <c r="F407" s="162" t="s">
        <v>510</v>
      </c>
      <c r="G407" s="33" t="str">
        <f>IFERROR(INDEX([1]Positions!$A:$A,MATCH(F407,[1]Positions!$C:$C,0)),"Other")</f>
        <v>Technology</v>
      </c>
      <c r="H407" s="33" t="b">
        <f t="shared" si="12"/>
        <v>1</v>
      </c>
      <c r="I407" s="33" t="str">
        <f t="shared" si="13"/>
        <v>2024-09-26</v>
      </c>
      <c r="J407" s="148">
        <v>0.11</v>
      </c>
      <c r="K407" s="159" t="s">
        <v>0</v>
      </c>
    </row>
    <row r="408" spans="2:11" x14ac:dyDescent="0.25">
      <c r="B408" s="130">
        <v>623393704</v>
      </c>
      <c r="C408" s="130" t="s">
        <v>70</v>
      </c>
      <c r="D408" s="133">
        <v>45561.500023078697</v>
      </c>
      <c r="E408" s="130" t="s">
        <v>820</v>
      </c>
      <c r="F408" s="161" t="s">
        <v>510</v>
      </c>
      <c r="G408" s="33" t="str">
        <f>IFERROR(INDEX([1]Positions!$A:$A,MATCH(F408,[1]Positions!$C:$C,0)),"Other")</f>
        <v>Technology</v>
      </c>
      <c r="H408" s="33" t="b">
        <f t="shared" si="12"/>
        <v>1</v>
      </c>
      <c r="I408" s="33" t="str">
        <f t="shared" si="13"/>
        <v>2024-09-26</v>
      </c>
      <c r="J408" s="147">
        <v>-0.03</v>
      </c>
      <c r="K408" s="159" t="s">
        <v>0</v>
      </c>
    </row>
    <row r="409" spans="2:11" x14ac:dyDescent="0.25">
      <c r="B409" s="139">
        <v>623769557</v>
      </c>
      <c r="C409" s="139" t="s">
        <v>116</v>
      </c>
      <c r="D409" s="142">
        <v>45561.650494976799</v>
      </c>
      <c r="E409" s="139" t="s">
        <v>821</v>
      </c>
      <c r="F409" s="162" t="s">
        <v>517</v>
      </c>
      <c r="G409" s="33" t="str">
        <f>IFERROR(INDEX([1]Positions!$A:$A,MATCH(F409,[1]Positions!$C:$C,0)),"Other")</f>
        <v>Technology</v>
      </c>
      <c r="H409" s="33" t="b">
        <f t="shared" si="12"/>
        <v>1</v>
      </c>
      <c r="I409" s="33" t="str">
        <f t="shared" si="13"/>
        <v>2024-09-26</v>
      </c>
      <c r="J409" s="148">
        <v>0</v>
      </c>
      <c r="K409" s="159" t="s">
        <v>0</v>
      </c>
    </row>
    <row r="410" spans="2:11" x14ac:dyDescent="0.25">
      <c r="B410" s="130">
        <v>624734365</v>
      </c>
      <c r="C410" s="130" t="s">
        <v>73</v>
      </c>
      <c r="D410" s="133">
        <v>45562.693518368098</v>
      </c>
      <c r="E410" s="130" t="s">
        <v>295</v>
      </c>
      <c r="F410" s="161" t="s">
        <v>52</v>
      </c>
      <c r="G410" s="33" t="str">
        <f>IFERROR(INDEX([1]Positions!$A:$A,MATCH(F410,[1]Positions!$C:$C,0)),"Other")</f>
        <v>MISC</v>
      </c>
      <c r="H410" s="33" t="b">
        <f t="shared" si="12"/>
        <v>1</v>
      </c>
      <c r="I410" s="33" t="str">
        <f t="shared" si="13"/>
        <v>2024-09-27</v>
      </c>
      <c r="J410" s="147">
        <v>-14.97</v>
      </c>
      <c r="K410" s="159" t="s">
        <v>0</v>
      </c>
    </row>
    <row r="411" spans="2:11" x14ac:dyDescent="0.25">
      <c r="B411" s="139">
        <v>625432441</v>
      </c>
      <c r="C411" s="139" t="s">
        <v>69</v>
      </c>
      <c r="D411" s="142">
        <v>45565.5002299884</v>
      </c>
      <c r="E411" s="139" t="s">
        <v>770</v>
      </c>
      <c r="F411" s="162" t="s">
        <v>508</v>
      </c>
      <c r="G411" s="33" t="str">
        <f>IFERROR(INDEX([1]Positions!$A:$A,MATCH(F411,[1]Positions!$C:$C,0)),"Other")</f>
        <v>Consumer Defensive</v>
      </c>
      <c r="H411" s="33" t="b">
        <f t="shared" si="12"/>
        <v>1</v>
      </c>
      <c r="I411" s="33" t="str">
        <f t="shared" si="13"/>
        <v>2024-09-30</v>
      </c>
      <c r="J411" s="148">
        <v>0.16</v>
      </c>
      <c r="K411" s="159" t="s">
        <v>0</v>
      </c>
    </row>
    <row r="412" spans="2:11" x14ac:dyDescent="0.25">
      <c r="B412" s="130">
        <v>625432442</v>
      </c>
      <c r="C412" s="130" t="s">
        <v>70</v>
      </c>
      <c r="D412" s="133">
        <v>45565.500229999998</v>
      </c>
      <c r="E412" s="130" t="s">
        <v>771</v>
      </c>
      <c r="F412" s="161" t="s">
        <v>508</v>
      </c>
      <c r="G412" s="33" t="str">
        <f>IFERROR(INDEX([1]Positions!$A:$A,MATCH(F412,[1]Positions!$C:$C,0)),"Other")</f>
        <v>Consumer Defensive</v>
      </c>
      <c r="H412" s="33" t="b">
        <f t="shared" si="12"/>
        <v>1</v>
      </c>
      <c r="I412" s="33" t="str">
        <f t="shared" si="13"/>
        <v>2024-09-30</v>
      </c>
      <c r="J412" s="147">
        <v>-0.05</v>
      </c>
      <c r="K412" s="159" t="s">
        <v>0</v>
      </c>
    </row>
    <row r="413" spans="2:11" x14ac:dyDescent="0.25">
      <c r="B413" s="139">
        <v>629113311</v>
      </c>
      <c r="C413" s="139" t="s">
        <v>73</v>
      </c>
      <c r="D413" s="142">
        <v>45568.773487245402</v>
      </c>
      <c r="E413" s="139" t="s">
        <v>296</v>
      </c>
      <c r="F413" s="162" t="s">
        <v>531</v>
      </c>
      <c r="G413" s="33" t="str">
        <f>IFERROR(INDEX([1]Positions!$A:$A,MATCH(F413,[1]Positions!$C:$C,0)),"Other")</f>
        <v>Consumer Defensive</v>
      </c>
      <c r="H413" s="33" t="b">
        <f t="shared" si="12"/>
        <v>1</v>
      </c>
      <c r="I413" s="33" t="str">
        <f t="shared" si="13"/>
        <v>2024-10-03</v>
      </c>
      <c r="J413" s="145">
        <v>-15</v>
      </c>
      <c r="K413" s="159" t="s">
        <v>0</v>
      </c>
    </row>
    <row r="414" spans="2:11" x14ac:dyDescent="0.25">
      <c r="B414" s="130">
        <v>629115436</v>
      </c>
      <c r="C414" s="130" t="s">
        <v>73</v>
      </c>
      <c r="D414" s="133">
        <v>45568.775054004604</v>
      </c>
      <c r="E414" s="130" t="s">
        <v>297</v>
      </c>
      <c r="F414" s="161" t="s">
        <v>521</v>
      </c>
      <c r="G414" s="33" t="str">
        <f>IFERROR(INDEX([1]Positions!$A:$A,MATCH(F414,[1]Positions!$C:$C,0)),"Other")</f>
        <v>Technology</v>
      </c>
      <c r="H414" s="33" t="b">
        <f t="shared" si="12"/>
        <v>1</v>
      </c>
      <c r="I414" s="33" t="str">
        <f t="shared" si="13"/>
        <v>2024-10-03</v>
      </c>
      <c r="J414" s="147">
        <v>-14.97</v>
      </c>
      <c r="K414" s="159" t="s">
        <v>0</v>
      </c>
    </row>
    <row r="415" spans="2:11" x14ac:dyDescent="0.25">
      <c r="B415" s="139">
        <v>633298355</v>
      </c>
      <c r="C415" s="139" t="s">
        <v>69</v>
      </c>
      <c r="D415" s="142">
        <v>45574.500105300896</v>
      </c>
      <c r="E415" s="139" t="s">
        <v>822</v>
      </c>
      <c r="F415" s="162" t="s">
        <v>513</v>
      </c>
      <c r="G415" s="33" t="str">
        <f>IFERROR(INDEX([1]Positions!$A:$A,MATCH(F415,[1]Positions!$C:$C,0)),"Other")</f>
        <v>Technology</v>
      </c>
      <c r="H415" s="33" t="b">
        <f t="shared" si="12"/>
        <v>1</v>
      </c>
      <c r="I415" s="33" t="str">
        <f t="shared" si="13"/>
        <v>2024-10-09</v>
      </c>
      <c r="J415" s="148">
        <v>7.0000000000000007E-2</v>
      </c>
      <c r="K415" s="159" t="s">
        <v>0</v>
      </c>
    </row>
    <row r="416" spans="2:11" x14ac:dyDescent="0.25">
      <c r="B416" s="130">
        <v>633298356</v>
      </c>
      <c r="C416" s="130" t="s">
        <v>70</v>
      </c>
      <c r="D416" s="133">
        <v>45574.500105300896</v>
      </c>
      <c r="E416" s="130" t="s">
        <v>781</v>
      </c>
      <c r="F416" s="161" t="s">
        <v>513</v>
      </c>
      <c r="G416" s="33" t="str">
        <f>IFERROR(INDEX([1]Positions!$A:$A,MATCH(F416,[1]Positions!$C:$C,0)),"Other")</f>
        <v>Technology</v>
      </c>
      <c r="H416" s="33" t="b">
        <f t="shared" si="12"/>
        <v>1</v>
      </c>
      <c r="I416" s="33" t="str">
        <f t="shared" si="13"/>
        <v>2024-10-09</v>
      </c>
      <c r="J416" s="147">
        <v>-0.01</v>
      </c>
      <c r="K416" s="159" t="s">
        <v>0</v>
      </c>
    </row>
    <row r="417" spans="2:11" ht="42" x14ac:dyDescent="0.25">
      <c r="B417" s="139">
        <v>633410154</v>
      </c>
      <c r="C417" s="139" t="s">
        <v>71</v>
      </c>
      <c r="D417" s="142">
        <v>45574.5896294907</v>
      </c>
      <c r="E417" s="139" t="s">
        <v>298</v>
      </c>
      <c r="F417" s="162"/>
      <c r="G417" s="33" t="str">
        <f>IFERROR(INDEX([1]Positions!$A:$A,MATCH(F417,[1]Positions!$C:$C,0)),"Other")</f>
        <v>Other</v>
      </c>
      <c r="H417" s="33" t="b">
        <f t="shared" si="12"/>
        <v>1</v>
      </c>
      <c r="I417" s="33" t="str">
        <f t="shared" si="13"/>
        <v>2024-10-09</v>
      </c>
      <c r="J417" s="148">
        <v>50</v>
      </c>
      <c r="K417" s="159" t="s">
        <v>0</v>
      </c>
    </row>
    <row r="418" spans="2:11" x14ac:dyDescent="0.25">
      <c r="B418" s="130">
        <v>634064188</v>
      </c>
      <c r="C418" s="130" t="s">
        <v>69</v>
      </c>
      <c r="D418" s="133">
        <v>45575.500164062498</v>
      </c>
      <c r="E418" s="130" t="s">
        <v>823</v>
      </c>
      <c r="F418" s="161" t="s">
        <v>532</v>
      </c>
      <c r="G418" s="33" t="str">
        <f>IFERROR(INDEX([1]Positions!$A:$A,MATCH(F418,[1]Positions!$C:$C,0)),"Other")</f>
        <v>Consumer Defensive</v>
      </c>
      <c r="H418" s="33" t="b">
        <f t="shared" si="12"/>
        <v>1</v>
      </c>
      <c r="I418" s="33" t="str">
        <f t="shared" si="13"/>
        <v>2024-10-10</v>
      </c>
      <c r="J418" s="136">
        <v>0.7</v>
      </c>
      <c r="K418" s="159" t="s">
        <v>0</v>
      </c>
    </row>
    <row r="419" spans="2:11" x14ac:dyDescent="0.25">
      <c r="B419" s="139">
        <v>634064189</v>
      </c>
      <c r="C419" s="139" t="s">
        <v>70</v>
      </c>
      <c r="D419" s="142">
        <v>45575.500164062498</v>
      </c>
      <c r="E419" s="139" t="s">
        <v>824</v>
      </c>
      <c r="F419" s="162" t="s">
        <v>532</v>
      </c>
      <c r="G419" s="33" t="str">
        <f>IFERROR(INDEX([1]Positions!$A:$A,MATCH(F419,[1]Positions!$C:$C,0)),"Other")</f>
        <v>Consumer Defensive</v>
      </c>
      <c r="H419" s="33" t="b">
        <f t="shared" si="12"/>
        <v>1</v>
      </c>
      <c r="I419" s="33" t="str">
        <f t="shared" si="13"/>
        <v>2024-10-10</v>
      </c>
      <c r="J419" s="145">
        <v>-0.21</v>
      </c>
      <c r="K419" s="159" t="s">
        <v>0</v>
      </c>
    </row>
    <row r="420" spans="2:11" x14ac:dyDescent="0.25">
      <c r="B420" s="130">
        <v>636140921</v>
      </c>
      <c r="C420" s="130" t="s">
        <v>73</v>
      </c>
      <c r="D420" s="133">
        <v>45579.700884768499</v>
      </c>
      <c r="E420" s="130" t="s">
        <v>299</v>
      </c>
      <c r="F420" s="161" t="s">
        <v>52</v>
      </c>
      <c r="G420" s="33" t="str">
        <f>IFERROR(INDEX([1]Positions!$A:$A,MATCH(F420,[1]Positions!$C:$C,0)),"Other")</f>
        <v>MISC</v>
      </c>
      <c r="H420" s="33" t="b">
        <f t="shared" si="12"/>
        <v>1</v>
      </c>
      <c r="I420" s="33" t="str">
        <f t="shared" si="13"/>
        <v>2024-10-14</v>
      </c>
      <c r="J420" s="147">
        <v>-14.96</v>
      </c>
      <c r="K420" s="159" t="s">
        <v>0</v>
      </c>
    </row>
    <row r="421" spans="2:11" x14ac:dyDescent="0.25">
      <c r="B421" s="139">
        <v>637256966</v>
      </c>
      <c r="C421" s="139" t="s">
        <v>73</v>
      </c>
      <c r="D421" s="142">
        <v>45580.705995682903</v>
      </c>
      <c r="E421" s="139" t="s">
        <v>300</v>
      </c>
      <c r="F421" s="162" t="s">
        <v>527</v>
      </c>
      <c r="G421" s="33" t="str">
        <f>IFERROR(INDEX([1]Positions!$A:$A,MATCH(F421,[1]Positions!$C:$C,0)),"Other")</f>
        <v>Consumer Cyclical</v>
      </c>
      <c r="H421" s="33" t="b">
        <f t="shared" si="12"/>
        <v>1</v>
      </c>
      <c r="I421" s="33" t="str">
        <f t="shared" si="13"/>
        <v>2024-10-15</v>
      </c>
      <c r="J421" s="145">
        <v>-13.99</v>
      </c>
      <c r="K421" s="159" t="s">
        <v>0</v>
      </c>
    </row>
    <row r="422" spans="2:11" x14ac:dyDescent="0.25">
      <c r="B422" s="130">
        <v>637257905</v>
      </c>
      <c r="C422" s="130" t="s">
        <v>73</v>
      </c>
      <c r="D422" s="133">
        <v>45580.706480891196</v>
      </c>
      <c r="E422" s="130" t="s">
        <v>301</v>
      </c>
      <c r="F422" s="161" t="s">
        <v>541</v>
      </c>
      <c r="G422" s="33" t="str">
        <f>IFERROR(INDEX([1]Positions!$A:$A,MATCH(F422,[1]Positions!$C:$C,0)),"Other")</f>
        <v>Consumer Defensive</v>
      </c>
      <c r="H422" s="33" t="b">
        <f t="shared" si="12"/>
        <v>1</v>
      </c>
      <c r="I422" s="33" t="str">
        <f t="shared" si="13"/>
        <v>2024-10-15</v>
      </c>
      <c r="J422" s="147">
        <v>-26</v>
      </c>
      <c r="K422" s="159" t="s">
        <v>0</v>
      </c>
    </row>
    <row r="423" spans="2:11" ht="42" x14ac:dyDescent="0.25">
      <c r="B423" s="139">
        <v>638738821</v>
      </c>
      <c r="C423" s="139" t="s">
        <v>71</v>
      </c>
      <c r="D423" s="142">
        <v>45582.667088819398</v>
      </c>
      <c r="E423" s="139" t="s">
        <v>302</v>
      </c>
      <c r="F423" s="162"/>
      <c r="G423" s="33" t="str">
        <f>IFERROR(INDEX([1]Positions!$A:$A,MATCH(F423,[1]Positions!$C:$C,0)),"Other")</f>
        <v>Other</v>
      </c>
      <c r="H423" s="33" t="b">
        <f t="shared" si="12"/>
        <v>1</v>
      </c>
      <c r="I423" s="33" t="str">
        <f t="shared" si="13"/>
        <v>2024-10-17</v>
      </c>
      <c r="J423" s="148">
        <v>50</v>
      </c>
      <c r="K423" s="159" t="s">
        <v>0</v>
      </c>
    </row>
    <row r="424" spans="2:11" x14ac:dyDescent="0.25">
      <c r="B424" s="130">
        <v>638869237</v>
      </c>
      <c r="C424" s="130" t="s">
        <v>73</v>
      </c>
      <c r="D424" s="133">
        <v>45582.7399689468</v>
      </c>
      <c r="E424" s="130" t="s">
        <v>303</v>
      </c>
      <c r="F424" s="161" t="s">
        <v>528</v>
      </c>
      <c r="G424" s="33" t="str">
        <f>IFERROR(INDEX([1]Positions!$A:$A,MATCH(F424,[1]Positions!$C:$C,0)),"Other")</f>
        <v>Technology</v>
      </c>
      <c r="H424" s="33" t="b">
        <f t="shared" si="12"/>
        <v>1</v>
      </c>
      <c r="I424" s="33" t="str">
        <f t="shared" si="13"/>
        <v>2024-10-17</v>
      </c>
      <c r="J424" s="147">
        <v>-12.98</v>
      </c>
      <c r="K424" s="159" t="s">
        <v>0</v>
      </c>
    </row>
    <row r="425" spans="2:11" x14ac:dyDescent="0.25">
      <c r="B425" s="139">
        <v>639420863</v>
      </c>
      <c r="C425" s="139" t="s">
        <v>73</v>
      </c>
      <c r="D425" s="142">
        <v>45583.645886041697</v>
      </c>
      <c r="E425" s="139" t="s">
        <v>304</v>
      </c>
      <c r="F425" s="162" t="s">
        <v>525</v>
      </c>
      <c r="G425" s="33" t="str">
        <f>IFERROR(INDEX([1]Positions!$A:$A,MATCH(F425,[1]Positions!$C:$C,0)),"Other")</f>
        <v>Technology</v>
      </c>
      <c r="H425" s="33" t="b">
        <f t="shared" si="12"/>
        <v>1</v>
      </c>
      <c r="I425" s="33" t="str">
        <f t="shared" si="13"/>
        <v>2024-10-18</v>
      </c>
      <c r="J425" s="145">
        <v>-20.48</v>
      </c>
      <c r="K425" s="159" t="s">
        <v>0</v>
      </c>
    </row>
    <row r="426" spans="2:11" x14ac:dyDescent="0.25">
      <c r="B426" s="130">
        <v>643423005</v>
      </c>
      <c r="C426" s="130" t="s">
        <v>77</v>
      </c>
      <c r="D426" s="133">
        <v>45590.7303810417</v>
      </c>
      <c r="E426" s="130" t="s">
        <v>305</v>
      </c>
      <c r="F426" s="161" t="s">
        <v>41</v>
      </c>
      <c r="G426" s="33" t="str">
        <f>IFERROR(INDEX([1]Positions!$A:$A,MATCH(F426,[1]Positions!$C:$C,0)),"Other")</f>
        <v>Other</v>
      </c>
      <c r="H426" s="33" t="b">
        <f t="shared" si="12"/>
        <v>1</v>
      </c>
      <c r="I426" s="33" t="str">
        <f t="shared" si="13"/>
        <v>2024-10-25</v>
      </c>
      <c r="J426" s="147">
        <v>-1.05</v>
      </c>
      <c r="K426" s="159" t="s">
        <v>0</v>
      </c>
    </row>
    <row r="427" spans="2:11" x14ac:dyDescent="0.25">
      <c r="B427" s="139">
        <v>643423645</v>
      </c>
      <c r="C427" s="139" t="s">
        <v>77</v>
      </c>
      <c r="D427" s="142">
        <v>45590.730707210598</v>
      </c>
      <c r="E427" s="139" t="s">
        <v>306</v>
      </c>
      <c r="F427" s="162" t="s">
        <v>41</v>
      </c>
      <c r="G427" s="33" t="str">
        <f>IFERROR(INDEX([1]Positions!$A:$A,MATCH(F427,[1]Positions!$C:$C,0)),"Other")</f>
        <v>Other</v>
      </c>
      <c r="H427" s="33" t="b">
        <f t="shared" si="12"/>
        <v>1</v>
      </c>
      <c r="I427" s="33" t="str">
        <f t="shared" si="13"/>
        <v>2024-10-25</v>
      </c>
      <c r="J427" s="148">
        <v>3.94</v>
      </c>
      <c r="K427" s="159" t="s">
        <v>0</v>
      </c>
    </row>
    <row r="428" spans="2:11" x14ac:dyDescent="0.25">
      <c r="B428" s="130">
        <v>644357419</v>
      </c>
      <c r="C428" s="130" t="s">
        <v>73</v>
      </c>
      <c r="D428" s="133">
        <v>45593.726277419002</v>
      </c>
      <c r="E428" s="130" t="s">
        <v>307</v>
      </c>
      <c r="F428" s="161" t="s">
        <v>513</v>
      </c>
      <c r="G428" s="33" t="str">
        <f>IFERROR(INDEX([1]Positions!$A:$A,MATCH(F428,[1]Positions!$C:$C,0)),"Other")</f>
        <v>Technology</v>
      </c>
      <c r="H428" s="33" t="b">
        <f t="shared" si="12"/>
        <v>1</v>
      </c>
      <c r="I428" s="33" t="str">
        <f t="shared" si="13"/>
        <v>2024-10-28</v>
      </c>
      <c r="J428" s="147">
        <v>-14.98</v>
      </c>
      <c r="K428" s="159" t="s">
        <v>0</v>
      </c>
    </row>
    <row r="429" spans="2:11" x14ac:dyDescent="0.25">
      <c r="B429" s="139">
        <v>645678853</v>
      </c>
      <c r="C429" s="139" t="s">
        <v>77</v>
      </c>
      <c r="D429" s="142">
        <v>45595.556388506899</v>
      </c>
      <c r="E429" s="139" t="s">
        <v>308</v>
      </c>
      <c r="F429" s="162" t="s">
        <v>41</v>
      </c>
      <c r="G429" s="33" t="str">
        <f>IFERROR(INDEX([1]Positions!$A:$A,MATCH(F429,[1]Positions!$C:$C,0)),"Other")</f>
        <v>Other</v>
      </c>
      <c r="H429" s="33" t="b">
        <f t="shared" si="12"/>
        <v>1</v>
      </c>
      <c r="I429" s="33" t="str">
        <f t="shared" si="13"/>
        <v>2024-10-30</v>
      </c>
      <c r="J429" s="148">
        <v>3.68</v>
      </c>
      <c r="K429" s="159" t="s">
        <v>0</v>
      </c>
    </row>
    <row r="430" spans="2:11" x14ac:dyDescent="0.25">
      <c r="B430" s="130">
        <v>645678854</v>
      </c>
      <c r="C430" s="130" t="s">
        <v>101</v>
      </c>
      <c r="D430" s="133">
        <v>45595.556388506899</v>
      </c>
      <c r="E430" s="130" t="s">
        <v>309</v>
      </c>
      <c r="F430" s="161" t="s">
        <v>41</v>
      </c>
      <c r="G430" s="33" t="str">
        <f>IFERROR(INDEX([1]Positions!$A:$A,MATCH(F430,[1]Positions!$C:$C,0)),"Other")</f>
        <v>Other</v>
      </c>
      <c r="H430" s="33" t="b">
        <f t="shared" si="12"/>
        <v>1</v>
      </c>
      <c r="I430" s="33" t="str">
        <f t="shared" si="13"/>
        <v>2024-10-30</v>
      </c>
      <c r="J430" s="147">
        <v>-0.22</v>
      </c>
      <c r="K430" s="159" t="s">
        <v>0</v>
      </c>
    </row>
    <row r="431" spans="2:11" x14ac:dyDescent="0.25">
      <c r="B431" s="139">
        <v>646078662</v>
      </c>
      <c r="C431" s="139" t="s">
        <v>77</v>
      </c>
      <c r="D431" s="142">
        <v>45595.945838171298</v>
      </c>
      <c r="E431" s="139" t="s">
        <v>310</v>
      </c>
      <c r="F431" s="162" t="s">
        <v>41</v>
      </c>
      <c r="G431" s="33" t="str">
        <f>IFERROR(INDEX([1]Positions!$A:$A,MATCH(F431,[1]Positions!$C:$C,0)),"Other")</f>
        <v>Other</v>
      </c>
      <c r="H431" s="33" t="b">
        <f t="shared" si="12"/>
        <v>1</v>
      </c>
      <c r="I431" s="33" t="str">
        <f t="shared" si="13"/>
        <v>2024-10-30</v>
      </c>
      <c r="J431" s="145">
        <v>-1.56</v>
      </c>
      <c r="K431" s="159" t="s">
        <v>0</v>
      </c>
    </row>
    <row r="432" spans="2:11" x14ac:dyDescent="0.25">
      <c r="B432" s="130">
        <v>647068636</v>
      </c>
      <c r="C432" s="130" t="s">
        <v>77</v>
      </c>
      <c r="D432" s="133">
        <v>45597.133386875001</v>
      </c>
      <c r="E432" s="130" t="s">
        <v>311</v>
      </c>
      <c r="F432" s="161" t="s">
        <v>43</v>
      </c>
      <c r="G432" s="33" t="str">
        <f>IFERROR(INDEX([1]Positions!$A:$A,MATCH(F432,[1]Positions!$C:$C,0)),"Other")</f>
        <v>Other</v>
      </c>
      <c r="H432" s="33" t="b">
        <f t="shared" si="12"/>
        <v>1</v>
      </c>
      <c r="I432" s="33" t="str">
        <f t="shared" si="13"/>
        <v>2024-11-01</v>
      </c>
      <c r="J432" s="136">
        <v>0.25</v>
      </c>
      <c r="K432" s="159" t="s">
        <v>0</v>
      </c>
    </row>
    <row r="433" spans="2:11" ht="42" x14ac:dyDescent="0.25">
      <c r="B433" s="139">
        <v>647065903</v>
      </c>
      <c r="C433" s="139" t="s">
        <v>71</v>
      </c>
      <c r="D433" s="142">
        <v>45597.126810983798</v>
      </c>
      <c r="E433" s="139" t="s">
        <v>312</v>
      </c>
      <c r="F433" s="162"/>
      <c r="G433" s="33" t="str">
        <f>IFERROR(INDEX([1]Positions!$A:$A,MATCH(F433,[1]Positions!$C:$C,0)),"Other")</f>
        <v>Other</v>
      </c>
      <c r="H433" s="33" t="b">
        <f t="shared" si="12"/>
        <v>1</v>
      </c>
      <c r="I433" s="33" t="str">
        <f t="shared" si="13"/>
        <v>2024-11-01</v>
      </c>
      <c r="J433" s="148">
        <v>50</v>
      </c>
      <c r="K433" s="159" t="s">
        <v>0</v>
      </c>
    </row>
    <row r="434" spans="2:11" x14ac:dyDescent="0.25">
      <c r="B434" s="130">
        <v>647072891</v>
      </c>
      <c r="C434" s="130" t="s">
        <v>77</v>
      </c>
      <c r="D434" s="133">
        <v>45597.150752997703</v>
      </c>
      <c r="E434" s="130" t="s">
        <v>313</v>
      </c>
      <c r="F434" s="161" t="s">
        <v>43</v>
      </c>
      <c r="G434" s="33" t="str">
        <f>IFERROR(INDEX([1]Positions!$A:$A,MATCH(F434,[1]Positions!$C:$C,0)),"Other")</f>
        <v>Other</v>
      </c>
      <c r="H434" s="33" t="b">
        <f t="shared" si="12"/>
        <v>1</v>
      </c>
      <c r="I434" s="33" t="str">
        <f t="shared" si="13"/>
        <v>2024-11-01</v>
      </c>
      <c r="J434" s="147">
        <v>-1.27</v>
      </c>
      <c r="K434" s="159" t="s">
        <v>0</v>
      </c>
    </row>
    <row r="435" spans="2:11" x14ac:dyDescent="0.25">
      <c r="B435" s="139">
        <v>647070712</v>
      </c>
      <c r="C435" s="139" t="s">
        <v>77</v>
      </c>
      <c r="D435" s="142">
        <v>45597.138743645803</v>
      </c>
      <c r="E435" s="139" t="s">
        <v>314</v>
      </c>
      <c r="F435" s="162" t="s">
        <v>43</v>
      </c>
      <c r="G435" s="33" t="str">
        <f>IFERROR(INDEX([1]Positions!$A:$A,MATCH(F435,[1]Positions!$C:$C,0)),"Other")</f>
        <v>Other</v>
      </c>
      <c r="H435" s="33" t="b">
        <f t="shared" si="12"/>
        <v>1</v>
      </c>
      <c r="I435" s="33" t="str">
        <f t="shared" si="13"/>
        <v>2024-11-01</v>
      </c>
      <c r="J435" s="148">
        <v>0.02</v>
      </c>
      <c r="K435" s="159" t="s">
        <v>0</v>
      </c>
    </row>
    <row r="436" spans="2:11" x14ac:dyDescent="0.25">
      <c r="B436" s="130">
        <v>647071946</v>
      </c>
      <c r="C436" s="130" t="s">
        <v>77</v>
      </c>
      <c r="D436" s="133">
        <v>45597.145487060203</v>
      </c>
      <c r="E436" s="130" t="s">
        <v>315</v>
      </c>
      <c r="F436" s="161" t="s">
        <v>43</v>
      </c>
      <c r="G436" s="33" t="str">
        <f>IFERROR(INDEX([1]Positions!$A:$A,MATCH(F436,[1]Positions!$C:$C,0)),"Other")</f>
        <v>Other</v>
      </c>
      <c r="H436" s="33" t="b">
        <f t="shared" si="12"/>
        <v>1</v>
      </c>
      <c r="I436" s="33" t="str">
        <f t="shared" si="13"/>
        <v>2024-11-01</v>
      </c>
      <c r="J436" s="147">
        <v>-0.66</v>
      </c>
      <c r="K436" s="159" t="s">
        <v>0</v>
      </c>
    </row>
    <row r="437" spans="2:11" x14ac:dyDescent="0.25">
      <c r="B437" s="139">
        <v>647076126</v>
      </c>
      <c r="C437" s="139" t="s">
        <v>77</v>
      </c>
      <c r="D437" s="142">
        <v>45597.167569201403</v>
      </c>
      <c r="E437" s="139" t="s">
        <v>316</v>
      </c>
      <c r="F437" s="162" t="s">
        <v>43</v>
      </c>
      <c r="G437" s="33" t="str">
        <f>IFERROR(INDEX([1]Positions!$A:$A,MATCH(F437,[1]Positions!$C:$C,0)),"Other")</f>
        <v>Other</v>
      </c>
      <c r="H437" s="33" t="b">
        <f t="shared" si="12"/>
        <v>1</v>
      </c>
      <c r="I437" s="33" t="str">
        <f t="shared" si="13"/>
        <v>2024-11-01</v>
      </c>
      <c r="J437" s="148">
        <v>0.33</v>
      </c>
      <c r="K437" s="159" t="s">
        <v>0</v>
      </c>
    </row>
    <row r="438" spans="2:11" x14ac:dyDescent="0.25">
      <c r="B438" s="130">
        <v>647072694</v>
      </c>
      <c r="C438" s="130" t="s">
        <v>77</v>
      </c>
      <c r="D438" s="133">
        <v>45597.149368148202</v>
      </c>
      <c r="E438" s="130" t="s">
        <v>317</v>
      </c>
      <c r="F438" s="161" t="s">
        <v>43</v>
      </c>
      <c r="G438" s="33" t="str">
        <f>IFERROR(INDEX([1]Positions!$A:$A,MATCH(F438,[1]Positions!$C:$C,0)),"Other")</f>
        <v>Other</v>
      </c>
      <c r="H438" s="33" t="b">
        <f t="shared" si="12"/>
        <v>1</v>
      </c>
      <c r="I438" s="33" t="str">
        <f t="shared" si="13"/>
        <v>2024-11-01</v>
      </c>
      <c r="J438" s="147">
        <v>-1.83</v>
      </c>
      <c r="K438" s="159" t="s">
        <v>0</v>
      </c>
    </row>
    <row r="439" spans="2:11" x14ac:dyDescent="0.25">
      <c r="B439" s="139">
        <v>647080286</v>
      </c>
      <c r="C439" s="139" t="s">
        <v>77</v>
      </c>
      <c r="D439" s="142">
        <v>45597.189719386603</v>
      </c>
      <c r="E439" s="139" t="s">
        <v>318</v>
      </c>
      <c r="F439" s="162" t="s">
        <v>43</v>
      </c>
      <c r="G439" s="33" t="str">
        <f>IFERROR(INDEX([1]Positions!$A:$A,MATCH(F439,[1]Positions!$C:$C,0)),"Other")</f>
        <v>Other</v>
      </c>
      <c r="H439" s="33" t="b">
        <f t="shared" si="12"/>
        <v>1</v>
      </c>
      <c r="I439" s="33" t="str">
        <f t="shared" si="13"/>
        <v>2024-11-01</v>
      </c>
      <c r="J439" s="148">
        <v>0.06</v>
      </c>
      <c r="K439" s="159" t="s">
        <v>0</v>
      </c>
    </row>
    <row r="440" spans="2:11" x14ac:dyDescent="0.25">
      <c r="B440" s="130">
        <v>647462354</v>
      </c>
      <c r="C440" s="130" t="s">
        <v>77</v>
      </c>
      <c r="D440" s="133">
        <v>45597.562548900503</v>
      </c>
      <c r="E440" s="130" t="s">
        <v>319</v>
      </c>
      <c r="F440" s="161" t="s">
        <v>43</v>
      </c>
      <c r="G440" s="33" t="str">
        <f>IFERROR(INDEX([1]Positions!$A:$A,MATCH(F440,[1]Positions!$C:$C,0)),"Other")</f>
        <v>Other</v>
      </c>
      <c r="H440" s="33" t="b">
        <f t="shared" si="12"/>
        <v>1</v>
      </c>
      <c r="I440" s="33" t="str">
        <f t="shared" si="13"/>
        <v>2024-11-01</v>
      </c>
      <c r="J440" s="136">
        <v>4.3899999999999997</v>
      </c>
      <c r="K440" s="159" t="s">
        <v>0</v>
      </c>
    </row>
    <row r="441" spans="2:11" x14ac:dyDescent="0.25">
      <c r="B441" s="139">
        <v>647535263</v>
      </c>
      <c r="C441" s="139" t="s">
        <v>73</v>
      </c>
      <c r="D441" s="142">
        <v>45597.610148506901</v>
      </c>
      <c r="E441" s="139" t="s">
        <v>320</v>
      </c>
      <c r="F441" s="162" t="s">
        <v>508</v>
      </c>
      <c r="G441" s="33" t="str">
        <f>IFERROR(INDEX([1]Positions!$A:$A,MATCH(F441,[1]Positions!$C:$C,0)),"Other")</f>
        <v>Consumer Defensive</v>
      </c>
      <c r="H441" s="33" t="b">
        <f t="shared" si="12"/>
        <v>1</v>
      </c>
      <c r="I441" s="33" t="str">
        <f t="shared" si="13"/>
        <v>2024-11-01</v>
      </c>
      <c r="J441" s="145">
        <v>-10</v>
      </c>
      <c r="K441" s="159" t="s">
        <v>0</v>
      </c>
    </row>
    <row r="442" spans="2:11" x14ac:dyDescent="0.25">
      <c r="B442" s="130">
        <v>647535778</v>
      </c>
      <c r="C442" s="130" t="s">
        <v>73</v>
      </c>
      <c r="D442" s="133">
        <v>45597.610408946799</v>
      </c>
      <c r="E442" s="130" t="s">
        <v>321</v>
      </c>
      <c r="F442" s="161" t="s">
        <v>527</v>
      </c>
      <c r="G442" s="33" t="str">
        <f>IFERROR(INDEX([1]Positions!$A:$A,MATCH(F442,[1]Positions!$C:$C,0)),"Other")</f>
        <v>Consumer Cyclical</v>
      </c>
      <c r="H442" s="33" t="b">
        <f t="shared" si="12"/>
        <v>1</v>
      </c>
      <c r="I442" s="33" t="str">
        <f t="shared" si="13"/>
        <v>2024-11-01</v>
      </c>
      <c r="J442" s="147">
        <v>-10</v>
      </c>
      <c r="K442" s="159" t="s">
        <v>0</v>
      </c>
    </row>
    <row r="443" spans="2:11" x14ac:dyDescent="0.25">
      <c r="B443" s="139">
        <v>647537243</v>
      </c>
      <c r="C443" s="139" t="s">
        <v>73</v>
      </c>
      <c r="D443" s="142">
        <v>45597.6108724074</v>
      </c>
      <c r="E443" s="139" t="s">
        <v>322</v>
      </c>
      <c r="F443" s="162" t="s">
        <v>521</v>
      </c>
      <c r="G443" s="33" t="str">
        <f>IFERROR(INDEX([1]Positions!$A:$A,MATCH(F443,[1]Positions!$C:$C,0)),"Other")</f>
        <v>Technology</v>
      </c>
      <c r="H443" s="33" t="b">
        <f t="shared" si="12"/>
        <v>1</v>
      </c>
      <c r="I443" s="33" t="str">
        <f t="shared" si="13"/>
        <v>2024-11-01</v>
      </c>
      <c r="J443" s="145">
        <v>-10.97</v>
      </c>
      <c r="K443" s="159" t="s">
        <v>0</v>
      </c>
    </row>
    <row r="444" spans="2:11" x14ac:dyDescent="0.25">
      <c r="B444" s="130">
        <v>647724835</v>
      </c>
      <c r="C444" s="130" t="s">
        <v>77</v>
      </c>
      <c r="D444" s="133">
        <v>45597.730772754599</v>
      </c>
      <c r="E444" s="130" t="s">
        <v>323</v>
      </c>
      <c r="F444" s="161" t="s">
        <v>41</v>
      </c>
      <c r="G444" s="33" t="str">
        <f>IFERROR(INDEX([1]Positions!$A:$A,MATCH(F444,[1]Positions!$C:$C,0)),"Other")</f>
        <v>Other</v>
      </c>
      <c r="H444" s="33" t="b">
        <f t="shared" si="12"/>
        <v>1</v>
      </c>
      <c r="I444" s="33" t="str">
        <f t="shared" si="13"/>
        <v>2024-11-01</v>
      </c>
      <c r="J444" s="136">
        <v>5</v>
      </c>
      <c r="K444" s="159" t="s">
        <v>0</v>
      </c>
    </row>
    <row r="445" spans="2:11" x14ac:dyDescent="0.25">
      <c r="B445" s="139">
        <v>647724904</v>
      </c>
      <c r="C445" s="139" t="s">
        <v>77</v>
      </c>
      <c r="D445" s="142">
        <v>45597.730890821796</v>
      </c>
      <c r="E445" s="139" t="s">
        <v>324</v>
      </c>
      <c r="F445" s="162" t="s">
        <v>41</v>
      </c>
      <c r="G445" s="33" t="str">
        <f>IFERROR(INDEX([1]Positions!$A:$A,MATCH(F445,[1]Positions!$C:$C,0)),"Other")</f>
        <v>Other</v>
      </c>
      <c r="H445" s="33" t="b">
        <f t="shared" si="12"/>
        <v>1</v>
      </c>
      <c r="I445" s="33" t="str">
        <f t="shared" si="13"/>
        <v>2024-11-01</v>
      </c>
      <c r="J445" s="145">
        <v>-0.2</v>
      </c>
      <c r="K445" s="159" t="s">
        <v>0</v>
      </c>
    </row>
    <row r="446" spans="2:11" x14ac:dyDescent="0.25">
      <c r="B446" s="130">
        <v>647724830</v>
      </c>
      <c r="C446" s="130" t="s">
        <v>77</v>
      </c>
      <c r="D446" s="133">
        <v>45597.730772037001</v>
      </c>
      <c r="E446" s="130" t="s">
        <v>325</v>
      </c>
      <c r="F446" s="161" t="s">
        <v>41</v>
      </c>
      <c r="G446" s="33" t="str">
        <f>IFERROR(INDEX([1]Positions!$A:$A,MATCH(F446,[1]Positions!$C:$C,0)),"Other")</f>
        <v>Other</v>
      </c>
      <c r="H446" s="33" t="b">
        <f t="shared" si="12"/>
        <v>1</v>
      </c>
      <c r="I446" s="33" t="str">
        <f t="shared" si="13"/>
        <v>2024-11-01</v>
      </c>
      <c r="J446" s="147">
        <v>-0.63</v>
      </c>
      <c r="K446" s="159" t="s">
        <v>0</v>
      </c>
    </row>
    <row r="447" spans="2:11" x14ac:dyDescent="0.25">
      <c r="B447" s="139">
        <v>647724831</v>
      </c>
      <c r="C447" s="139" t="s">
        <v>101</v>
      </c>
      <c r="D447" s="142">
        <v>45597.730772037001</v>
      </c>
      <c r="E447" s="139" t="s">
        <v>326</v>
      </c>
      <c r="F447" s="162" t="s">
        <v>41</v>
      </c>
      <c r="G447" s="33" t="str">
        <f>IFERROR(INDEX([1]Positions!$A:$A,MATCH(F447,[1]Positions!$C:$C,0)),"Other")</f>
        <v>Other</v>
      </c>
      <c r="H447" s="33" t="b">
        <f t="shared" si="12"/>
        <v>1</v>
      </c>
      <c r="I447" s="33" t="str">
        <f t="shared" si="13"/>
        <v>2024-11-01</v>
      </c>
      <c r="J447" s="145">
        <v>-0.22</v>
      </c>
      <c r="K447" s="159" t="s">
        <v>0</v>
      </c>
    </row>
    <row r="448" spans="2:11" x14ac:dyDescent="0.25">
      <c r="B448" s="130">
        <v>647814243</v>
      </c>
      <c r="C448" s="130" t="s">
        <v>73</v>
      </c>
      <c r="D448" s="133">
        <v>45597.850479641202</v>
      </c>
      <c r="E448" s="130" t="s">
        <v>327</v>
      </c>
      <c r="F448" s="161" t="s">
        <v>526</v>
      </c>
      <c r="G448" s="33" t="str">
        <f>IFERROR(INDEX([1]Positions!$A:$A,MATCH(F448,[1]Positions!$C:$C,0)),"Other")</f>
        <v>Technology</v>
      </c>
      <c r="H448" s="33" t="b">
        <f t="shared" si="12"/>
        <v>1</v>
      </c>
      <c r="I448" s="33" t="str">
        <f t="shared" si="13"/>
        <v>2024-11-01</v>
      </c>
      <c r="J448" s="147">
        <v>-10.92</v>
      </c>
      <c r="K448" s="159" t="s">
        <v>0</v>
      </c>
    </row>
    <row r="449" spans="2:11" x14ac:dyDescent="0.25">
      <c r="B449" s="139">
        <v>648737875</v>
      </c>
      <c r="C449" s="139" t="s">
        <v>77</v>
      </c>
      <c r="D449" s="142">
        <v>45600.683922442098</v>
      </c>
      <c r="E449" s="139" t="s">
        <v>328</v>
      </c>
      <c r="F449" s="162" t="s">
        <v>45</v>
      </c>
      <c r="G449" s="33" t="str">
        <f>IFERROR(INDEX([1]Positions!$A:$A,MATCH(F449,[1]Positions!$C:$C,0)),"Other")</f>
        <v>Other</v>
      </c>
      <c r="H449" s="33" t="b">
        <f t="shared" si="12"/>
        <v>1</v>
      </c>
      <c r="I449" s="33" t="str">
        <f t="shared" si="13"/>
        <v>2024-11-04</v>
      </c>
      <c r="J449" s="145">
        <v>-18</v>
      </c>
      <c r="K449" s="159" t="s">
        <v>0</v>
      </c>
    </row>
    <row r="450" spans="2:11" x14ac:dyDescent="0.25">
      <c r="B450" s="130">
        <v>648737876</v>
      </c>
      <c r="C450" s="130" t="s">
        <v>101</v>
      </c>
      <c r="D450" s="133">
        <v>45600.683922442098</v>
      </c>
      <c r="E450" s="130" t="s">
        <v>329</v>
      </c>
      <c r="F450" s="161" t="s">
        <v>45</v>
      </c>
      <c r="G450" s="33" t="str">
        <f>IFERROR(INDEX([1]Positions!$A:$A,MATCH(F450,[1]Positions!$C:$C,0)),"Other")</f>
        <v>Other</v>
      </c>
      <c r="H450" s="33" t="b">
        <f t="shared" si="12"/>
        <v>1</v>
      </c>
      <c r="I450" s="33" t="str">
        <f t="shared" si="13"/>
        <v>2024-11-04</v>
      </c>
      <c r="J450" s="147">
        <v>-0.63</v>
      </c>
      <c r="K450" s="159" t="s">
        <v>0</v>
      </c>
    </row>
    <row r="451" spans="2:11" x14ac:dyDescent="0.25">
      <c r="B451" s="139">
        <v>652089671</v>
      </c>
      <c r="C451" s="139" t="s">
        <v>69</v>
      </c>
      <c r="D451" s="142">
        <v>45603.500497233799</v>
      </c>
      <c r="E451" s="139" t="s">
        <v>825</v>
      </c>
      <c r="F451" s="162" t="s">
        <v>525</v>
      </c>
      <c r="G451" s="33" t="str">
        <f>IFERROR(INDEX([1]Positions!$A:$A,MATCH(F451,[1]Positions!$C:$C,0)),"Other")</f>
        <v>Technology</v>
      </c>
      <c r="H451" s="33" t="b">
        <f t="shared" si="12"/>
        <v>1</v>
      </c>
      <c r="I451" s="33" t="str">
        <f t="shared" si="13"/>
        <v>2024-11-07</v>
      </c>
      <c r="J451" s="148">
        <v>0.05</v>
      </c>
      <c r="K451" s="159" t="s">
        <v>0</v>
      </c>
    </row>
    <row r="452" spans="2:11" x14ac:dyDescent="0.25">
      <c r="B452" s="130">
        <v>652089672</v>
      </c>
      <c r="C452" s="130" t="s">
        <v>70</v>
      </c>
      <c r="D452" s="133">
        <v>45603.500497233799</v>
      </c>
      <c r="E452" s="130" t="s">
        <v>826</v>
      </c>
      <c r="F452" s="161" t="s">
        <v>525</v>
      </c>
      <c r="G452" s="33" t="str">
        <f>IFERROR(INDEX([1]Positions!$A:$A,MATCH(F452,[1]Positions!$C:$C,0)),"Other")</f>
        <v>Technology</v>
      </c>
      <c r="H452" s="33" t="b">
        <f t="shared" si="12"/>
        <v>1</v>
      </c>
      <c r="I452" s="33" t="str">
        <f t="shared" si="13"/>
        <v>2024-11-07</v>
      </c>
      <c r="J452" s="147">
        <v>-0.01</v>
      </c>
      <c r="K452" s="159" t="s">
        <v>0</v>
      </c>
    </row>
    <row r="453" spans="2:11" x14ac:dyDescent="0.25">
      <c r="B453" s="139">
        <v>652707392</v>
      </c>
      <c r="C453" s="139" t="s">
        <v>77</v>
      </c>
      <c r="D453" s="142">
        <v>45603.871583541702</v>
      </c>
      <c r="E453" s="139" t="s">
        <v>330</v>
      </c>
      <c r="F453" s="162" t="s">
        <v>507</v>
      </c>
      <c r="G453" s="33" t="str">
        <f>IFERROR(INDEX([1]Positions!$A:$A,MATCH(F453,[1]Positions!$C:$C,0)),"Other")</f>
        <v>Technology</v>
      </c>
      <c r="H453" s="33" t="b">
        <f t="shared" si="12"/>
        <v>1</v>
      </c>
      <c r="I453" s="33" t="str">
        <f t="shared" si="13"/>
        <v>2024-11-07</v>
      </c>
      <c r="J453" s="148">
        <v>2.56</v>
      </c>
      <c r="K453" s="159" t="s">
        <v>0</v>
      </c>
    </row>
    <row r="454" spans="2:11" x14ac:dyDescent="0.25">
      <c r="B454" s="130">
        <v>652707393</v>
      </c>
      <c r="C454" s="130" t="s">
        <v>80</v>
      </c>
      <c r="D454" s="133">
        <v>45603.871583541702</v>
      </c>
      <c r="E454" s="130" t="s">
        <v>331</v>
      </c>
      <c r="F454" s="161" t="s">
        <v>507</v>
      </c>
      <c r="G454" s="33" t="str">
        <f>IFERROR(INDEX([1]Positions!$A:$A,MATCH(F454,[1]Positions!$C:$C,0)),"Other")</f>
        <v>Technology</v>
      </c>
      <c r="H454" s="33" t="b">
        <f t="shared" si="12"/>
        <v>1</v>
      </c>
      <c r="I454" s="33" t="str">
        <f t="shared" si="13"/>
        <v>2024-11-07</v>
      </c>
      <c r="J454" s="136">
        <v>19.98</v>
      </c>
      <c r="K454" s="159" t="s">
        <v>0</v>
      </c>
    </row>
    <row r="455" spans="2:11" x14ac:dyDescent="0.25">
      <c r="B455" s="139">
        <v>653094912</v>
      </c>
      <c r="C455" s="139" t="s">
        <v>69</v>
      </c>
      <c r="D455" s="142">
        <v>45604.500050463001</v>
      </c>
      <c r="E455" s="139" t="s">
        <v>827</v>
      </c>
      <c r="F455" s="162" t="s">
        <v>530</v>
      </c>
      <c r="G455" s="33" t="str">
        <f>IFERROR(INDEX([1]Positions!$A:$A,MATCH(F455,[1]Positions!$C:$C,0)),"Other")</f>
        <v>Financial Services</v>
      </c>
      <c r="H455" s="33" t="b">
        <f t="shared" si="12"/>
        <v>1</v>
      </c>
      <c r="I455" s="33" t="str">
        <f t="shared" si="13"/>
        <v>2024-11-08</v>
      </c>
      <c r="J455" s="148">
        <v>0.02</v>
      </c>
      <c r="K455" s="159" t="s">
        <v>0</v>
      </c>
    </row>
    <row r="456" spans="2:11" x14ac:dyDescent="0.25">
      <c r="B456" s="130">
        <v>653094913</v>
      </c>
      <c r="C456" s="130" t="s">
        <v>70</v>
      </c>
      <c r="D456" s="133">
        <v>45604.500050463001</v>
      </c>
      <c r="E456" s="130" t="s">
        <v>828</v>
      </c>
      <c r="F456" s="161" t="s">
        <v>530</v>
      </c>
      <c r="G456" s="33" t="str">
        <f>IFERROR(INDEX([1]Positions!$A:$A,MATCH(F456,[1]Positions!$C:$C,0)),"Other")</f>
        <v>Financial Services</v>
      </c>
      <c r="H456" s="33" t="b">
        <f t="shared" si="12"/>
        <v>1</v>
      </c>
      <c r="I456" s="33" t="str">
        <f t="shared" si="13"/>
        <v>2024-11-08</v>
      </c>
      <c r="J456" s="147">
        <v>-0.01</v>
      </c>
      <c r="K456" s="159" t="s">
        <v>0</v>
      </c>
    </row>
    <row r="457" spans="2:11" x14ac:dyDescent="0.25">
      <c r="B457" s="139">
        <v>653168652</v>
      </c>
      <c r="C457" s="139" t="s">
        <v>77</v>
      </c>
      <c r="D457" s="142">
        <v>45604.562801238397</v>
      </c>
      <c r="E457" s="139" t="s">
        <v>332</v>
      </c>
      <c r="F457" s="162" t="s">
        <v>41</v>
      </c>
      <c r="G457" s="33" t="str">
        <f>IFERROR(INDEX([1]Positions!$A:$A,MATCH(F457,[1]Positions!$C:$C,0)),"Other")</f>
        <v>Other</v>
      </c>
      <c r="H457" s="33" t="b">
        <f t="shared" si="12"/>
        <v>1</v>
      </c>
      <c r="I457" s="33" t="str">
        <f t="shared" si="13"/>
        <v>2024-11-08</v>
      </c>
      <c r="J457" s="148">
        <v>6.9</v>
      </c>
      <c r="K457" s="159" t="s">
        <v>0</v>
      </c>
    </row>
    <row r="458" spans="2:11" x14ac:dyDescent="0.25">
      <c r="B458" s="130">
        <v>653175365</v>
      </c>
      <c r="C458" s="130" t="s">
        <v>77</v>
      </c>
      <c r="D458" s="133">
        <v>45604.570835150502</v>
      </c>
      <c r="E458" s="130" t="s">
        <v>333</v>
      </c>
      <c r="F458" s="161" t="s">
        <v>41</v>
      </c>
      <c r="G458" s="33" t="str">
        <f>IFERROR(INDEX([1]Positions!$A:$A,MATCH(F458,[1]Positions!$C:$C,0)),"Other")</f>
        <v>Other</v>
      </c>
      <c r="H458" s="33" t="b">
        <f t="shared" si="12"/>
        <v>1</v>
      </c>
      <c r="I458" s="33" t="str">
        <f t="shared" si="13"/>
        <v>2024-11-08</v>
      </c>
      <c r="J458" s="147">
        <v>-1.44</v>
      </c>
      <c r="K458" s="159" t="s">
        <v>0</v>
      </c>
    </row>
    <row r="459" spans="2:11" x14ac:dyDescent="0.25">
      <c r="B459" s="139">
        <v>653429116</v>
      </c>
      <c r="C459" s="139" t="s">
        <v>77</v>
      </c>
      <c r="D459" s="142">
        <v>45604.719143136601</v>
      </c>
      <c r="E459" s="139" t="s">
        <v>334</v>
      </c>
      <c r="F459" s="162" t="s">
        <v>41</v>
      </c>
      <c r="G459" s="33" t="str">
        <f>IFERROR(INDEX([1]Positions!$A:$A,MATCH(F459,[1]Positions!$C:$C,0)),"Other")</f>
        <v>Other</v>
      </c>
      <c r="H459" s="33" t="b">
        <f t="shared" si="12"/>
        <v>1</v>
      </c>
      <c r="I459" s="33" t="str">
        <f t="shared" si="13"/>
        <v>2024-11-08</v>
      </c>
      <c r="J459" s="148">
        <v>2.79</v>
      </c>
      <c r="K459" s="159" t="s">
        <v>0</v>
      </c>
    </row>
    <row r="460" spans="2:11" x14ac:dyDescent="0.25">
      <c r="B460" s="130">
        <v>653433262</v>
      </c>
      <c r="C460" s="130" t="s">
        <v>77</v>
      </c>
      <c r="D460" s="133">
        <v>45604.722638553198</v>
      </c>
      <c r="E460" s="130" t="s">
        <v>335</v>
      </c>
      <c r="F460" s="161" t="s">
        <v>41</v>
      </c>
      <c r="G460" s="33" t="str">
        <f>IFERROR(INDEX([1]Positions!$A:$A,MATCH(F460,[1]Positions!$C:$C,0)),"Other")</f>
        <v>Other</v>
      </c>
      <c r="H460" s="33" t="b">
        <f t="shared" ref="H460:H523" si="14">ISNUMBER(D460)</f>
        <v>1</v>
      </c>
      <c r="I460" s="33" t="str">
        <f t="shared" ref="I460:I523" si="15">TEXT(D460,"YYYY-MM-DD")</f>
        <v>2024-11-08</v>
      </c>
      <c r="J460" s="147">
        <v>-0.94</v>
      </c>
      <c r="K460" s="159" t="s">
        <v>0</v>
      </c>
    </row>
    <row r="461" spans="2:11" x14ac:dyDescent="0.25">
      <c r="B461" s="139">
        <v>653493016</v>
      </c>
      <c r="C461" s="139" t="s">
        <v>116</v>
      </c>
      <c r="D461" s="142">
        <v>45604.774284004598</v>
      </c>
      <c r="E461" s="139" t="s">
        <v>829</v>
      </c>
      <c r="F461" s="162" t="s">
        <v>507</v>
      </c>
      <c r="G461" s="33" t="str">
        <f>IFERROR(INDEX([1]Positions!$A:$A,MATCH(F461,[1]Positions!$C:$C,0)),"Other")</f>
        <v>Technology</v>
      </c>
      <c r="H461" s="33" t="b">
        <f t="shared" si="14"/>
        <v>1</v>
      </c>
      <c r="I461" s="33" t="str">
        <f t="shared" si="15"/>
        <v>2024-11-08</v>
      </c>
      <c r="J461" s="148">
        <v>0</v>
      </c>
      <c r="K461" s="159" t="s">
        <v>0</v>
      </c>
    </row>
    <row r="462" spans="2:11" x14ac:dyDescent="0.25">
      <c r="B462" s="130">
        <v>654801447</v>
      </c>
      <c r="C462" s="130" t="s">
        <v>77</v>
      </c>
      <c r="D462" s="133">
        <v>45608.252076446799</v>
      </c>
      <c r="E462" s="130" t="s">
        <v>336</v>
      </c>
      <c r="F462" s="161" t="s">
        <v>48</v>
      </c>
      <c r="G462" s="33" t="str">
        <f>IFERROR(INDEX([1]Positions!$A:$A,MATCH(F462,[1]Positions!$C:$C,0)),"Other")</f>
        <v>Other</v>
      </c>
      <c r="H462" s="33" t="b">
        <f t="shared" si="14"/>
        <v>1</v>
      </c>
      <c r="I462" s="33" t="str">
        <f t="shared" si="15"/>
        <v>2024-11-12</v>
      </c>
      <c r="J462" s="136">
        <v>0.16</v>
      </c>
      <c r="K462" s="159" t="s">
        <v>0</v>
      </c>
    </row>
    <row r="463" spans="2:11" x14ac:dyDescent="0.25">
      <c r="B463" s="139">
        <v>654800962</v>
      </c>
      <c r="C463" s="139" t="s">
        <v>77</v>
      </c>
      <c r="D463" s="142">
        <v>45608.250448923602</v>
      </c>
      <c r="E463" s="139" t="s">
        <v>337</v>
      </c>
      <c r="F463" s="162" t="s">
        <v>48</v>
      </c>
      <c r="G463" s="33" t="str">
        <f>IFERROR(INDEX([1]Positions!$A:$A,MATCH(F463,[1]Positions!$C:$C,0)),"Other")</f>
        <v>Other</v>
      </c>
      <c r="H463" s="33" t="b">
        <f t="shared" si="14"/>
        <v>1</v>
      </c>
      <c r="I463" s="33" t="str">
        <f t="shared" si="15"/>
        <v>2024-11-12</v>
      </c>
      <c r="J463" s="145">
        <v>-0.79</v>
      </c>
      <c r="K463" s="159" t="s">
        <v>0</v>
      </c>
    </row>
    <row r="464" spans="2:11" x14ac:dyDescent="0.25">
      <c r="B464" s="130">
        <v>654802429</v>
      </c>
      <c r="C464" s="130" t="s">
        <v>77</v>
      </c>
      <c r="D464" s="133">
        <v>45608.256665671302</v>
      </c>
      <c r="E464" s="130" t="s">
        <v>338</v>
      </c>
      <c r="F464" s="161" t="s">
        <v>48</v>
      </c>
      <c r="G464" s="33" t="str">
        <f>IFERROR(INDEX([1]Positions!$A:$A,MATCH(F464,[1]Positions!$C:$C,0)),"Other")</f>
        <v>Other</v>
      </c>
      <c r="H464" s="33" t="b">
        <f t="shared" si="14"/>
        <v>1</v>
      </c>
      <c r="I464" s="33" t="str">
        <f t="shared" si="15"/>
        <v>2024-11-12</v>
      </c>
      <c r="J464" s="147">
        <v>-0.37</v>
      </c>
      <c r="K464" s="159" t="s">
        <v>0</v>
      </c>
    </row>
    <row r="465" spans="2:11" x14ac:dyDescent="0.25">
      <c r="B465" s="139">
        <v>654850443</v>
      </c>
      <c r="C465" s="139" t="s">
        <v>77</v>
      </c>
      <c r="D465" s="142">
        <v>45608.343802835603</v>
      </c>
      <c r="E465" s="139" t="s">
        <v>339</v>
      </c>
      <c r="F465" s="162" t="s">
        <v>41</v>
      </c>
      <c r="G465" s="33" t="str">
        <f>IFERROR(INDEX([1]Positions!$A:$A,MATCH(F465,[1]Positions!$C:$C,0)),"Other")</f>
        <v>Other</v>
      </c>
      <c r="H465" s="33" t="b">
        <f t="shared" si="14"/>
        <v>1</v>
      </c>
      <c r="I465" s="33" t="str">
        <f t="shared" si="15"/>
        <v>2024-11-12</v>
      </c>
      <c r="J465" s="148">
        <v>2.94</v>
      </c>
      <c r="K465" s="159" t="s">
        <v>0</v>
      </c>
    </row>
    <row r="466" spans="2:11" x14ac:dyDescent="0.25">
      <c r="B466" s="130">
        <v>654851068</v>
      </c>
      <c r="C466" s="130" t="s">
        <v>77</v>
      </c>
      <c r="D466" s="133">
        <v>45608.344909131898</v>
      </c>
      <c r="E466" s="130" t="s">
        <v>340</v>
      </c>
      <c r="F466" s="161" t="s">
        <v>41</v>
      </c>
      <c r="G466" s="33" t="str">
        <f>IFERROR(INDEX([1]Positions!$A:$A,MATCH(F466,[1]Positions!$C:$C,0)),"Other")</f>
        <v>Other</v>
      </c>
      <c r="H466" s="33" t="b">
        <f t="shared" si="14"/>
        <v>1</v>
      </c>
      <c r="I466" s="33" t="str">
        <f t="shared" si="15"/>
        <v>2024-11-12</v>
      </c>
      <c r="J466" s="147">
        <v>-0.8</v>
      </c>
      <c r="K466" s="159" t="s">
        <v>0</v>
      </c>
    </row>
    <row r="467" spans="2:11" x14ac:dyDescent="0.25">
      <c r="B467" s="139">
        <v>654859242</v>
      </c>
      <c r="C467" s="139" t="s">
        <v>77</v>
      </c>
      <c r="D467" s="142">
        <v>45608.351803587997</v>
      </c>
      <c r="E467" s="139" t="s">
        <v>341</v>
      </c>
      <c r="F467" s="162" t="s">
        <v>41</v>
      </c>
      <c r="G467" s="33" t="str">
        <f>IFERROR(INDEX([1]Positions!$A:$A,MATCH(F467,[1]Positions!$C:$C,0)),"Other")</f>
        <v>Other</v>
      </c>
      <c r="H467" s="33" t="b">
        <f t="shared" si="14"/>
        <v>1</v>
      </c>
      <c r="I467" s="33" t="str">
        <f t="shared" si="15"/>
        <v>2024-11-12</v>
      </c>
      <c r="J467" s="145">
        <v>-0.26</v>
      </c>
      <c r="K467" s="159" t="s">
        <v>0</v>
      </c>
    </row>
    <row r="468" spans="2:11" x14ac:dyDescent="0.25">
      <c r="B468" s="130">
        <v>654861769</v>
      </c>
      <c r="C468" s="130" t="s">
        <v>77</v>
      </c>
      <c r="D468" s="133">
        <v>45608.354797627297</v>
      </c>
      <c r="E468" s="130" t="s">
        <v>342</v>
      </c>
      <c r="F468" s="161" t="s">
        <v>41</v>
      </c>
      <c r="G468" s="33" t="str">
        <f>IFERROR(INDEX([1]Positions!$A:$A,MATCH(F468,[1]Positions!$C:$C,0)),"Other")</f>
        <v>Other</v>
      </c>
      <c r="H468" s="33" t="b">
        <f t="shared" si="14"/>
        <v>1</v>
      </c>
      <c r="I468" s="33" t="str">
        <f t="shared" si="15"/>
        <v>2024-11-12</v>
      </c>
      <c r="J468" s="147">
        <v>-1.18</v>
      </c>
      <c r="K468" s="159" t="s">
        <v>0</v>
      </c>
    </row>
    <row r="469" spans="2:11" x14ac:dyDescent="0.25">
      <c r="B469" s="139">
        <v>655562013</v>
      </c>
      <c r="C469" s="139" t="s">
        <v>73</v>
      </c>
      <c r="D469" s="142">
        <v>45608.742511087999</v>
      </c>
      <c r="E469" s="139" t="s">
        <v>343</v>
      </c>
      <c r="F469" s="162" t="s">
        <v>513</v>
      </c>
      <c r="G469" s="33" t="str">
        <f>IFERROR(INDEX([1]Positions!$A:$A,MATCH(F469,[1]Positions!$C:$C,0)),"Other")</f>
        <v>Technology</v>
      </c>
      <c r="H469" s="33" t="b">
        <f t="shared" si="14"/>
        <v>1</v>
      </c>
      <c r="I469" s="33" t="str">
        <f t="shared" si="15"/>
        <v>2024-11-12</v>
      </c>
      <c r="J469" s="145">
        <v>-12.98</v>
      </c>
      <c r="K469" s="159" t="s">
        <v>0</v>
      </c>
    </row>
    <row r="470" spans="2:11" x14ac:dyDescent="0.25">
      <c r="B470" s="130">
        <v>655597544</v>
      </c>
      <c r="C470" s="130" t="s">
        <v>77</v>
      </c>
      <c r="D470" s="133">
        <v>45608.765304953697</v>
      </c>
      <c r="E470" s="130" t="s">
        <v>344</v>
      </c>
      <c r="F470" s="161" t="s">
        <v>41</v>
      </c>
      <c r="G470" s="33" t="str">
        <f>IFERROR(INDEX([1]Positions!$A:$A,MATCH(F470,[1]Positions!$C:$C,0)),"Other")</f>
        <v>Other</v>
      </c>
      <c r="H470" s="33" t="b">
        <f t="shared" si="14"/>
        <v>1</v>
      </c>
      <c r="I470" s="33" t="str">
        <f t="shared" si="15"/>
        <v>2024-11-12</v>
      </c>
      <c r="J470" s="136">
        <v>0.37</v>
      </c>
      <c r="K470" s="159" t="s">
        <v>0</v>
      </c>
    </row>
    <row r="471" spans="2:11" x14ac:dyDescent="0.25">
      <c r="B471" s="139">
        <v>655600989</v>
      </c>
      <c r="C471" s="139" t="s">
        <v>77</v>
      </c>
      <c r="D471" s="142">
        <v>45608.767960868099</v>
      </c>
      <c r="E471" s="139" t="s">
        <v>345</v>
      </c>
      <c r="F471" s="162" t="s">
        <v>48</v>
      </c>
      <c r="G471" s="33" t="str">
        <f>IFERROR(INDEX([1]Positions!$A:$A,MATCH(F471,[1]Positions!$C:$C,0)),"Other")</f>
        <v>Other</v>
      </c>
      <c r="H471" s="33" t="b">
        <f t="shared" si="14"/>
        <v>1</v>
      </c>
      <c r="I471" s="33" t="str">
        <f t="shared" si="15"/>
        <v>2024-11-12</v>
      </c>
      <c r="J471" s="148">
        <v>0.13</v>
      </c>
      <c r="K471" s="159" t="s">
        <v>0</v>
      </c>
    </row>
    <row r="472" spans="2:11" x14ac:dyDescent="0.25">
      <c r="B472" s="130">
        <v>656141644</v>
      </c>
      <c r="C472" s="130" t="s">
        <v>73</v>
      </c>
      <c r="D472" s="133">
        <v>45609.607695451399</v>
      </c>
      <c r="E472" s="130" t="s">
        <v>346</v>
      </c>
      <c r="F472" s="161" t="s">
        <v>60</v>
      </c>
      <c r="G472" s="33" t="str">
        <f>IFERROR(INDEX([1]Positions!$A:$A,MATCH(F472,[1]Positions!$C:$C,0)),"Other")</f>
        <v>ETF</v>
      </c>
      <c r="H472" s="33" t="b">
        <f t="shared" si="14"/>
        <v>1</v>
      </c>
      <c r="I472" s="33" t="str">
        <f t="shared" si="15"/>
        <v>2024-11-13</v>
      </c>
      <c r="J472" s="147">
        <v>-10.95</v>
      </c>
      <c r="K472" s="159" t="s">
        <v>0</v>
      </c>
    </row>
    <row r="473" spans="2:11" x14ac:dyDescent="0.25">
      <c r="B473" s="139">
        <v>656196484</v>
      </c>
      <c r="C473" s="139" t="s">
        <v>77</v>
      </c>
      <c r="D473" s="142">
        <v>45609.638893090298</v>
      </c>
      <c r="E473" s="139" t="s">
        <v>347</v>
      </c>
      <c r="F473" s="162" t="s">
        <v>41</v>
      </c>
      <c r="G473" s="33" t="str">
        <f>IFERROR(INDEX([1]Positions!$A:$A,MATCH(F473,[1]Positions!$C:$C,0)),"Other")</f>
        <v>Other</v>
      </c>
      <c r="H473" s="33" t="b">
        <f t="shared" si="14"/>
        <v>1</v>
      </c>
      <c r="I473" s="33" t="str">
        <f t="shared" si="15"/>
        <v>2024-11-13</v>
      </c>
      <c r="J473" s="148">
        <v>2.2400000000000002</v>
      </c>
      <c r="K473" s="159" t="s">
        <v>0</v>
      </c>
    </row>
    <row r="474" spans="2:11" x14ac:dyDescent="0.25">
      <c r="B474" s="130">
        <v>657069237</v>
      </c>
      <c r="C474" s="130" t="s">
        <v>69</v>
      </c>
      <c r="D474" s="133">
        <v>45610.500413101901</v>
      </c>
      <c r="E474" s="130" t="s">
        <v>808</v>
      </c>
      <c r="F474" s="161" t="s">
        <v>528</v>
      </c>
      <c r="G474" s="33" t="str">
        <f>IFERROR(INDEX([1]Positions!$A:$A,MATCH(F474,[1]Positions!$C:$C,0)),"Other")</f>
        <v>Technology</v>
      </c>
      <c r="H474" s="33" t="b">
        <f t="shared" si="14"/>
        <v>1</v>
      </c>
      <c r="I474" s="33" t="str">
        <f t="shared" si="15"/>
        <v>2024-11-14</v>
      </c>
      <c r="J474" s="136">
        <v>0.01</v>
      </c>
      <c r="K474" s="159" t="s">
        <v>0</v>
      </c>
    </row>
    <row r="475" spans="2:11" x14ac:dyDescent="0.25">
      <c r="B475" s="139">
        <v>657103074</v>
      </c>
      <c r="C475" s="139" t="s">
        <v>69</v>
      </c>
      <c r="D475" s="142">
        <v>45610.500459398201</v>
      </c>
      <c r="E475" s="139" t="s">
        <v>808</v>
      </c>
      <c r="F475" s="162" t="s">
        <v>528</v>
      </c>
      <c r="G475" s="33" t="str">
        <f>IFERROR(INDEX([1]Positions!$A:$A,MATCH(F475,[1]Positions!$C:$C,0)),"Other")</f>
        <v>Technology</v>
      </c>
      <c r="H475" s="33" t="b">
        <f t="shared" si="14"/>
        <v>1</v>
      </c>
      <c r="I475" s="33" t="str">
        <f t="shared" si="15"/>
        <v>2024-11-14</v>
      </c>
      <c r="J475" s="148">
        <v>0.02</v>
      </c>
      <c r="K475" s="159" t="s">
        <v>0</v>
      </c>
    </row>
    <row r="476" spans="2:11" x14ac:dyDescent="0.25">
      <c r="B476" s="130">
        <v>657103075</v>
      </c>
      <c r="C476" s="130" t="s">
        <v>70</v>
      </c>
      <c r="D476" s="133">
        <v>45610.500459398201</v>
      </c>
      <c r="E476" s="130" t="s">
        <v>809</v>
      </c>
      <c r="F476" s="161" t="s">
        <v>528</v>
      </c>
      <c r="G476" s="33" t="str">
        <f>IFERROR(INDEX([1]Positions!$A:$A,MATCH(F476,[1]Positions!$C:$C,0)),"Other")</f>
        <v>Technology</v>
      </c>
      <c r="H476" s="33" t="b">
        <f t="shared" si="14"/>
        <v>1</v>
      </c>
      <c r="I476" s="33" t="str">
        <f t="shared" si="15"/>
        <v>2024-11-14</v>
      </c>
      <c r="J476" s="147">
        <v>-0.01</v>
      </c>
      <c r="K476" s="159" t="s">
        <v>0</v>
      </c>
    </row>
    <row r="477" spans="2:11" x14ac:dyDescent="0.25">
      <c r="B477" s="139">
        <v>657106041</v>
      </c>
      <c r="C477" s="139" t="s">
        <v>69</v>
      </c>
      <c r="D477" s="142">
        <v>45610.500464259298</v>
      </c>
      <c r="E477" s="139" t="s">
        <v>808</v>
      </c>
      <c r="F477" s="162" t="s">
        <v>528</v>
      </c>
      <c r="G477" s="33" t="str">
        <f>IFERROR(INDEX([1]Positions!$A:$A,MATCH(F477,[1]Positions!$C:$C,0)),"Other")</f>
        <v>Technology</v>
      </c>
      <c r="H477" s="33" t="b">
        <f t="shared" si="14"/>
        <v>1</v>
      </c>
      <c r="I477" s="33" t="str">
        <f t="shared" si="15"/>
        <v>2024-11-14</v>
      </c>
      <c r="J477" s="148">
        <v>0.02</v>
      </c>
      <c r="K477" s="159" t="s">
        <v>0</v>
      </c>
    </row>
    <row r="478" spans="2:11" x14ac:dyDescent="0.25">
      <c r="B478" s="130">
        <v>657106042</v>
      </c>
      <c r="C478" s="130" t="s">
        <v>70</v>
      </c>
      <c r="D478" s="133">
        <v>45610.500464259298</v>
      </c>
      <c r="E478" s="130" t="s">
        <v>809</v>
      </c>
      <c r="F478" s="161" t="s">
        <v>528</v>
      </c>
      <c r="G478" s="33" t="str">
        <f>IFERROR(INDEX([1]Positions!$A:$A,MATCH(F478,[1]Positions!$C:$C,0)),"Other")</f>
        <v>Technology</v>
      </c>
      <c r="H478" s="33" t="b">
        <f t="shared" si="14"/>
        <v>1</v>
      </c>
      <c r="I478" s="33" t="str">
        <f t="shared" si="15"/>
        <v>2024-11-14</v>
      </c>
      <c r="J478" s="147">
        <v>-0.01</v>
      </c>
      <c r="K478" s="159" t="s">
        <v>0</v>
      </c>
    </row>
    <row r="479" spans="2:11" x14ac:dyDescent="0.25">
      <c r="B479" s="139">
        <v>657684815</v>
      </c>
      <c r="C479" s="139" t="s">
        <v>77</v>
      </c>
      <c r="D479" s="142">
        <v>45610.880846701402</v>
      </c>
      <c r="E479" s="139" t="s">
        <v>348</v>
      </c>
      <c r="F479" s="162" t="s">
        <v>41</v>
      </c>
      <c r="G479" s="33" t="str">
        <f>IFERROR(INDEX([1]Positions!$A:$A,MATCH(F479,[1]Positions!$C:$C,0)),"Other")</f>
        <v>Other</v>
      </c>
      <c r="H479" s="33" t="b">
        <f t="shared" si="14"/>
        <v>1</v>
      </c>
      <c r="I479" s="33" t="str">
        <f t="shared" si="15"/>
        <v>2024-11-14</v>
      </c>
      <c r="J479" s="148">
        <v>5.97</v>
      </c>
      <c r="K479" s="159" t="s">
        <v>0</v>
      </c>
    </row>
    <row r="480" spans="2:11" x14ac:dyDescent="0.25">
      <c r="B480" s="130">
        <v>660182366</v>
      </c>
      <c r="C480" s="130" t="s">
        <v>77</v>
      </c>
      <c r="D480" s="133">
        <v>45615.4382285764</v>
      </c>
      <c r="E480" s="130" t="s">
        <v>349</v>
      </c>
      <c r="F480" s="161" t="s">
        <v>41</v>
      </c>
      <c r="G480" s="33" t="str">
        <f>IFERROR(INDEX([1]Positions!$A:$A,MATCH(F480,[1]Positions!$C:$C,0)),"Other")</f>
        <v>Other</v>
      </c>
      <c r="H480" s="33" t="b">
        <f t="shared" si="14"/>
        <v>1</v>
      </c>
      <c r="I480" s="33" t="str">
        <f t="shared" si="15"/>
        <v>2024-11-19</v>
      </c>
      <c r="J480" s="136">
        <v>7.97</v>
      </c>
      <c r="K480" s="159" t="s">
        <v>0</v>
      </c>
    </row>
    <row r="481" spans="2:11" x14ac:dyDescent="0.25">
      <c r="B481" s="139">
        <v>660182367</v>
      </c>
      <c r="C481" s="139" t="s">
        <v>101</v>
      </c>
      <c r="D481" s="142">
        <v>45615.4382285764</v>
      </c>
      <c r="E481" s="139" t="s">
        <v>350</v>
      </c>
      <c r="F481" s="162" t="s">
        <v>41</v>
      </c>
      <c r="G481" s="33" t="str">
        <f>IFERROR(INDEX([1]Positions!$A:$A,MATCH(F481,[1]Positions!$C:$C,0)),"Other")</f>
        <v>Other</v>
      </c>
      <c r="H481" s="33" t="b">
        <f t="shared" si="14"/>
        <v>1</v>
      </c>
      <c r="I481" s="33" t="str">
        <f t="shared" si="15"/>
        <v>2024-11-19</v>
      </c>
      <c r="J481" s="145">
        <v>-0.45</v>
      </c>
      <c r="K481" s="159" t="s">
        <v>0</v>
      </c>
    </row>
    <row r="482" spans="2:11" x14ac:dyDescent="0.25">
      <c r="B482" s="130">
        <v>660370123</v>
      </c>
      <c r="C482" s="130" t="s">
        <v>77</v>
      </c>
      <c r="D482" s="133">
        <v>45615.585096377297</v>
      </c>
      <c r="E482" s="130" t="s">
        <v>351</v>
      </c>
      <c r="F482" s="161" t="s">
        <v>41</v>
      </c>
      <c r="G482" s="33" t="str">
        <f>IFERROR(INDEX([1]Positions!$A:$A,MATCH(F482,[1]Positions!$C:$C,0)),"Other")</f>
        <v>Other</v>
      </c>
      <c r="H482" s="33" t="b">
        <f t="shared" si="14"/>
        <v>1</v>
      </c>
      <c r="I482" s="33" t="str">
        <f t="shared" si="15"/>
        <v>2024-11-19</v>
      </c>
      <c r="J482" s="136">
        <v>2.54</v>
      </c>
      <c r="K482" s="159" t="s">
        <v>0</v>
      </c>
    </row>
    <row r="483" spans="2:11" x14ac:dyDescent="0.25">
      <c r="B483" s="139">
        <v>664734305</v>
      </c>
      <c r="C483" s="139" t="s">
        <v>73</v>
      </c>
      <c r="D483" s="142">
        <v>45621.856399189797</v>
      </c>
      <c r="E483" s="139" t="s">
        <v>352</v>
      </c>
      <c r="F483" s="162" t="s">
        <v>517</v>
      </c>
      <c r="G483" s="33" t="str">
        <f>IFERROR(INDEX([1]Positions!$A:$A,MATCH(F483,[1]Positions!$C:$C,0)),"Other")</f>
        <v>Technology</v>
      </c>
      <c r="H483" s="33" t="b">
        <f t="shared" si="14"/>
        <v>1</v>
      </c>
      <c r="I483" s="33" t="str">
        <f t="shared" si="15"/>
        <v>2024-11-25</v>
      </c>
      <c r="J483" s="145">
        <v>-19.989999999999998</v>
      </c>
      <c r="K483" s="159" t="s">
        <v>0</v>
      </c>
    </row>
    <row r="484" spans="2:11" ht="42" x14ac:dyDescent="0.25">
      <c r="B484" s="130">
        <v>665617403</v>
      </c>
      <c r="C484" s="130" t="s">
        <v>71</v>
      </c>
      <c r="D484" s="133">
        <v>45623.089893796299</v>
      </c>
      <c r="E484" s="130" t="s">
        <v>353</v>
      </c>
      <c r="F484" s="161"/>
      <c r="G484" s="33" t="str">
        <f>IFERROR(INDEX([1]Positions!$A:$A,MATCH(F484,[1]Positions!$C:$C,0)),"Other")</f>
        <v>Other</v>
      </c>
      <c r="H484" s="33" t="b">
        <f t="shared" si="14"/>
        <v>1</v>
      </c>
      <c r="I484" s="33" t="str">
        <f t="shared" si="15"/>
        <v>2024-11-27</v>
      </c>
      <c r="J484" s="136">
        <v>85</v>
      </c>
      <c r="K484" s="159" t="s">
        <v>0</v>
      </c>
    </row>
    <row r="485" spans="2:11" x14ac:dyDescent="0.25">
      <c r="B485" s="139">
        <v>666045644</v>
      </c>
      <c r="C485" s="139" t="s">
        <v>77</v>
      </c>
      <c r="D485" s="142">
        <v>45623.575487800903</v>
      </c>
      <c r="E485" s="139" t="s">
        <v>354</v>
      </c>
      <c r="F485" s="162" t="s">
        <v>41</v>
      </c>
      <c r="G485" s="33" t="str">
        <f>IFERROR(INDEX([1]Positions!$A:$A,MATCH(F485,[1]Positions!$C:$C,0)),"Other")</f>
        <v>Other</v>
      </c>
      <c r="H485" s="33" t="b">
        <f t="shared" si="14"/>
        <v>1</v>
      </c>
      <c r="I485" s="33" t="str">
        <f t="shared" si="15"/>
        <v>2024-11-27</v>
      </c>
      <c r="J485" s="145">
        <v>-3.33</v>
      </c>
      <c r="K485" s="159" t="s">
        <v>0</v>
      </c>
    </row>
    <row r="486" spans="2:11" x14ac:dyDescent="0.25">
      <c r="B486" s="130">
        <v>666045860</v>
      </c>
      <c r="C486" s="130" t="s">
        <v>77</v>
      </c>
      <c r="D486" s="133">
        <v>45623.575741377303</v>
      </c>
      <c r="E486" s="130" t="s">
        <v>355</v>
      </c>
      <c r="F486" s="161" t="s">
        <v>41</v>
      </c>
      <c r="G486" s="33" t="str">
        <f>IFERROR(INDEX([1]Positions!$A:$A,MATCH(F486,[1]Positions!$C:$C,0)),"Other")</f>
        <v>Other</v>
      </c>
      <c r="H486" s="33" t="b">
        <f t="shared" si="14"/>
        <v>1</v>
      </c>
      <c r="I486" s="33" t="str">
        <f t="shared" si="15"/>
        <v>2024-11-27</v>
      </c>
      <c r="J486" s="147">
        <v>-1.63</v>
      </c>
      <c r="K486" s="159" t="s">
        <v>0</v>
      </c>
    </row>
    <row r="487" spans="2:11" x14ac:dyDescent="0.25">
      <c r="B487" s="139">
        <v>666341644</v>
      </c>
      <c r="C487" s="139" t="s">
        <v>73</v>
      </c>
      <c r="D487" s="142">
        <v>45623.749931145801</v>
      </c>
      <c r="E487" s="139" t="s">
        <v>356</v>
      </c>
      <c r="F487" s="162" t="s">
        <v>513</v>
      </c>
      <c r="G487" s="33" t="str">
        <f>IFERROR(INDEX([1]Positions!$A:$A,MATCH(F487,[1]Positions!$C:$C,0)),"Other")</f>
        <v>Technology</v>
      </c>
      <c r="H487" s="33" t="b">
        <f t="shared" si="14"/>
        <v>1</v>
      </c>
      <c r="I487" s="33" t="str">
        <f t="shared" si="15"/>
        <v>2024-11-27</v>
      </c>
      <c r="J487" s="145">
        <v>-14.99</v>
      </c>
      <c r="K487" s="159" t="s">
        <v>0</v>
      </c>
    </row>
    <row r="488" spans="2:11" x14ac:dyDescent="0.25">
      <c r="B488" s="130">
        <v>666341273</v>
      </c>
      <c r="C488" s="130" t="s">
        <v>73</v>
      </c>
      <c r="D488" s="133">
        <v>45623.749511180598</v>
      </c>
      <c r="E488" s="130" t="s">
        <v>357</v>
      </c>
      <c r="F488" s="161" t="s">
        <v>529</v>
      </c>
      <c r="G488" s="33" t="str">
        <f>IFERROR(INDEX([1]Positions!$A:$A,MATCH(F488,[1]Positions!$C:$C,0)),"Other")</f>
        <v>Financial Services</v>
      </c>
      <c r="H488" s="33" t="b">
        <f t="shared" si="14"/>
        <v>1</v>
      </c>
      <c r="I488" s="33" t="str">
        <f t="shared" si="15"/>
        <v>2024-11-27</v>
      </c>
      <c r="J488" s="147">
        <v>-14.68</v>
      </c>
      <c r="K488" s="159" t="s">
        <v>0</v>
      </c>
    </row>
    <row r="489" spans="2:11" x14ac:dyDescent="0.25">
      <c r="B489" s="139">
        <v>666341280</v>
      </c>
      <c r="C489" s="139" t="s">
        <v>73</v>
      </c>
      <c r="D489" s="142">
        <v>45623.7495223843</v>
      </c>
      <c r="E489" s="139" t="s">
        <v>358</v>
      </c>
      <c r="F489" s="162" t="s">
        <v>529</v>
      </c>
      <c r="G489" s="33" t="str">
        <f>IFERROR(INDEX([1]Positions!$A:$A,MATCH(F489,[1]Positions!$C:$C,0)),"Other")</f>
        <v>Financial Services</v>
      </c>
      <c r="H489" s="33" t="b">
        <f t="shared" si="14"/>
        <v>1</v>
      </c>
      <c r="I489" s="33" t="str">
        <f t="shared" si="15"/>
        <v>2024-11-27</v>
      </c>
      <c r="J489" s="145">
        <v>-15.3</v>
      </c>
      <c r="K489" s="159" t="s">
        <v>0</v>
      </c>
    </row>
    <row r="490" spans="2:11" x14ac:dyDescent="0.25">
      <c r="B490" s="130">
        <v>666890881</v>
      </c>
      <c r="C490" s="130" t="s">
        <v>77</v>
      </c>
      <c r="D490" s="133">
        <v>45624.719147164396</v>
      </c>
      <c r="E490" s="130" t="s">
        <v>359</v>
      </c>
      <c r="F490" s="161" t="s">
        <v>41</v>
      </c>
      <c r="G490" s="33" t="str">
        <f>IFERROR(INDEX([1]Positions!$A:$A,MATCH(F490,[1]Positions!$C:$C,0)),"Other")</f>
        <v>Other</v>
      </c>
      <c r="H490" s="33" t="b">
        <f t="shared" si="14"/>
        <v>1</v>
      </c>
      <c r="I490" s="33" t="str">
        <f t="shared" si="15"/>
        <v>2024-11-28</v>
      </c>
      <c r="J490" s="136">
        <v>10.17</v>
      </c>
      <c r="K490" s="159" t="s">
        <v>0</v>
      </c>
    </row>
    <row r="491" spans="2:11" ht="42" x14ac:dyDescent="0.25">
      <c r="B491" s="139">
        <v>667794212</v>
      </c>
      <c r="C491" s="139" t="s">
        <v>71</v>
      </c>
      <c r="D491" s="142">
        <v>45626.697560578701</v>
      </c>
      <c r="E491" s="139" t="s">
        <v>360</v>
      </c>
      <c r="F491" s="162"/>
      <c r="G491" s="33" t="str">
        <f>IFERROR(INDEX([1]Positions!$A:$A,MATCH(F491,[1]Positions!$C:$C,0)),"Other")</f>
        <v>Other</v>
      </c>
      <c r="H491" s="33" t="b">
        <f t="shared" si="14"/>
        <v>1</v>
      </c>
      <c r="I491" s="33" t="str">
        <f t="shared" si="15"/>
        <v>2024-11-30</v>
      </c>
      <c r="J491" s="148">
        <v>85</v>
      </c>
      <c r="K491" s="159" t="s">
        <v>0</v>
      </c>
    </row>
    <row r="492" spans="2:11" x14ac:dyDescent="0.25">
      <c r="B492" s="130">
        <v>668479884</v>
      </c>
      <c r="C492" s="130" t="s">
        <v>69</v>
      </c>
      <c r="D492" s="133">
        <v>45628.500889386603</v>
      </c>
      <c r="E492" s="130" t="s">
        <v>830</v>
      </c>
      <c r="F492" s="161" t="s">
        <v>523</v>
      </c>
      <c r="G492" s="33" t="str">
        <f>IFERROR(INDEX([1]Positions!$A:$A,MATCH(F492,[1]Positions!$C:$C,0)),"Other")</f>
        <v>Financial Services</v>
      </c>
      <c r="H492" s="33" t="b">
        <f t="shared" si="14"/>
        <v>1</v>
      </c>
      <c r="I492" s="33" t="str">
        <f t="shared" si="15"/>
        <v>2024-12-02</v>
      </c>
      <c r="J492" s="136">
        <v>0.04</v>
      </c>
      <c r="K492" s="159" t="s">
        <v>0</v>
      </c>
    </row>
    <row r="493" spans="2:11" x14ac:dyDescent="0.25">
      <c r="B493" s="139">
        <v>668479885</v>
      </c>
      <c r="C493" s="139" t="s">
        <v>70</v>
      </c>
      <c r="D493" s="142">
        <v>45628.500889386603</v>
      </c>
      <c r="E493" s="139" t="s">
        <v>811</v>
      </c>
      <c r="F493" s="162" t="s">
        <v>523</v>
      </c>
      <c r="G493" s="33" t="str">
        <f>IFERROR(INDEX([1]Positions!$A:$A,MATCH(F493,[1]Positions!$C:$C,0)),"Other")</f>
        <v>Financial Services</v>
      </c>
      <c r="H493" s="33" t="b">
        <f t="shared" si="14"/>
        <v>1</v>
      </c>
      <c r="I493" s="33" t="str">
        <f t="shared" si="15"/>
        <v>2024-12-02</v>
      </c>
      <c r="J493" s="145">
        <v>-0.01</v>
      </c>
      <c r="K493" s="159" t="s">
        <v>0</v>
      </c>
    </row>
    <row r="494" spans="2:11" x14ac:dyDescent="0.25">
      <c r="B494" s="130">
        <v>668491369</v>
      </c>
      <c r="C494" s="130" t="s">
        <v>69</v>
      </c>
      <c r="D494" s="133">
        <v>45628.500903981498</v>
      </c>
      <c r="E494" s="130" t="s">
        <v>830</v>
      </c>
      <c r="F494" s="161" t="s">
        <v>523</v>
      </c>
      <c r="G494" s="33" t="str">
        <f>IFERROR(INDEX([1]Positions!$A:$A,MATCH(F494,[1]Positions!$C:$C,0)),"Other")</f>
        <v>Financial Services</v>
      </c>
      <c r="H494" s="33" t="b">
        <f t="shared" si="14"/>
        <v>1</v>
      </c>
      <c r="I494" s="33" t="str">
        <f t="shared" si="15"/>
        <v>2024-12-02</v>
      </c>
      <c r="J494" s="136">
        <v>0.04</v>
      </c>
      <c r="K494" s="159" t="s">
        <v>0</v>
      </c>
    </row>
    <row r="495" spans="2:11" x14ac:dyDescent="0.25">
      <c r="B495" s="139">
        <v>668491370</v>
      </c>
      <c r="C495" s="139" t="s">
        <v>70</v>
      </c>
      <c r="D495" s="142">
        <v>45628.500903981498</v>
      </c>
      <c r="E495" s="139" t="s">
        <v>811</v>
      </c>
      <c r="F495" s="162" t="s">
        <v>523</v>
      </c>
      <c r="G495" s="33" t="str">
        <f>IFERROR(INDEX([1]Positions!$A:$A,MATCH(F495,[1]Positions!$C:$C,0)),"Other")</f>
        <v>Financial Services</v>
      </c>
      <c r="H495" s="33" t="b">
        <f t="shared" si="14"/>
        <v>1</v>
      </c>
      <c r="I495" s="33" t="str">
        <f t="shared" si="15"/>
        <v>2024-12-02</v>
      </c>
      <c r="J495" s="145">
        <v>-0.01</v>
      </c>
      <c r="K495" s="159" t="s">
        <v>0</v>
      </c>
    </row>
    <row r="496" spans="2:11" x14ac:dyDescent="0.25">
      <c r="B496" s="130">
        <v>669282156</v>
      </c>
      <c r="C496" s="130" t="s">
        <v>73</v>
      </c>
      <c r="D496" s="133">
        <v>45628.859291539397</v>
      </c>
      <c r="E496" s="130" t="s">
        <v>361</v>
      </c>
      <c r="F496" s="161" t="s">
        <v>516</v>
      </c>
      <c r="G496" s="33" t="str">
        <f>IFERROR(INDEX([1]Positions!$A:$A,MATCH(F496,[1]Positions!$C:$C,0)),"Other")</f>
        <v>Energy &amp; Utilities</v>
      </c>
      <c r="H496" s="33" t="b">
        <f t="shared" si="14"/>
        <v>1</v>
      </c>
      <c r="I496" s="33" t="str">
        <f t="shared" si="15"/>
        <v>2024-12-02</v>
      </c>
      <c r="J496" s="147">
        <v>-19.989999999999998</v>
      </c>
      <c r="K496" s="159" t="s">
        <v>0</v>
      </c>
    </row>
    <row r="497" spans="2:11" x14ac:dyDescent="0.25">
      <c r="B497" s="139">
        <v>669283159</v>
      </c>
      <c r="C497" s="139" t="s">
        <v>73</v>
      </c>
      <c r="D497" s="142">
        <v>45628.860143842598</v>
      </c>
      <c r="E497" s="139" t="s">
        <v>362</v>
      </c>
      <c r="F497" s="162" t="s">
        <v>531</v>
      </c>
      <c r="G497" s="33" t="str">
        <f>IFERROR(INDEX([1]Positions!$A:$A,MATCH(F497,[1]Positions!$C:$C,0)),"Other")</f>
        <v>Consumer Defensive</v>
      </c>
      <c r="H497" s="33" t="b">
        <f t="shared" si="14"/>
        <v>1</v>
      </c>
      <c r="I497" s="33" t="str">
        <f t="shared" si="15"/>
        <v>2024-12-02</v>
      </c>
      <c r="J497" s="145">
        <v>-15</v>
      </c>
      <c r="K497" s="159" t="s">
        <v>0</v>
      </c>
    </row>
    <row r="498" spans="2:11" x14ac:dyDescent="0.25">
      <c r="B498" s="130">
        <v>669282425</v>
      </c>
      <c r="C498" s="130" t="s">
        <v>73</v>
      </c>
      <c r="D498" s="133">
        <v>45628.8595192824</v>
      </c>
      <c r="E498" s="130" t="s">
        <v>363</v>
      </c>
      <c r="F498" s="161" t="s">
        <v>508</v>
      </c>
      <c r="G498" s="33" t="str">
        <f>IFERROR(INDEX([1]Positions!$A:$A,MATCH(F498,[1]Positions!$C:$C,0)),"Other")</f>
        <v>Consumer Defensive</v>
      </c>
      <c r="H498" s="33" t="b">
        <f t="shared" si="14"/>
        <v>1</v>
      </c>
      <c r="I498" s="33" t="str">
        <f t="shared" si="15"/>
        <v>2024-12-02</v>
      </c>
      <c r="J498" s="147">
        <v>-14.98</v>
      </c>
      <c r="K498" s="159" t="s">
        <v>0</v>
      </c>
    </row>
    <row r="499" spans="2:11" x14ac:dyDescent="0.25">
      <c r="B499" s="139">
        <v>669863641</v>
      </c>
      <c r="C499" s="139" t="s">
        <v>73</v>
      </c>
      <c r="D499" s="142">
        <v>45629.378548356501</v>
      </c>
      <c r="E499" s="139" t="s">
        <v>364</v>
      </c>
      <c r="F499" s="162" t="s">
        <v>55</v>
      </c>
      <c r="G499" s="33" t="str">
        <f>IFERROR(INDEX([1]Positions!$A:$A,MATCH(F499,[1]Positions!$C:$C,0)),"Other")</f>
        <v>ETF</v>
      </c>
      <c r="H499" s="33" t="b">
        <f t="shared" si="14"/>
        <v>1</v>
      </c>
      <c r="I499" s="33" t="str">
        <f t="shared" si="15"/>
        <v>2024-12-03</v>
      </c>
      <c r="J499" s="145">
        <v>-51.41</v>
      </c>
      <c r="K499" s="159" t="s">
        <v>0</v>
      </c>
    </row>
    <row r="500" spans="2:11" x14ac:dyDescent="0.25">
      <c r="B500" s="130">
        <v>670941452</v>
      </c>
      <c r="C500" s="130" t="s">
        <v>69</v>
      </c>
      <c r="D500" s="133">
        <v>45630.500049050897</v>
      </c>
      <c r="E500" s="130" t="s">
        <v>365</v>
      </c>
      <c r="F500" s="161" t="s">
        <v>52</v>
      </c>
      <c r="G500" s="33" t="str">
        <f>IFERROR(INDEX([1]Positions!$A:$A,MATCH(F500,[1]Positions!$C:$C,0)),"Other")</f>
        <v>MISC</v>
      </c>
      <c r="H500" s="33" t="b">
        <f t="shared" si="14"/>
        <v>1</v>
      </c>
      <c r="I500" s="33" t="str">
        <f t="shared" si="15"/>
        <v>2024-12-04</v>
      </c>
      <c r="J500" s="136">
        <v>0.11</v>
      </c>
      <c r="K500" s="159" t="s">
        <v>0</v>
      </c>
    </row>
    <row r="501" spans="2:11" x14ac:dyDescent="0.25">
      <c r="B501" s="139">
        <v>670941453</v>
      </c>
      <c r="C501" s="139" t="s">
        <v>70</v>
      </c>
      <c r="D501" s="142">
        <v>45630.500049062503</v>
      </c>
      <c r="E501" s="139" t="s">
        <v>366</v>
      </c>
      <c r="F501" s="162" t="s">
        <v>52</v>
      </c>
      <c r="G501" s="33" t="str">
        <f>IFERROR(INDEX([1]Positions!$A:$A,MATCH(F501,[1]Positions!$C:$C,0)),"Other")</f>
        <v>MISC</v>
      </c>
      <c r="H501" s="33" t="b">
        <f t="shared" si="14"/>
        <v>1</v>
      </c>
      <c r="I501" s="33" t="str">
        <f t="shared" si="15"/>
        <v>2024-12-04</v>
      </c>
      <c r="J501" s="145">
        <v>-0.03</v>
      </c>
      <c r="K501" s="159" t="s">
        <v>0</v>
      </c>
    </row>
    <row r="502" spans="2:11" x14ac:dyDescent="0.25">
      <c r="B502" s="130">
        <v>670946699</v>
      </c>
      <c r="C502" s="130" t="s">
        <v>69</v>
      </c>
      <c r="D502" s="133">
        <v>45630.500055729201</v>
      </c>
      <c r="E502" s="130" t="s">
        <v>365</v>
      </c>
      <c r="F502" s="161" t="s">
        <v>52</v>
      </c>
      <c r="G502" s="33" t="str">
        <f>IFERROR(INDEX([1]Positions!$A:$A,MATCH(F502,[1]Positions!$C:$C,0)),"Other")</f>
        <v>MISC</v>
      </c>
      <c r="H502" s="33" t="b">
        <f t="shared" si="14"/>
        <v>1</v>
      </c>
      <c r="I502" s="33" t="str">
        <f t="shared" si="15"/>
        <v>2024-12-04</v>
      </c>
      <c r="J502" s="136">
        <v>0.12</v>
      </c>
      <c r="K502" s="159" t="s">
        <v>0</v>
      </c>
    </row>
    <row r="503" spans="2:11" x14ac:dyDescent="0.25">
      <c r="B503" s="139">
        <v>670946700</v>
      </c>
      <c r="C503" s="139" t="s">
        <v>70</v>
      </c>
      <c r="D503" s="142">
        <v>45630.500055729201</v>
      </c>
      <c r="E503" s="139" t="s">
        <v>366</v>
      </c>
      <c r="F503" s="162" t="s">
        <v>52</v>
      </c>
      <c r="G503" s="33" t="str">
        <f>IFERROR(INDEX([1]Positions!$A:$A,MATCH(F503,[1]Positions!$C:$C,0)),"Other")</f>
        <v>MISC</v>
      </c>
      <c r="H503" s="33" t="b">
        <f t="shared" si="14"/>
        <v>1</v>
      </c>
      <c r="I503" s="33" t="str">
        <f t="shared" si="15"/>
        <v>2024-12-04</v>
      </c>
      <c r="J503" s="145">
        <v>-0.03</v>
      </c>
      <c r="K503" s="159" t="s">
        <v>0</v>
      </c>
    </row>
    <row r="504" spans="2:11" x14ac:dyDescent="0.25">
      <c r="B504" s="130">
        <v>671472375</v>
      </c>
      <c r="C504" s="130" t="s">
        <v>73</v>
      </c>
      <c r="D504" s="133">
        <v>45630.855834294001</v>
      </c>
      <c r="E504" s="130" t="s">
        <v>367</v>
      </c>
      <c r="F504" s="161" t="s">
        <v>508</v>
      </c>
      <c r="G504" s="33" t="str">
        <f>IFERROR(INDEX([1]Positions!$A:$A,MATCH(F504,[1]Positions!$C:$C,0)),"Other")</f>
        <v>Consumer Defensive</v>
      </c>
      <c r="H504" s="33" t="b">
        <f t="shared" si="14"/>
        <v>1</v>
      </c>
      <c r="I504" s="33" t="str">
        <f t="shared" si="15"/>
        <v>2024-12-04</v>
      </c>
      <c r="J504" s="147">
        <v>-10</v>
      </c>
      <c r="K504" s="159" t="s">
        <v>0</v>
      </c>
    </row>
    <row r="505" spans="2:11" x14ac:dyDescent="0.25">
      <c r="B505" s="139">
        <v>672045605</v>
      </c>
      <c r="C505" s="139" t="s">
        <v>77</v>
      </c>
      <c r="D505" s="142">
        <v>45631.6258153819</v>
      </c>
      <c r="E505" s="139" t="s">
        <v>368</v>
      </c>
      <c r="F505" s="162" t="s">
        <v>41</v>
      </c>
      <c r="G505" s="33" t="str">
        <f>IFERROR(INDEX([1]Positions!$A:$A,MATCH(F505,[1]Positions!$C:$C,0)),"Other")</f>
        <v>Other</v>
      </c>
      <c r="H505" s="33" t="b">
        <f t="shared" si="14"/>
        <v>1</v>
      </c>
      <c r="I505" s="33" t="str">
        <f t="shared" si="15"/>
        <v>2024-12-05</v>
      </c>
      <c r="J505" s="145">
        <v>-6.99</v>
      </c>
      <c r="K505" s="159" t="s">
        <v>0</v>
      </c>
    </row>
    <row r="506" spans="2:11" x14ac:dyDescent="0.25">
      <c r="B506" s="130">
        <v>673182775</v>
      </c>
      <c r="C506" s="130" t="s">
        <v>73</v>
      </c>
      <c r="D506" s="133">
        <v>45632.876670844897</v>
      </c>
      <c r="E506" s="130" t="s">
        <v>369</v>
      </c>
      <c r="F506" s="161" t="s">
        <v>538</v>
      </c>
      <c r="G506" s="33" t="str">
        <f>IFERROR(INDEX([1]Positions!$A:$A,MATCH(F506,[1]Positions!$C:$C,0)),"Other")</f>
        <v>Energy &amp; Utilities</v>
      </c>
      <c r="H506" s="33" t="b">
        <f t="shared" si="14"/>
        <v>1</v>
      </c>
      <c r="I506" s="33" t="str">
        <f t="shared" si="15"/>
        <v>2024-12-06</v>
      </c>
      <c r="J506" s="147">
        <v>-20</v>
      </c>
      <c r="K506" s="159" t="s">
        <v>0</v>
      </c>
    </row>
    <row r="507" spans="2:11" x14ac:dyDescent="0.25">
      <c r="B507" s="139">
        <v>676475396</v>
      </c>
      <c r="C507" s="139" t="s">
        <v>69</v>
      </c>
      <c r="D507" s="142">
        <v>45638.500137708303</v>
      </c>
      <c r="E507" s="139" t="s">
        <v>747</v>
      </c>
      <c r="F507" s="162" t="s">
        <v>521</v>
      </c>
      <c r="G507" s="33" t="str">
        <f>IFERROR(INDEX([1]Positions!$A:$A,MATCH(F507,[1]Positions!$C:$C,0)),"Other")</f>
        <v>Technology</v>
      </c>
      <c r="H507" s="33" t="b">
        <f t="shared" si="14"/>
        <v>1</v>
      </c>
      <c r="I507" s="33" t="str">
        <f t="shared" si="15"/>
        <v>2024-12-12</v>
      </c>
      <c r="J507" s="148">
        <v>0.02</v>
      </c>
      <c r="K507" s="159" t="s">
        <v>0</v>
      </c>
    </row>
    <row r="508" spans="2:11" x14ac:dyDescent="0.25">
      <c r="B508" s="130">
        <v>676475397</v>
      </c>
      <c r="C508" s="130" t="s">
        <v>70</v>
      </c>
      <c r="D508" s="133">
        <v>45638.500137708303</v>
      </c>
      <c r="E508" s="130" t="s">
        <v>748</v>
      </c>
      <c r="F508" s="161" t="s">
        <v>521</v>
      </c>
      <c r="G508" s="33" t="str">
        <f>IFERROR(INDEX([1]Positions!$A:$A,MATCH(F508,[1]Positions!$C:$C,0)),"Other")</f>
        <v>Technology</v>
      </c>
      <c r="H508" s="33" t="b">
        <f t="shared" si="14"/>
        <v>1</v>
      </c>
      <c r="I508" s="33" t="str">
        <f t="shared" si="15"/>
        <v>2024-12-12</v>
      </c>
      <c r="J508" s="147">
        <v>-0.01</v>
      </c>
      <c r="K508" s="159" t="s">
        <v>0</v>
      </c>
    </row>
    <row r="509" spans="2:11" x14ac:dyDescent="0.25">
      <c r="B509" s="139">
        <v>676495775</v>
      </c>
      <c r="C509" s="139" t="s">
        <v>69</v>
      </c>
      <c r="D509" s="142">
        <v>45638.5001646296</v>
      </c>
      <c r="E509" s="139" t="s">
        <v>747</v>
      </c>
      <c r="F509" s="162" t="s">
        <v>521</v>
      </c>
      <c r="G509" s="33" t="str">
        <f>IFERROR(INDEX([1]Positions!$A:$A,MATCH(F509,[1]Positions!$C:$C,0)),"Other")</f>
        <v>Technology</v>
      </c>
      <c r="H509" s="33" t="b">
        <f t="shared" si="14"/>
        <v>1</v>
      </c>
      <c r="I509" s="33" t="str">
        <f t="shared" si="15"/>
        <v>2024-12-12</v>
      </c>
      <c r="J509" s="148">
        <v>0.03</v>
      </c>
      <c r="K509" s="159" t="s">
        <v>0</v>
      </c>
    </row>
    <row r="510" spans="2:11" x14ac:dyDescent="0.25">
      <c r="B510" s="130">
        <v>676495776</v>
      </c>
      <c r="C510" s="130" t="s">
        <v>70</v>
      </c>
      <c r="D510" s="133">
        <v>45638.5001646296</v>
      </c>
      <c r="E510" s="130" t="s">
        <v>748</v>
      </c>
      <c r="F510" s="161" t="s">
        <v>521</v>
      </c>
      <c r="G510" s="33" t="str">
        <f>IFERROR(INDEX([1]Positions!$A:$A,MATCH(F510,[1]Positions!$C:$C,0)),"Other")</f>
        <v>Technology</v>
      </c>
      <c r="H510" s="33" t="b">
        <f t="shared" si="14"/>
        <v>1</v>
      </c>
      <c r="I510" s="33" t="str">
        <f t="shared" si="15"/>
        <v>2024-12-12</v>
      </c>
      <c r="J510" s="147">
        <v>-0.01</v>
      </c>
      <c r="K510" s="159" t="s">
        <v>0</v>
      </c>
    </row>
    <row r="511" spans="2:11" x14ac:dyDescent="0.25">
      <c r="B511" s="139">
        <v>676570737</v>
      </c>
      <c r="C511" s="139" t="s">
        <v>69</v>
      </c>
      <c r="D511" s="142">
        <v>45638.500269837998</v>
      </c>
      <c r="E511" s="139" t="s">
        <v>747</v>
      </c>
      <c r="F511" s="162" t="s">
        <v>521</v>
      </c>
      <c r="G511" s="33" t="str">
        <f>IFERROR(INDEX([1]Positions!$A:$A,MATCH(F511,[1]Positions!$C:$C,0)),"Other")</f>
        <v>Technology</v>
      </c>
      <c r="H511" s="33" t="b">
        <f t="shared" si="14"/>
        <v>1</v>
      </c>
      <c r="I511" s="33" t="str">
        <f t="shared" si="15"/>
        <v>2024-12-12</v>
      </c>
      <c r="J511" s="148">
        <v>0.02</v>
      </c>
      <c r="K511" s="159" t="s">
        <v>0</v>
      </c>
    </row>
    <row r="512" spans="2:11" x14ac:dyDescent="0.25">
      <c r="B512" s="130">
        <v>676570738</v>
      </c>
      <c r="C512" s="130" t="s">
        <v>70</v>
      </c>
      <c r="D512" s="133">
        <v>45638.500269837998</v>
      </c>
      <c r="E512" s="130" t="s">
        <v>748</v>
      </c>
      <c r="F512" s="161" t="s">
        <v>521</v>
      </c>
      <c r="G512" s="33" t="str">
        <f>IFERROR(INDEX([1]Positions!$A:$A,MATCH(F512,[1]Positions!$C:$C,0)),"Other")</f>
        <v>Technology</v>
      </c>
      <c r="H512" s="33" t="b">
        <f t="shared" si="14"/>
        <v>1</v>
      </c>
      <c r="I512" s="33" t="str">
        <f t="shared" si="15"/>
        <v>2024-12-12</v>
      </c>
      <c r="J512" s="147">
        <v>-0.01</v>
      </c>
      <c r="K512" s="159" t="s">
        <v>0</v>
      </c>
    </row>
    <row r="513" spans="2:11" x14ac:dyDescent="0.25">
      <c r="B513" s="139">
        <v>676584703</v>
      </c>
      <c r="C513" s="139" t="s">
        <v>69</v>
      </c>
      <c r="D513" s="142">
        <v>45638.500287338</v>
      </c>
      <c r="E513" s="139" t="s">
        <v>747</v>
      </c>
      <c r="F513" s="162" t="s">
        <v>521</v>
      </c>
      <c r="G513" s="33" t="str">
        <f>IFERROR(INDEX([1]Positions!$A:$A,MATCH(F513,[1]Positions!$C:$C,0)),"Other")</f>
        <v>Technology</v>
      </c>
      <c r="H513" s="33" t="b">
        <f t="shared" si="14"/>
        <v>1</v>
      </c>
      <c r="I513" s="33" t="str">
        <f t="shared" si="15"/>
        <v>2024-12-12</v>
      </c>
      <c r="J513" s="148">
        <v>0.04</v>
      </c>
      <c r="K513" s="159" t="s">
        <v>0</v>
      </c>
    </row>
    <row r="514" spans="2:11" x14ac:dyDescent="0.25">
      <c r="B514" s="130">
        <v>676584704</v>
      </c>
      <c r="C514" s="130" t="s">
        <v>70</v>
      </c>
      <c r="D514" s="133">
        <v>45638.500287338</v>
      </c>
      <c r="E514" s="130" t="s">
        <v>748</v>
      </c>
      <c r="F514" s="161" t="s">
        <v>521</v>
      </c>
      <c r="G514" s="33" t="str">
        <f>IFERROR(INDEX([1]Positions!$A:$A,MATCH(F514,[1]Positions!$C:$C,0)),"Other")</f>
        <v>Technology</v>
      </c>
      <c r="H514" s="33" t="b">
        <f t="shared" si="14"/>
        <v>1</v>
      </c>
      <c r="I514" s="33" t="str">
        <f t="shared" si="15"/>
        <v>2024-12-12</v>
      </c>
      <c r="J514" s="147">
        <v>-0.01</v>
      </c>
      <c r="K514" s="159" t="s">
        <v>0</v>
      </c>
    </row>
    <row r="515" spans="2:11" x14ac:dyDescent="0.25">
      <c r="B515" s="139">
        <v>677730046</v>
      </c>
      <c r="C515" s="139" t="s">
        <v>69</v>
      </c>
      <c r="D515" s="142">
        <v>45639.501850474502</v>
      </c>
      <c r="E515" s="139" t="s">
        <v>831</v>
      </c>
      <c r="F515" s="162" t="s">
        <v>527</v>
      </c>
      <c r="G515" s="33" t="str">
        <f>IFERROR(INDEX([1]Positions!$A:$A,MATCH(F515,[1]Positions!$C:$C,0)),"Other")</f>
        <v>Consumer Cyclical</v>
      </c>
      <c r="H515" s="33" t="b">
        <f t="shared" si="14"/>
        <v>1</v>
      </c>
      <c r="I515" s="33" t="str">
        <f t="shared" si="15"/>
        <v>2024-12-13</v>
      </c>
      <c r="J515" s="148">
        <v>0.05</v>
      </c>
      <c r="K515" s="159" t="s">
        <v>0</v>
      </c>
    </row>
    <row r="516" spans="2:11" x14ac:dyDescent="0.25">
      <c r="B516" s="130">
        <v>677730047</v>
      </c>
      <c r="C516" s="130" t="s">
        <v>70</v>
      </c>
      <c r="D516" s="133">
        <v>45639.501850474502</v>
      </c>
      <c r="E516" s="130" t="s">
        <v>832</v>
      </c>
      <c r="F516" s="161" t="s">
        <v>527</v>
      </c>
      <c r="G516" s="33" t="str">
        <f>IFERROR(INDEX([1]Positions!$A:$A,MATCH(F516,[1]Positions!$C:$C,0)),"Other")</f>
        <v>Consumer Cyclical</v>
      </c>
      <c r="H516" s="33" t="b">
        <f t="shared" si="14"/>
        <v>1</v>
      </c>
      <c r="I516" s="33" t="str">
        <f t="shared" si="15"/>
        <v>2024-12-13</v>
      </c>
      <c r="J516" s="147">
        <v>-0.02</v>
      </c>
      <c r="K516" s="159" t="s">
        <v>0</v>
      </c>
    </row>
    <row r="517" spans="2:11" x14ac:dyDescent="0.25">
      <c r="B517" s="139">
        <v>677730112</v>
      </c>
      <c r="C517" s="139" t="s">
        <v>69</v>
      </c>
      <c r="D517" s="142">
        <v>45639.501850567103</v>
      </c>
      <c r="E517" s="139" t="s">
        <v>831</v>
      </c>
      <c r="F517" s="162" t="s">
        <v>527</v>
      </c>
      <c r="G517" s="33" t="str">
        <f>IFERROR(INDEX([1]Positions!$A:$A,MATCH(F517,[1]Positions!$C:$C,0)),"Other")</f>
        <v>Consumer Cyclical</v>
      </c>
      <c r="H517" s="33" t="b">
        <f t="shared" si="14"/>
        <v>1</v>
      </c>
      <c r="I517" s="33" t="str">
        <f t="shared" si="15"/>
        <v>2024-12-13</v>
      </c>
      <c r="J517" s="148">
        <v>7.0000000000000007E-2</v>
      </c>
      <c r="K517" s="159" t="s">
        <v>0</v>
      </c>
    </row>
    <row r="518" spans="2:11" x14ac:dyDescent="0.25">
      <c r="B518" s="130">
        <v>677730113</v>
      </c>
      <c r="C518" s="130" t="s">
        <v>70</v>
      </c>
      <c r="D518" s="133">
        <v>45639.501850567103</v>
      </c>
      <c r="E518" s="130" t="s">
        <v>832</v>
      </c>
      <c r="F518" s="161" t="s">
        <v>527</v>
      </c>
      <c r="G518" s="33" t="str">
        <f>IFERROR(INDEX([1]Positions!$A:$A,MATCH(F518,[1]Positions!$C:$C,0)),"Other")</f>
        <v>Consumer Cyclical</v>
      </c>
      <c r="H518" s="33" t="b">
        <f t="shared" si="14"/>
        <v>1</v>
      </c>
      <c r="I518" s="33" t="str">
        <f t="shared" si="15"/>
        <v>2024-12-13</v>
      </c>
      <c r="J518" s="147">
        <v>-0.02</v>
      </c>
      <c r="K518" s="159" t="s">
        <v>0</v>
      </c>
    </row>
    <row r="519" spans="2:11" x14ac:dyDescent="0.25">
      <c r="B519" s="139">
        <v>678748131</v>
      </c>
      <c r="C519" s="139" t="s">
        <v>69</v>
      </c>
      <c r="D519" s="142">
        <v>45642.500126643499</v>
      </c>
      <c r="E519" s="139" t="s">
        <v>815</v>
      </c>
      <c r="F519" s="162" t="s">
        <v>516</v>
      </c>
      <c r="G519" s="33" t="str">
        <f>IFERROR(INDEX([1]Positions!$A:$A,MATCH(F519,[1]Positions!$C:$C,0)),"Other")</f>
        <v>Energy &amp; Utilities</v>
      </c>
      <c r="H519" s="33" t="b">
        <f t="shared" si="14"/>
        <v>1</v>
      </c>
      <c r="I519" s="33" t="str">
        <f t="shared" si="15"/>
        <v>2024-12-16</v>
      </c>
      <c r="J519" s="148">
        <v>0.1</v>
      </c>
      <c r="K519" s="159" t="s">
        <v>0</v>
      </c>
    </row>
    <row r="520" spans="2:11" x14ac:dyDescent="0.25">
      <c r="B520" s="130">
        <v>678748132</v>
      </c>
      <c r="C520" s="130" t="s">
        <v>70</v>
      </c>
      <c r="D520" s="133">
        <v>45642.500126655097</v>
      </c>
      <c r="E520" s="130" t="s">
        <v>745</v>
      </c>
      <c r="F520" s="161" t="s">
        <v>516</v>
      </c>
      <c r="G520" s="33" t="str">
        <f>IFERROR(INDEX([1]Positions!$A:$A,MATCH(F520,[1]Positions!$C:$C,0)),"Other")</f>
        <v>Energy &amp; Utilities</v>
      </c>
      <c r="H520" s="33" t="b">
        <f t="shared" si="14"/>
        <v>1</v>
      </c>
      <c r="I520" s="33" t="str">
        <f t="shared" si="15"/>
        <v>2024-12-16</v>
      </c>
      <c r="J520" s="147">
        <v>-0.03</v>
      </c>
      <c r="K520" s="159" t="s">
        <v>0</v>
      </c>
    </row>
    <row r="521" spans="2:11" x14ac:dyDescent="0.25">
      <c r="B521" s="139">
        <v>678961049</v>
      </c>
      <c r="C521" s="139" t="s">
        <v>69</v>
      </c>
      <c r="D521" s="142">
        <v>45642.501941435199</v>
      </c>
      <c r="E521" s="139" t="s">
        <v>746</v>
      </c>
      <c r="F521" s="162" t="s">
        <v>517</v>
      </c>
      <c r="G521" s="33" t="str">
        <f>IFERROR(INDEX([1]Positions!$A:$A,MATCH(F521,[1]Positions!$C:$C,0)),"Other")</f>
        <v>Technology</v>
      </c>
      <c r="H521" s="33" t="b">
        <f t="shared" si="14"/>
        <v>1</v>
      </c>
      <c r="I521" s="33" t="str">
        <f t="shared" si="15"/>
        <v>2024-12-16</v>
      </c>
      <c r="J521" s="148">
        <v>0.02</v>
      </c>
      <c r="K521" s="159" t="s">
        <v>0</v>
      </c>
    </row>
    <row r="522" spans="2:11" x14ac:dyDescent="0.25">
      <c r="B522" s="130">
        <v>678961050</v>
      </c>
      <c r="C522" s="130" t="s">
        <v>70</v>
      </c>
      <c r="D522" s="133">
        <v>45642.501941435199</v>
      </c>
      <c r="E522" s="130" t="s">
        <v>816</v>
      </c>
      <c r="F522" s="161" t="s">
        <v>517</v>
      </c>
      <c r="G522" s="33" t="str">
        <f>IFERROR(INDEX([1]Positions!$A:$A,MATCH(F522,[1]Positions!$C:$C,0)),"Other")</f>
        <v>Technology</v>
      </c>
      <c r="H522" s="33" t="b">
        <f t="shared" si="14"/>
        <v>1</v>
      </c>
      <c r="I522" s="33" t="str">
        <f t="shared" si="15"/>
        <v>2024-12-16</v>
      </c>
      <c r="J522" s="147">
        <v>-0.01</v>
      </c>
      <c r="K522" s="159" t="s">
        <v>0</v>
      </c>
    </row>
    <row r="523" spans="2:11" x14ac:dyDescent="0.25">
      <c r="B523" s="139">
        <v>681900917</v>
      </c>
      <c r="C523" s="139" t="s">
        <v>69</v>
      </c>
      <c r="D523" s="142">
        <v>45645.510461088001</v>
      </c>
      <c r="E523" s="139" t="s">
        <v>819</v>
      </c>
      <c r="F523" s="162" t="s">
        <v>510</v>
      </c>
      <c r="G523" s="33" t="str">
        <f>IFERROR(INDEX([1]Positions!$A:$A,MATCH(F523,[1]Positions!$C:$C,0)),"Other")</f>
        <v>Technology</v>
      </c>
      <c r="H523" s="33" t="b">
        <f t="shared" si="14"/>
        <v>1</v>
      </c>
      <c r="I523" s="33" t="str">
        <f t="shared" si="15"/>
        <v>2024-12-19</v>
      </c>
      <c r="J523" s="148">
        <v>0.06</v>
      </c>
      <c r="K523" s="159" t="s">
        <v>0</v>
      </c>
    </row>
    <row r="524" spans="2:11" x14ac:dyDescent="0.25">
      <c r="B524" s="130">
        <v>681900918</v>
      </c>
      <c r="C524" s="130" t="s">
        <v>70</v>
      </c>
      <c r="D524" s="133">
        <v>45645.510461099497</v>
      </c>
      <c r="E524" s="130" t="s">
        <v>820</v>
      </c>
      <c r="F524" s="161" t="s">
        <v>510</v>
      </c>
      <c r="G524" s="33" t="str">
        <f>IFERROR(INDEX([1]Positions!$A:$A,MATCH(F524,[1]Positions!$C:$C,0)),"Other")</f>
        <v>Technology</v>
      </c>
      <c r="H524" s="33" t="b">
        <f t="shared" ref="H524:H587" si="16">ISNUMBER(D524)</f>
        <v>1</v>
      </c>
      <c r="I524" s="33" t="str">
        <f t="shared" ref="I524:I587" si="17">TEXT(D524,"YYYY-MM-DD")</f>
        <v>2024-12-19</v>
      </c>
      <c r="J524" s="147">
        <v>-0.02</v>
      </c>
      <c r="K524" s="159" t="s">
        <v>0</v>
      </c>
    </row>
    <row r="525" spans="2:11" x14ac:dyDescent="0.25">
      <c r="B525" s="139">
        <v>681905673</v>
      </c>
      <c r="C525" s="139" t="s">
        <v>69</v>
      </c>
      <c r="D525" s="142">
        <v>45645.5104667708</v>
      </c>
      <c r="E525" s="139" t="s">
        <v>819</v>
      </c>
      <c r="F525" s="162" t="s">
        <v>510</v>
      </c>
      <c r="G525" s="33" t="str">
        <f>IFERROR(INDEX([1]Positions!$A:$A,MATCH(F525,[1]Positions!$C:$C,0)),"Other")</f>
        <v>Technology</v>
      </c>
      <c r="H525" s="33" t="b">
        <f t="shared" si="16"/>
        <v>1</v>
      </c>
      <c r="I525" s="33" t="str">
        <f t="shared" si="17"/>
        <v>2024-12-19</v>
      </c>
      <c r="J525" s="148">
        <v>0.11</v>
      </c>
      <c r="K525" s="159" t="s">
        <v>0</v>
      </c>
    </row>
    <row r="526" spans="2:11" x14ac:dyDescent="0.25">
      <c r="B526" s="130">
        <v>681905674</v>
      </c>
      <c r="C526" s="130" t="s">
        <v>70</v>
      </c>
      <c r="D526" s="133">
        <v>45645.5104667708</v>
      </c>
      <c r="E526" s="130" t="s">
        <v>820</v>
      </c>
      <c r="F526" s="161" t="s">
        <v>510</v>
      </c>
      <c r="G526" s="33" t="str">
        <f>IFERROR(INDEX([1]Positions!$A:$A,MATCH(F526,[1]Positions!$C:$C,0)),"Other")</f>
        <v>Technology</v>
      </c>
      <c r="H526" s="33" t="b">
        <f t="shared" si="16"/>
        <v>1</v>
      </c>
      <c r="I526" s="33" t="str">
        <f t="shared" si="17"/>
        <v>2024-12-19</v>
      </c>
      <c r="J526" s="147">
        <v>-0.03</v>
      </c>
      <c r="K526" s="159" t="s">
        <v>0</v>
      </c>
    </row>
    <row r="527" spans="2:11" ht="42" x14ac:dyDescent="0.25">
      <c r="B527" s="139">
        <v>682453507</v>
      </c>
      <c r="C527" s="139" t="s">
        <v>71</v>
      </c>
      <c r="D527" s="142">
        <v>45645.884626446801</v>
      </c>
      <c r="E527" s="139" t="s">
        <v>370</v>
      </c>
      <c r="F527" s="162"/>
      <c r="G527" s="33" t="str">
        <f>IFERROR(INDEX([1]Positions!$A:$A,MATCH(F527,[1]Positions!$C:$C,0)),"Other")</f>
        <v>Other</v>
      </c>
      <c r="H527" s="33" t="b">
        <f t="shared" si="16"/>
        <v>1</v>
      </c>
      <c r="I527" s="33" t="str">
        <f t="shared" si="17"/>
        <v>2024-12-19</v>
      </c>
      <c r="J527" s="148">
        <v>85</v>
      </c>
      <c r="K527" s="159" t="s">
        <v>0</v>
      </c>
    </row>
    <row r="528" spans="2:11" x14ac:dyDescent="0.25">
      <c r="B528" s="130">
        <v>682459169</v>
      </c>
      <c r="C528" s="130" t="s">
        <v>73</v>
      </c>
      <c r="D528" s="133">
        <v>45645.890662650498</v>
      </c>
      <c r="E528" s="130" t="s">
        <v>371</v>
      </c>
      <c r="F528" s="161" t="s">
        <v>538</v>
      </c>
      <c r="G528" s="33" t="str">
        <f>IFERROR(INDEX([1]Positions!$A:$A,MATCH(F528,[1]Positions!$C:$C,0)),"Other")</f>
        <v>Energy &amp; Utilities</v>
      </c>
      <c r="H528" s="33" t="b">
        <f t="shared" si="16"/>
        <v>1</v>
      </c>
      <c r="I528" s="33" t="str">
        <f t="shared" si="17"/>
        <v>2024-12-19</v>
      </c>
      <c r="J528" s="147">
        <v>-9.99</v>
      </c>
      <c r="K528" s="159" t="s">
        <v>0</v>
      </c>
    </row>
    <row r="529" spans="2:11" x14ac:dyDescent="0.25">
      <c r="B529" s="139">
        <v>682456363</v>
      </c>
      <c r="C529" s="139" t="s">
        <v>73</v>
      </c>
      <c r="D529" s="142">
        <v>45645.887469814799</v>
      </c>
      <c r="E529" s="139" t="s">
        <v>372</v>
      </c>
      <c r="F529" s="162" t="s">
        <v>513</v>
      </c>
      <c r="G529" s="33" t="str">
        <f>IFERROR(INDEX([1]Positions!$A:$A,MATCH(F529,[1]Positions!$C:$C,0)),"Other")</f>
        <v>Technology</v>
      </c>
      <c r="H529" s="33" t="b">
        <f t="shared" si="16"/>
        <v>1</v>
      </c>
      <c r="I529" s="33" t="str">
        <f t="shared" si="17"/>
        <v>2024-12-19</v>
      </c>
      <c r="J529" s="145">
        <v>-15</v>
      </c>
      <c r="K529" s="159" t="s">
        <v>0</v>
      </c>
    </row>
    <row r="530" spans="2:11" x14ac:dyDescent="0.25">
      <c r="B530" s="130">
        <v>682462693</v>
      </c>
      <c r="C530" s="130" t="s">
        <v>73</v>
      </c>
      <c r="D530" s="133">
        <v>45645.895116423599</v>
      </c>
      <c r="E530" s="130" t="s">
        <v>373</v>
      </c>
      <c r="F530" s="161" t="s">
        <v>532</v>
      </c>
      <c r="G530" s="33" t="str">
        <f>IFERROR(INDEX([1]Positions!$A:$A,MATCH(F530,[1]Positions!$C:$C,0)),"Other")</f>
        <v>Consumer Defensive</v>
      </c>
      <c r="H530" s="33" t="b">
        <f t="shared" si="16"/>
        <v>1</v>
      </c>
      <c r="I530" s="33" t="str">
        <f t="shared" si="17"/>
        <v>2024-12-19</v>
      </c>
      <c r="J530" s="147">
        <v>-20</v>
      </c>
      <c r="K530" s="159" t="s">
        <v>0</v>
      </c>
    </row>
    <row r="531" spans="2:11" x14ac:dyDescent="0.25">
      <c r="B531" s="139">
        <v>682468725</v>
      </c>
      <c r="C531" s="139" t="s">
        <v>73</v>
      </c>
      <c r="D531" s="142">
        <v>45645.901439317102</v>
      </c>
      <c r="E531" s="139" t="s">
        <v>374</v>
      </c>
      <c r="F531" s="162" t="s">
        <v>530</v>
      </c>
      <c r="G531" s="33" t="str">
        <f>IFERROR(INDEX([1]Positions!$A:$A,MATCH(F531,[1]Positions!$C:$C,0)),"Other")</f>
        <v>Financial Services</v>
      </c>
      <c r="H531" s="33" t="b">
        <f t="shared" si="16"/>
        <v>1</v>
      </c>
      <c r="I531" s="33" t="str">
        <f t="shared" si="17"/>
        <v>2024-12-19</v>
      </c>
      <c r="J531" s="145">
        <v>-19.98</v>
      </c>
      <c r="K531" s="159" t="s">
        <v>0</v>
      </c>
    </row>
    <row r="532" spans="2:11" x14ac:dyDescent="0.25">
      <c r="B532" s="130">
        <v>682467895</v>
      </c>
      <c r="C532" s="130" t="s">
        <v>73</v>
      </c>
      <c r="D532" s="133">
        <v>45645.900768043997</v>
      </c>
      <c r="E532" s="130" t="s">
        <v>375</v>
      </c>
      <c r="F532" s="161" t="s">
        <v>527</v>
      </c>
      <c r="G532" s="33" t="str">
        <f>IFERROR(INDEX([1]Positions!$A:$A,MATCH(F532,[1]Positions!$C:$C,0)),"Other")</f>
        <v>Consumer Cyclical</v>
      </c>
      <c r="H532" s="33" t="b">
        <f t="shared" si="16"/>
        <v>1</v>
      </c>
      <c r="I532" s="33" t="str">
        <f t="shared" si="17"/>
        <v>2024-12-19</v>
      </c>
      <c r="J532" s="147">
        <v>-10</v>
      </c>
      <c r="K532" s="159" t="s">
        <v>0</v>
      </c>
    </row>
    <row r="533" spans="2:11" x14ac:dyDescent="0.25">
      <c r="B533" s="139">
        <v>683227034</v>
      </c>
      <c r="C533" s="139" t="s">
        <v>73</v>
      </c>
      <c r="D533" s="142">
        <v>45646.600539803199</v>
      </c>
      <c r="E533" s="139" t="s">
        <v>376</v>
      </c>
      <c r="F533" s="162" t="s">
        <v>60</v>
      </c>
      <c r="G533" s="33" t="str">
        <f>IFERROR(INDEX([1]Positions!$A:$A,MATCH(F533,[1]Positions!$C:$C,0)),"Other")</f>
        <v>ETF</v>
      </c>
      <c r="H533" s="33" t="b">
        <f t="shared" si="16"/>
        <v>1</v>
      </c>
      <c r="I533" s="33" t="str">
        <f t="shared" si="17"/>
        <v>2024-12-20</v>
      </c>
      <c r="J533" s="145">
        <v>-10.32</v>
      </c>
      <c r="K533" s="159" t="s">
        <v>0</v>
      </c>
    </row>
    <row r="534" spans="2:11" x14ac:dyDescent="0.25">
      <c r="B534" s="130">
        <v>683238772</v>
      </c>
      <c r="C534" s="130" t="s">
        <v>77</v>
      </c>
      <c r="D534" s="133">
        <v>45646.605737037004</v>
      </c>
      <c r="E534" s="130" t="s">
        <v>377</v>
      </c>
      <c r="F534" s="161" t="s">
        <v>52</v>
      </c>
      <c r="G534" s="33" t="str">
        <f>IFERROR(INDEX([1]Positions!$A:$A,MATCH(F534,[1]Positions!$C:$C,0)),"Other")</f>
        <v>MISC</v>
      </c>
      <c r="H534" s="33" t="b">
        <f t="shared" si="16"/>
        <v>1</v>
      </c>
      <c r="I534" s="33" t="str">
        <f t="shared" si="17"/>
        <v>2024-12-20</v>
      </c>
      <c r="J534" s="147">
        <v>-2.69</v>
      </c>
      <c r="K534" s="159" t="s">
        <v>0</v>
      </c>
    </row>
    <row r="535" spans="2:11" x14ac:dyDescent="0.25">
      <c r="B535" s="139">
        <v>683238773</v>
      </c>
      <c r="C535" s="139" t="s">
        <v>80</v>
      </c>
      <c r="D535" s="142">
        <v>45646.605737037004</v>
      </c>
      <c r="E535" s="139" t="s">
        <v>378</v>
      </c>
      <c r="F535" s="162" t="s">
        <v>52</v>
      </c>
      <c r="G535" s="33" t="str">
        <f>IFERROR(INDEX([1]Positions!$A:$A,MATCH(F535,[1]Positions!$C:$C,0)),"Other")</f>
        <v>MISC</v>
      </c>
      <c r="H535" s="33" t="b">
        <f t="shared" si="16"/>
        <v>1</v>
      </c>
      <c r="I535" s="33" t="str">
        <f t="shared" si="17"/>
        <v>2024-12-20</v>
      </c>
      <c r="J535" s="148">
        <v>14.97</v>
      </c>
      <c r="K535" s="159" t="s">
        <v>0</v>
      </c>
    </row>
    <row r="536" spans="2:11" x14ac:dyDescent="0.25">
      <c r="B536" s="130">
        <v>683238774</v>
      </c>
      <c r="C536" s="130" t="s">
        <v>77</v>
      </c>
      <c r="D536" s="133">
        <v>45646.605737048601</v>
      </c>
      <c r="E536" s="130" t="s">
        <v>379</v>
      </c>
      <c r="F536" s="161" t="s">
        <v>52</v>
      </c>
      <c r="G536" s="33" t="str">
        <f>IFERROR(INDEX([1]Positions!$A:$A,MATCH(F536,[1]Positions!$C:$C,0)),"Other")</f>
        <v>MISC</v>
      </c>
      <c r="H536" s="33" t="b">
        <f t="shared" si="16"/>
        <v>1</v>
      </c>
      <c r="I536" s="33" t="str">
        <f t="shared" si="17"/>
        <v>2024-12-20</v>
      </c>
      <c r="J536" s="147">
        <v>-1.19</v>
      </c>
      <c r="K536" s="159" t="s">
        <v>0</v>
      </c>
    </row>
    <row r="537" spans="2:11" x14ac:dyDescent="0.25">
      <c r="B537" s="139">
        <v>683238775</v>
      </c>
      <c r="C537" s="139" t="s">
        <v>80</v>
      </c>
      <c r="D537" s="142">
        <v>45646.605737060199</v>
      </c>
      <c r="E537" s="139" t="s">
        <v>380</v>
      </c>
      <c r="F537" s="162" t="s">
        <v>52</v>
      </c>
      <c r="G537" s="33" t="str">
        <f>IFERROR(INDEX([1]Positions!$A:$A,MATCH(F537,[1]Positions!$C:$C,0)),"Other")</f>
        <v>MISC</v>
      </c>
      <c r="H537" s="33" t="b">
        <f t="shared" si="16"/>
        <v>1</v>
      </c>
      <c r="I537" s="33" t="str">
        <f t="shared" si="17"/>
        <v>2024-12-20</v>
      </c>
      <c r="J537" s="148">
        <v>14.96</v>
      </c>
      <c r="K537" s="159" t="s">
        <v>0</v>
      </c>
    </row>
    <row r="538" spans="2:11" x14ac:dyDescent="0.25">
      <c r="B538" s="130">
        <v>683439715</v>
      </c>
      <c r="C538" s="130" t="s">
        <v>77</v>
      </c>
      <c r="D538" s="133">
        <v>45646.696485694403</v>
      </c>
      <c r="E538" s="130" t="s">
        <v>381</v>
      </c>
      <c r="F538" s="161" t="s">
        <v>41</v>
      </c>
      <c r="G538" s="33" t="str">
        <f>IFERROR(INDEX([1]Positions!$A:$A,MATCH(F538,[1]Positions!$C:$C,0)),"Other")</f>
        <v>Other</v>
      </c>
      <c r="H538" s="33" t="b">
        <f t="shared" si="16"/>
        <v>1</v>
      </c>
      <c r="I538" s="33" t="str">
        <f t="shared" si="17"/>
        <v>2024-12-20</v>
      </c>
      <c r="J538" s="147">
        <v>-10.130000000000001</v>
      </c>
      <c r="K538" s="159" t="s">
        <v>0</v>
      </c>
    </row>
    <row r="539" spans="2:11" x14ac:dyDescent="0.25">
      <c r="B539" s="139">
        <v>683461430</v>
      </c>
      <c r="C539" s="139" t="s">
        <v>77</v>
      </c>
      <c r="D539" s="142">
        <v>45646.705824340301</v>
      </c>
      <c r="E539" s="139" t="s">
        <v>382</v>
      </c>
      <c r="F539" s="162" t="s">
        <v>41</v>
      </c>
      <c r="G539" s="33" t="str">
        <f>IFERROR(INDEX([1]Positions!$A:$A,MATCH(F539,[1]Positions!$C:$C,0)),"Other")</f>
        <v>Other</v>
      </c>
      <c r="H539" s="33" t="b">
        <f t="shared" si="16"/>
        <v>1</v>
      </c>
      <c r="I539" s="33" t="str">
        <f t="shared" si="17"/>
        <v>2024-12-20</v>
      </c>
      <c r="J539" s="145">
        <v>-3.88</v>
      </c>
      <c r="K539" s="159" t="s">
        <v>0</v>
      </c>
    </row>
    <row r="540" spans="2:11" x14ac:dyDescent="0.25">
      <c r="B540" s="130">
        <v>684315075</v>
      </c>
      <c r="C540" s="130" t="s">
        <v>77</v>
      </c>
      <c r="D540" s="133">
        <v>45649.568247372699</v>
      </c>
      <c r="E540" s="130" t="s">
        <v>383</v>
      </c>
      <c r="F540" s="161" t="s">
        <v>41</v>
      </c>
      <c r="G540" s="33" t="str">
        <f>IFERROR(INDEX([1]Positions!$A:$A,MATCH(F540,[1]Positions!$C:$C,0)),"Other")</f>
        <v>Other</v>
      </c>
      <c r="H540" s="33" t="b">
        <f t="shared" si="16"/>
        <v>1</v>
      </c>
      <c r="I540" s="33" t="str">
        <f t="shared" si="17"/>
        <v>2024-12-23</v>
      </c>
      <c r="J540" s="136">
        <v>7.65</v>
      </c>
      <c r="K540" s="159" t="s">
        <v>0</v>
      </c>
    </row>
    <row r="541" spans="2:11" x14ac:dyDescent="0.25">
      <c r="B541" s="139">
        <v>684388073</v>
      </c>
      <c r="C541" s="139" t="s">
        <v>77</v>
      </c>
      <c r="D541" s="142">
        <v>45649.632004710598</v>
      </c>
      <c r="E541" s="139" t="s">
        <v>384</v>
      </c>
      <c r="F541" s="162" t="s">
        <v>41</v>
      </c>
      <c r="G541" s="33" t="str">
        <f>IFERROR(INDEX([1]Positions!$A:$A,MATCH(F541,[1]Positions!$C:$C,0)),"Other")</f>
        <v>Other</v>
      </c>
      <c r="H541" s="33" t="b">
        <f t="shared" si="16"/>
        <v>1</v>
      </c>
      <c r="I541" s="33" t="str">
        <f t="shared" si="17"/>
        <v>2024-12-23</v>
      </c>
      <c r="J541" s="145">
        <v>-0.5</v>
      </c>
      <c r="K541" s="159" t="s">
        <v>0</v>
      </c>
    </row>
    <row r="542" spans="2:11" x14ac:dyDescent="0.25">
      <c r="B542" s="130">
        <v>684881764</v>
      </c>
      <c r="C542" s="130" t="s">
        <v>77</v>
      </c>
      <c r="D542" s="133">
        <v>45650.580256180598</v>
      </c>
      <c r="E542" s="130" t="s">
        <v>385</v>
      </c>
      <c r="F542" s="161" t="s">
        <v>41</v>
      </c>
      <c r="G542" s="33" t="str">
        <f>IFERROR(INDEX([1]Positions!$A:$A,MATCH(F542,[1]Positions!$C:$C,0)),"Other")</f>
        <v>Other</v>
      </c>
      <c r="H542" s="33" t="b">
        <f t="shared" si="16"/>
        <v>1</v>
      </c>
      <c r="I542" s="33" t="str">
        <f t="shared" si="17"/>
        <v>2024-12-24</v>
      </c>
      <c r="J542" s="136">
        <v>1.64</v>
      </c>
      <c r="K542" s="159" t="s">
        <v>0</v>
      </c>
    </row>
    <row r="543" spans="2:11" x14ac:dyDescent="0.25">
      <c r="B543" s="139">
        <v>689024286</v>
      </c>
      <c r="C543" s="139" t="s">
        <v>73</v>
      </c>
      <c r="D543" s="142">
        <v>45659.426447534701</v>
      </c>
      <c r="E543" s="139" t="s">
        <v>386</v>
      </c>
      <c r="F543" s="162" t="s">
        <v>59</v>
      </c>
      <c r="G543" s="33" t="str">
        <f>IFERROR(INDEX([1]Positions!$A:$A,MATCH(F543,[1]Positions!$C:$C,0)),"Other")</f>
        <v>ETF</v>
      </c>
      <c r="H543" s="33" t="b">
        <f t="shared" si="16"/>
        <v>1</v>
      </c>
      <c r="I543" s="33" t="str">
        <f t="shared" si="17"/>
        <v>2025-01-02</v>
      </c>
      <c r="J543" s="145">
        <v>-17.11</v>
      </c>
      <c r="K543" s="159" t="s">
        <v>0</v>
      </c>
    </row>
    <row r="544" spans="2:11" x14ac:dyDescent="0.25">
      <c r="B544" s="130">
        <v>690233312</v>
      </c>
      <c r="C544" s="130" t="s">
        <v>69</v>
      </c>
      <c r="D544" s="133">
        <v>45660.500036874997</v>
      </c>
      <c r="E544" s="130" t="s">
        <v>833</v>
      </c>
      <c r="F544" s="161" t="s">
        <v>531</v>
      </c>
      <c r="G544" s="33" t="str">
        <f>IFERROR(INDEX([1]Positions!$A:$A,MATCH(F544,[1]Positions!$C:$C,0)),"Other")</f>
        <v>Consumer Defensive</v>
      </c>
      <c r="H544" s="33" t="b">
        <f t="shared" si="16"/>
        <v>1</v>
      </c>
      <c r="I544" s="33" t="str">
        <f t="shared" si="17"/>
        <v>2025-01-03</v>
      </c>
      <c r="J544" s="136">
        <v>0.17</v>
      </c>
      <c r="K544" s="159" t="s">
        <v>0</v>
      </c>
    </row>
    <row r="545" spans="2:11" x14ac:dyDescent="0.25">
      <c r="B545" s="139">
        <v>690233313</v>
      </c>
      <c r="C545" s="139" t="s">
        <v>70</v>
      </c>
      <c r="D545" s="142">
        <v>45660.500036874997</v>
      </c>
      <c r="E545" s="139" t="s">
        <v>773</v>
      </c>
      <c r="F545" s="162" t="s">
        <v>531</v>
      </c>
      <c r="G545" s="33" t="str">
        <f>IFERROR(INDEX([1]Positions!$A:$A,MATCH(F545,[1]Positions!$C:$C,0)),"Other")</f>
        <v>Consumer Defensive</v>
      </c>
      <c r="H545" s="33" t="b">
        <f t="shared" si="16"/>
        <v>1</v>
      </c>
      <c r="I545" s="33" t="str">
        <f t="shared" si="17"/>
        <v>2025-01-03</v>
      </c>
      <c r="J545" s="145">
        <v>-0.05</v>
      </c>
      <c r="K545" s="159" t="s">
        <v>0</v>
      </c>
    </row>
    <row r="546" spans="2:11" x14ac:dyDescent="0.25">
      <c r="B546" s="130">
        <v>690233388</v>
      </c>
      <c r="C546" s="130" t="s">
        <v>69</v>
      </c>
      <c r="D546" s="133">
        <v>45660.500036979203</v>
      </c>
      <c r="E546" s="130" t="s">
        <v>833</v>
      </c>
      <c r="F546" s="161" t="s">
        <v>531</v>
      </c>
      <c r="G546" s="33" t="str">
        <f>IFERROR(INDEX([1]Positions!$A:$A,MATCH(F546,[1]Positions!$C:$C,0)),"Other")</f>
        <v>Consumer Defensive</v>
      </c>
      <c r="H546" s="33" t="b">
        <f t="shared" si="16"/>
        <v>1</v>
      </c>
      <c r="I546" s="33" t="str">
        <f t="shared" si="17"/>
        <v>2025-01-03</v>
      </c>
      <c r="J546" s="136">
        <v>0.13</v>
      </c>
      <c r="K546" s="159" t="s">
        <v>0</v>
      </c>
    </row>
    <row r="547" spans="2:11" x14ac:dyDescent="0.25">
      <c r="B547" s="139">
        <v>690233389</v>
      </c>
      <c r="C547" s="139" t="s">
        <v>70</v>
      </c>
      <c r="D547" s="142">
        <v>45660.500036979203</v>
      </c>
      <c r="E547" s="139" t="s">
        <v>773</v>
      </c>
      <c r="F547" s="162" t="s">
        <v>531</v>
      </c>
      <c r="G547" s="33" t="str">
        <f>IFERROR(INDEX([1]Positions!$A:$A,MATCH(F547,[1]Positions!$C:$C,0)),"Other")</f>
        <v>Consumer Defensive</v>
      </c>
      <c r="H547" s="33" t="b">
        <f t="shared" si="16"/>
        <v>1</v>
      </c>
      <c r="I547" s="33" t="str">
        <f t="shared" si="17"/>
        <v>2025-01-03</v>
      </c>
      <c r="J547" s="145">
        <v>-0.04</v>
      </c>
      <c r="K547" s="159" t="s">
        <v>0</v>
      </c>
    </row>
    <row r="548" spans="2:11" x14ac:dyDescent="0.25">
      <c r="B548" s="130">
        <v>690233761</v>
      </c>
      <c r="C548" s="130" t="s">
        <v>69</v>
      </c>
      <c r="D548" s="133">
        <v>45660.500037476799</v>
      </c>
      <c r="E548" s="130" t="s">
        <v>833</v>
      </c>
      <c r="F548" s="161" t="s">
        <v>531</v>
      </c>
      <c r="G548" s="33" t="str">
        <f>IFERROR(INDEX([1]Positions!$A:$A,MATCH(F548,[1]Positions!$C:$C,0)),"Other")</f>
        <v>Consumer Defensive</v>
      </c>
      <c r="H548" s="33" t="b">
        <f t="shared" si="16"/>
        <v>1</v>
      </c>
      <c r="I548" s="33" t="str">
        <f t="shared" si="17"/>
        <v>2025-01-03</v>
      </c>
      <c r="J548" s="136">
        <v>0.13</v>
      </c>
      <c r="K548" s="159" t="s">
        <v>0</v>
      </c>
    </row>
    <row r="549" spans="2:11" x14ac:dyDescent="0.25">
      <c r="B549" s="139">
        <v>690233762</v>
      </c>
      <c r="C549" s="139" t="s">
        <v>70</v>
      </c>
      <c r="D549" s="142">
        <v>45660.500037476799</v>
      </c>
      <c r="E549" s="139" t="s">
        <v>773</v>
      </c>
      <c r="F549" s="162" t="s">
        <v>531</v>
      </c>
      <c r="G549" s="33" t="str">
        <f>IFERROR(INDEX([1]Positions!$A:$A,MATCH(F549,[1]Positions!$C:$C,0)),"Other")</f>
        <v>Consumer Defensive</v>
      </c>
      <c r="H549" s="33" t="b">
        <f t="shared" si="16"/>
        <v>1</v>
      </c>
      <c r="I549" s="33" t="str">
        <f t="shared" si="17"/>
        <v>2025-01-03</v>
      </c>
      <c r="J549" s="145">
        <v>-0.04</v>
      </c>
      <c r="K549" s="159" t="s">
        <v>0</v>
      </c>
    </row>
    <row r="550" spans="2:11" x14ac:dyDescent="0.25">
      <c r="B550" s="130">
        <v>692064979</v>
      </c>
      <c r="C550" s="130" t="s">
        <v>69</v>
      </c>
      <c r="D550" s="133">
        <v>45663.500035821802</v>
      </c>
      <c r="E550" s="130" t="s">
        <v>770</v>
      </c>
      <c r="F550" s="161" t="s">
        <v>508</v>
      </c>
      <c r="G550" s="33" t="str">
        <f>IFERROR(INDEX([1]Positions!$A:$A,MATCH(F550,[1]Positions!$C:$C,0)),"Other")</f>
        <v>Consumer Defensive</v>
      </c>
      <c r="H550" s="33" t="b">
        <f t="shared" si="16"/>
        <v>1</v>
      </c>
      <c r="I550" s="33" t="str">
        <f t="shared" si="17"/>
        <v>2025-01-06</v>
      </c>
      <c r="J550" s="136">
        <v>0.08</v>
      </c>
      <c r="K550" s="159" t="s">
        <v>0</v>
      </c>
    </row>
    <row r="551" spans="2:11" x14ac:dyDescent="0.25">
      <c r="B551" s="139">
        <v>692064980</v>
      </c>
      <c r="C551" s="139" t="s">
        <v>70</v>
      </c>
      <c r="D551" s="142">
        <v>45663.500035821802</v>
      </c>
      <c r="E551" s="139" t="s">
        <v>771</v>
      </c>
      <c r="F551" s="162" t="s">
        <v>508</v>
      </c>
      <c r="G551" s="33" t="str">
        <f>IFERROR(INDEX([1]Positions!$A:$A,MATCH(F551,[1]Positions!$C:$C,0)),"Other")</f>
        <v>Consumer Defensive</v>
      </c>
      <c r="H551" s="33" t="b">
        <f t="shared" si="16"/>
        <v>1</v>
      </c>
      <c r="I551" s="33" t="str">
        <f t="shared" si="17"/>
        <v>2025-01-06</v>
      </c>
      <c r="J551" s="145">
        <v>-0.02</v>
      </c>
      <c r="K551" s="159" t="s">
        <v>0</v>
      </c>
    </row>
    <row r="552" spans="2:11" x14ac:dyDescent="0.25">
      <c r="B552" s="130">
        <v>692075624</v>
      </c>
      <c r="C552" s="130" t="s">
        <v>69</v>
      </c>
      <c r="D552" s="133">
        <v>45663.500048981499</v>
      </c>
      <c r="E552" s="130" t="s">
        <v>770</v>
      </c>
      <c r="F552" s="161" t="s">
        <v>508</v>
      </c>
      <c r="G552" s="33" t="str">
        <f>IFERROR(INDEX([1]Positions!$A:$A,MATCH(F552,[1]Positions!$C:$C,0)),"Other")</f>
        <v>Consumer Defensive</v>
      </c>
      <c r="H552" s="33" t="b">
        <f t="shared" si="16"/>
        <v>1</v>
      </c>
      <c r="I552" s="33" t="str">
        <f t="shared" si="17"/>
        <v>2025-01-06</v>
      </c>
      <c r="J552" s="136">
        <v>0.12</v>
      </c>
      <c r="K552" s="159" t="s">
        <v>0</v>
      </c>
    </row>
    <row r="553" spans="2:11" x14ac:dyDescent="0.25">
      <c r="B553" s="139">
        <v>692075625</v>
      </c>
      <c r="C553" s="139" t="s">
        <v>70</v>
      </c>
      <c r="D553" s="142">
        <v>45663.500048981499</v>
      </c>
      <c r="E553" s="139" t="s">
        <v>771</v>
      </c>
      <c r="F553" s="162" t="s">
        <v>508</v>
      </c>
      <c r="G553" s="33" t="str">
        <f>IFERROR(INDEX([1]Positions!$A:$A,MATCH(F553,[1]Positions!$C:$C,0)),"Other")</f>
        <v>Consumer Defensive</v>
      </c>
      <c r="H553" s="33" t="b">
        <f t="shared" si="16"/>
        <v>1</v>
      </c>
      <c r="I553" s="33" t="str">
        <f t="shared" si="17"/>
        <v>2025-01-06</v>
      </c>
      <c r="J553" s="145">
        <v>-0.04</v>
      </c>
      <c r="K553" s="159" t="s">
        <v>0</v>
      </c>
    </row>
    <row r="554" spans="2:11" x14ac:dyDescent="0.25">
      <c r="B554" s="130">
        <v>692078079</v>
      </c>
      <c r="C554" s="130" t="s">
        <v>69</v>
      </c>
      <c r="D554" s="133">
        <v>45663.500053182899</v>
      </c>
      <c r="E554" s="130" t="s">
        <v>770</v>
      </c>
      <c r="F554" s="161" t="s">
        <v>508</v>
      </c>
      <c r="G554" s="33" t="str">
        <f>IFERROR(INDEX([1]Positions!$A:$A,MATCH(F554,[1]Positions!$C:$C,0)),"Other")</f>
        <v>Consumer Defensive</v>
      </c>
      <c r="H554" s="33" t="b">
        <f t="shared" si="16"/>
        <v>1</v>
      </c>
      <c r="I554" s="33" t="str">
        <f t="shared" si="17"/>
        <v>2025-01-06</v>
      </c>
      <c r="J554" s="136">
        <v>0.08</v>
      </c>
      <c r="K554" s="159" t="s">
        <v>0</v>
      </c>
    </row>
    <row r="555" spans="2:11" x14ac:dyDescent="0.25">
      <c r="B555" s="139">
        <v>692078080</v>
      </c>
      <c r="C555" s="139" t="s">
        <v>70</v>
      </c>
      <c r="D555" s="142">
        <v>45663.500053182899</v>
      </c>
      <c r="E555" s="139" t="s">
        <v>771</v>
      </c>
      <c r="F555" s="162" t="s">
        <v>508</v>
      </c>
      <c r="G555" s="33" t="str">
        <f>IFERROR(INDEX([1]Positions!$A:$A,MATCH(F555,[1]Positions!$C:$C,0)),"Other")</f>
        <v>Consumer Defensive</v>
      </c>
      <c r="H555" s="33" t="b">
        <f t="shared" si="16"/>
        <v>1</v>
      </c>
      <c r="I555" s="33" t="str">
        <f t="shared" si="17"/>
        <v>2025-01-06</v>
      </c>
      <c r="J555" s="145">
        <v>-0.02</v>
      </c>
      <c r="K555" s="159" t="s">
        <v>0</v>
      </c>
    </row>
    <row r="556" spans="2:11" x14ac:dyDescent="0.25">
      <c r="B556" s="130">
        <v>692080474</v>
      </c>
      <c r="C556" s="130" t="s">
        <v>69</v>
      </c>
      <c r="D556" s="133">
        <v>45663.500056400502</v>
      </c>
      <c r="E556" s="130" t="s">
        <v>770</v>
      </c>
      <c r="F556" s="161" t="s">
        <v>508</v>
      </c>
      <c r="G556" s="33" t="str">
        <f>IFERROR(INDEX([1]Positions!$A:$A,MATCH(F556,[1]Positions!$C:$C,0)),"Other")</f>
        <v>Consumer Defensive</v>
      </c>
      <c r="H556" s="33" t="b">
        <f t="shared" si="16"/>
        <v>1</v>
      </c>
      <c r="I556" s="33" t="str">
        <f t="shared" si="17"/>
        <v>2025-01-06</v>
      </c>
      <c r="J556" s="136">
        <v>0.16</v>
      </c>
      <c r="K556" s="159" t="s">
        <v>0</v>
      </c>
    </row>
    <row r="557" spans="2:11" x14ac:dyDescent="0.25">
      <c r="B557" s="139">
        <v>692080475</v>
      </c>
      <c r="C557" s="139" t="s">
        <v>70</v>
      </c>
      <c r="D557" s="142">
        <v>45663.500056400502</v>
      </c>
      <c r="E557" s="139" t="s">
        <v>771</v>
      </c>
      <c r="F557" s="162" t="s">
        <v>508</v>
      </c>
      <c r="G557" s="33" t="str">
        <f>IFERROR(INDEX([1]Positions!$A:$A,MATCH(F557,[1]Positions!$C:$C,0)),"Other")</f>
        <v>Consumer Defensive</v>
      </c>
      <c r="H557" s="33" t="b">
        <f t="shared" si="16"/>
        <v>1</v>
      </c>
      <c r="I557" s="33" t="str">
        <f t="shared" si="17"/>
        <v>2025-01-06</v>
      </c>
      <c r="J557" s="145">
        <v>-0.05</v>
      </c>
      <c r="K557" s="159" t="s">
        <v>0</v>
      </c>
    </row>
    <row r="558" spans="2:11" x14ac:dyDescent="0.25">
      <c r="B558" s="130">
        <v>692401140</v>
      </c>
      <c r="C558" s="130" t="s">
        <v>77</v>
      </c>
      <c r="D558" s="133">
        <v>45663.670597939803</v>
      </c>
      <c r="E558" s="130" t="s">
        <v>387</v>
      </c>
      <c r="F558" s="161" t="s">
        <v>525</v>
      </c>
      <c r="G558" s="33" t="str">
        <f>IFERROR(INDEX([1]Positions!$A:$A,MATCH(F558,[1]Positions!$C:$C,0)),"Other")</f>
        <v>Technology</v>
      </c>
      <c r="H558" s="33" t="b">
        <f t="shared" si="16"/>
        <v>1</v>
      </c>
      <c r="I558" s="33" t="str">
        <f t="shared" si="17"/>
        <v>2025-01-06</v>
      </c>
      <c r="J558" s="136">
        <v>0.08</v>
      </c>
      <c r="K558" s="159" t="s">
        <v>0</v>
      </c>
    </row>
    <row r="559" spans="2:11" x14ac:dyDescent="0.25">
      <c r="B559" s="139">
        <v>692401141</v>
      </c>
      <c r="C559" s="139" t="s">
        <v>80</v>
      </c>
      <c r="D559" s="142">
        <v>45663.670597951401</v>
      </c>
      <c r="E559" s="139" t="s">
        <v>388</v>
      </c>
      <c r="F559" s="162" t="s">
        <v>525</v>
      </c>
      <c r="G559" s="33" t="str">
        <f>IFERROR(INDEX([1]Positions!$A:$A,MATCH(F559,[1]Positions!$C:$C,0)),"Other")</f>
        <v>Technology</v>
      </c>
      <c r="H559" s="33" t="b">
        <f t="shared" si="16"/>
        <v>1</v>
      </c>
      <c r="I559" s="33" t="str">
        <f t="shared" si="17"/>
        <v>2025-01-06</v>
      </c>
      <c r="J559" s="148">
        <v>1.51</v>
      </c>
      <c r="K559" s="159" t="s">
        <v>0</v>
      </c>
    </row>
    <row r="560" spans="2:11" x14ac:dyDescent="0.25">
      <c r="B560" s="130">
        <v>692400722</v>
      </c>
      <c r="C560" s="130" t="s">
        <v>77</v>
      </c>
      <c r="D560" s="133">
        <v>45663.670457766202</v>
      </c>
      <c r="E560" s="130" t="s">
        <v>387</v>
      </c>
      <c r="F560" s="161" t="s">
        <v>525</v>
      </c>
      <c r="G560" s="33" t="str">
        <f>IFERROR(INDEX([1]Positions!$A:$A,MATCH(F560,[1]Positions!$C:$C,0)),"Other")</f>
        <v>Technology</v>
      </c>
      <c r="H560" s="33" t="b">
        <f t="shared" si="16"/>
        <v>1</v>
      </c>
      <c r="I560" s="33" t="str">
        <f t="shared" si="17"/>
        <v>2025-01-06</v>
      </c>
      <c r="J560" s="136">
        <v>1.04</v>
      </c>
      <c r="K560" s="159" t="s">
        <v>0</v>
      </c>
    </row>
    <row r="561" spans="2:11" x14ac:dyDescent="0.25">
      <c r="B561" s="139">
        <v>692400723</v>
      </c>
      <c r="C561" s="139" t="s">
        <v>80</v>
      </c>
      <c r="D561" s="142">
        <v>45663.670457766202</v>
      </c>
      <c r="E561" s="139" t="s">
        <v>389</v>
      </c>
      <c r="F561" s="162" t="s">
        <v>525</v>
      </c>
      <c r="G561" s="33" t="str">
        <f>IFERROR(INDEX([1]Positions!$A:$A,MATCH(F561,[1]Positions!$C:$C,0)),"Other")</f>
        <v>Technology</v>
      </c>
      <c r="H561" s="33" t="b">
        <f t="shared" si="16"/>
        <v>1</v>
      </c>
      <c r="I561" s="33" t="str">
        <f t="shared" si="17"/>
        <v>2025-01-06</v>
      </c>
      <c r="J561" s="148">
        <v>18.97</v>
      </c>
      <c r="K561" s="159" t="s">
        <v>0</v>
      </c>
    </row>
    <row r="562" spans="2:11" ht="42" x14ac:dyDescent="0.25">
      <c r="B562" s="130">
        <v>692515037</v>
      </c>
      <c r="C562" s="130" t="s">
        <v>71</v>
      </c>
      <c r="D562" s="133">
        <v>45663.727711250001</v>
      </c>
      <c r="E562" s="130" t="s">
        <v>390</v>
      </c>
      <c r="F562" s="161"/>
      <c r="G562" s="33" t="str">
        <f>IFERROR(INDEX([1]Positions!$A:$A,MATCH(F562,[1]Positions!$C:$C,0)),"Other")</f>
        <v>Other</v>
      </c>
      <c r="H562" s="33" t="b">
        <f t="shared" si="16"/>
        <v>1</v>
      </c>
      <c r="I562" s="33" t="str">
        <f t="shared" si="17"/>
        <v>2025-01-06</v>
      </c>
      <c r="J562" s="136">
        <v>85</v>
      </c>
      <c r="K562" s="159" t="s">
        <v>0</v>
      </c>
    </row>
    <row r="563" spans="2:11" x14ac:dyDescent="0.25">
      <c r="B563" s="139">
        <v>692519621</v>
      </c>
      <c r="C563" s="139" t="s">
        <v>73</v>
      </c>
      <c r="D563" s="142">
        <v>45663.730147326401</v>
      </c>
      <c r="E563" s="139" t="s">
        <v>391</v>
      </c>
      <c r="F563" s="162" t="s">
        <v>508</v>
      </c>
      <c r="G563" s="33" t="str">
        <f>IFERROR(INDEX([1]Positions!$A:$A,MATCH(F563,[1]Positions!$C:$C,0)),"Other")</f>
        <v>Consumer Defensive</v>
      </c>
      <c r="H563" s="33" t="b">
        <f t="shared" si="16"/>
        <v>1</v>
      </c>
      <c r="I563" s="33" t="str">
        <f t="shared" si="17"/>
        <v>2025-01-06</v>
      </c>
      <c r="J563" s="145">
        <v>-14.99</v>
      </c>
      <c r="K563" s="159" t="s">
        <v>0</v>
      </c>
    </row>
    <row r="564" spans="2:11" x14ac:dyDescent="0.25">
      <c r="B564" s="130">
        <v>692521626</v>
      </c>
      <c r="C564" s="130" t="s">
        <v>73</v>
      </c>
      <c r="D564" s="133">
        <v>45663.731156018497</v>
      </c>
      <c r="E564" s="130" t="s">
        <v>392</v>
      </c>
      <c r="F564" s="161" t="s">
        <v>530</v>
      </c>
      <c r="G564" s="33" t="str">
        <f>IFERROR(INDEX([1]Positions!$A:$A,MATCH(F564,[1]Positions!$C:$C,0)),"Other")</f>
        <v>Financial Services</v>
      </c>
      <c r="H564" s="33" t="b">
        <f t="shared" si="16"/>
        <v>1</v>
      </c>
      <c r="I564" s="33" t="str">
        <f t="shared" si="17"/>
        <v>2025-01-06</v>
      </c>
      <c r="J564" s="147">
        <v>-14.96</v>
      </c>
      <c r="K564" s="159" t="s">
        <v>0</v>
      </c>
    </row>
    <row r="565" spans="2:11" x14ac:dyDescent="0.25">
      <c r="B565" s="139">
        <v>692526871</v>
      </c>
      <c r="C565" s="139" t="s">
        <v>73</v>
      </c>
      <c r="D565" s="142">
        <v>45663.735625266199</v>
      </c>
      <c r="E565" s="139" t="s">
        <v>393</v>
      </c>
      <c r="F565" s="162" t="s">
        <v>538</v>
      </c>
      <c r="G565" s="33" t="str">
        <f>IFERROR(INDEX([1]Positions!$A:$A,MATCH(F565,[1]Positions!$C:$C,0)),"Other")</f>
        <v>Energy &amp; Utilities</v>
      </c>
      <c r="H565" s="33" t="b">
        <f t="shared" si="16"/>
        <v>1</v>
      </c>
      <c r="I565" s="33" t="str">
        <f t="shared" si="17"/>
        <v>2025-01-06</v>
      </c>
      <c r="J565" s="145">
        <v>-9.99</v>
      </c>
      <c r="K565" s="159" t="s">
        <v>0</v>
      </c>
    </row>
    <row r="566" spans="2:11" x14ac:dyDescent="0.25">
      <c r="B566" s="130">
        <v>692521445</v>
      </c>
      <c r="C566" s="130" t="s">
        <v>73</v>
      </c>
      <c r="D566" s="133">
        <v>45663.731009571798</v>
      </c>
      <c r="E566" s="130" t="s">
        <v>394</v>
      </c>
      <c r="F566" s="161" t="s">
        <v>523</v>
      </c>
      <c r="G566" s="33" t="str">
        <f>IFERROR(INDEX([1]Positions!$A:$A,MATCH(F566,[1]Positions!$C:$C,0)),"Other")</f>
        <v>Financial Services</v>
      </c>
      <c r="H566" s="33" t="b">
        <f t="shared" si="16"/>
        <v>1</v>
      </c>
      <c r="I566" s="33" t="str">
        <f t="shared" si="17"/>
        <v>2025-01-06</v>
      </c>
      <c r="J566" s="147">
        <v>-14.98</v>
      </c>
      <c r="K566" s="159" t="s">
        <v>0</v>
      </c>
    </row>
    <row r="567" spans="2:11" x14ac:dyDescent="0.25">
      <c r="B567" s="139">
        <v>692526325</v>
      </c>
      <c r="C567" s="139" t="s">
        <v>73</v>
      </c>
      <c r="D567" s="142">
        <v>45663.735067129601</v>
      </c>
      <c r="E567" s="139" t="s">
        <v>395</v>
      </c>
      <c r="F567" s="162" t="s">
        <v>532</v>
      </c>
      <c r="G567" s="33" t="str">
        <f>IFERROR(INDEX([1]Positions!$A:$A,MATCH(F567,[1]Positions!$C:$C,0)),"Other")</f>
        <v>Consumer Defensive</v>
      </c>
      <c r="H567" s="33" t="b">
        <f t="shared" si="16"/>
        <v>1</v>
      </c>
      <c r="I567" s="33" t="str">
        <f t="shared" si="17"/>
        <v>2025-01-06</v>
      </c>
      <c r="J567" s="145">
        <v>-15</v>
      </c>
      <c r="K567" s="159" t="s">
        <v>0</v>
      </c>
    </row>
    <row r="568" spans="2:11" x14ac:dyDescent="0.25">
      <c r="B568" s="130">
        <v>692528706</v>
      </c>
      <c r="C568" s="130" t="s">
        <v>73</v>
      </c>
      <c r="D568" s="133">
        <v>45663.737152777801</v>
      </c>
      <c r="E568" s="130" t="s">
        <v>396</v>
      </c>
      <c r="F568" s="161" t="s">
        <v>537</v>
      </c>
      <c r="G568" s="33" t="str">
        <f>IFERROR(INDEX([1]Positions!$A:$A,MATCH(F568,[1]Positions!$C:$C,0)),"Other")</f>
        <v>Energy &amp; Utilities</v>
      </c>
      <c r="H568" s="33" t="b">
        <f t="shared" si="16"/>
        <v>1</v>
      </c>
      <c r="I568" s="33" t="str">
        <f t="shared" si="17"/>
        <v>2025-01-06</v>
      </c>
      <c r="J568" s="147">
        <v>-14.99</v>
      </c>
      <c r="K568" s="159" t="s">
        <v>0</v>
      </c>
    </row>
    <row r="569" spans="2:11" x14ac:dyDescent="0.25">
      <c r="B569" s="139">
        <v>692529073</v>
      </c>
      <c r="C569" s="139" t="s">
        <v>73</v>
      </c>
      <c r="D569" s="142">
        <v>45663.737502650503</v>
      </c>
      <c r="E569" s="139" t="s">
        <v>397</v>
      </c>
      <c r="F569" s="162" t="s">
        <v>542</v>
      </c>
      <c r="G569" s="33" t="str">
        <f>IFERROR(INDEX([1]Positions!$A:$A,MATCH(F569,[1]Positions!$C:$C,0)),"Other")</f>
        <v>Energy &amp; Utilities</v>
      </c>
      <c r="H569" s="33" t="b">
        <f t="shared" si="16"/>
        <v>1</v>
      </c>
      <c r="I569" s="33" t="str">
        <f t="shared" si="17"/>
        <v>2025-01-06</v>
      </c>
      <c r="J569" s="145">
        <v>-10</v>
      </c>
      <c r="K569" s="159" t="s">
        <v>0</v>
      </c>
    </row>
    <row r="570" spans="2:11" x14ac:dyDescent="0.25">
      <c r="B570" s="130">
        <v>693444257</v>
      </c>
      <c r="C570" s="130" t="s">
        <v>116</v>
      </c>
      <c r="D570" s="133">
        <v>45664.7097783102</v>
      </c>
      <c r="E570" s="130" t="s">
        <v>834</v>
      </c>
      <c r="F570" s="161" t="s">
        <v>525</v>
      </c>
      <c r="G570" s="33" t="str">
        <f>IFERROR(INDEX([1]Positions!$A:$A,MATCH(F570,[1]Positions!$C:$C,0)),"Other")</f>
        <v>Technology</v>
      </c>
      <c r="H570" s="33" t="b">
        <f t="shared" si="16"/>
        <v>1</v>
      </c>
      <c r="I570" s="33" t="str">
        <f t="shared" si="17"/>
        <v>2025-01-07</v>
      </c>
      <c r="J570" s="136">
        <v>0</v>
      </c>
      <c r="K570" s="159" t="s">
        <v>0</v>
      </c>
    </row>
    <row r="571" spans="2:11" x14ac:dyDescent="0.25">
      <c r="B571" s="139">
        <v>694995334</v>
      </c>
      <c r="C571" s="139" t="s">
        <v>69</v>
      </c>
      <c r="D571" s="142">
        <v>45666.500070844901</v>
      </c>
      <c r="E571" s="139" t="s">
        <v>835</v>
      </c>
      <c r="F571" s="162" t="s">
        <v>513</v>
      </c>
      <c r="G571" s="33" t="str">
        <f>IFERROR(INDEX([1]Positions!$A:$A,MATCH(F571,[1]Positions!$C:$C,0)),"Other")</f>
        <v>Technology</v>
      </c>
      <c r="H571" s="33" t="b">
        <f t="shared" si="16"/>
        <v>1</v>
      </c>
      <c r="I571" s="33" t="str">
        <f t="shared" si="17"/>
        <v>2025-01-09</v>
      </c>
      <c r="J571" s="148">
        <v>0.05</v>
      </c>
      <c r="K571" s="159" t="s">
        <v>0</v>
      </c>
    </row>
    <row r="572" spans="2:11" x14ac:dyDescent="0.25">
      <c r="B572" s="130">
        <v>694995335</v>
      </c>
      <c r="C572" s="130" t="s">
        <v>70</v>
      </c>
      <c r="D572" s="133">
        <v>45666.500070844901</v>
      </c>
      <c r="E572" s="130" t="s">
        <v>781</v>
      </c>
      <c r="F572" s="161" t="s">
        <v>513</v>
      </c>
      <c r="G572" s="33" t="str">
        <f>IFERROR(INDEX([1]Positions!$A:$A,MATCH(F572,[1]Positions!$C:$C,0)),"Other")</f>
        <v>Technology</v>
      </c>
      <c r="H572" s="33" t="b">
        <f t="shared" si="16"/>
        <v>1</v>
      </c>
      <c r="I572" s="33" t="str">
        <f t="shared" si="17"/>
        <v>2025-01-09</v>
      </c>
      <c r="J572" s="147">
        <v>-0.01</v>
      </c>
      <c r="K572" s="159" t="s">
        <v>0</v>
      </c>
    </row>
    <row r="573" spans="2:11" x14ac:dyDescent="0.25">
      <c r="B573" s="139">
        <v>695010751</v>
      </c>
      <c r="C573" s="139" t="s">
        <v>69</v>
      </c>
      <c r="D573" s="142">
        <v>45666.500089097201</v>
      </c>
      <c r="E573" s="139" t="s">
        <v>835</v>
      </c>
      <c r="F573" s="162" t="s">
        <v>513</v>
      </c>
      <c r="G573" s="33" t="str">
        <f>IFERROR(INDEX([1]Positions!$A:$A,MATCH(F573,[1]Positions!$C:$C,0)),"Other")</f>
        <v>Technology</v>
      </c>
      <c r="H573" s="33" t="b">
        <f t="shared" si="16"/>
        <v>1</v>
      </c>
      <c r="I573" s="33" t="str">
        <f t="shared" si="17"/>
        <v>2025-01-09</v>
      </c>
      <c r="J573" s="148">
        <v>0.05</v>
      </c>
      <c r="K573" s="159" t="s">
        <v>0</v>
      </c>
    </row>
    <row r="574" spans="2:11" x14ac:dyDescent="0.25">
      <c r="B574" s="130">
        <v>695010752</v>
      </c>
      <c r="C574" s="130" t="s">
        <v>70</v>
      </c>
      <c r="D574" s="133">
        <v>45666.500089097201</v>
      </c>
      <c r="E574" s="130" t="s">
        <v>781</v>
      </c>
      <c r="F574" s="161" t="s">
        <v>513</v>
      </c>
      <c r="G574" s="33" t="str">
        <f>IFERROR(INDEX([1]Positions!$A:$A,MATCH(F574,[1]Positions!$C:$C,0)),"Other")</f>
        <v>Technology</v>
      </c>
      <c r="H574" s="33" t="b">
        <f t="shared" si="16"/>
        <v>1</v>
      </c>
      <c r="I574" s="33" t="str">
        <f t="shared" si="17"/>
        <v>2025-01-09</v>
      </c>
      <c r="J574" s="147">
        <v>-0.01</v>
      </c>
      <c r="K574" s="159" t="s">
        <v>0</v>
      </c>
    </row>
    <row r="575" spans="2:11" x14ac:dyDescent="0.25">
      <c r="B575" s="139">
        <v>695022436</v>
      </c>
      <c r="C575" s="139" t="s">
        <v>69</v>
      </c>
      <c r="D575" s="142">
        <v>45666.500102604201</v>
      </c>
      <c r="E575" s="139" t="s">
        <v>835</v>
      </c>
      <c r="F575" s="162" t="s">
        <v>513</v>
      </c>
      <c r="G575" s="33" t="str">
        <f>IFERROR(INDEX([1]Positions!$A:$A,MATCH(F575,[1]Positions!$C:$C,0)),"Other")</f>
        <v>Technology</v>
      </c>
      <c r="H575" s="33" t="b">
        <f t="shared" si="16"/>
        <v>1</v>
      </c>
      <c r="I575" s="33" t="str">
        <f t="shared" si="17"/>
        <v>2025-01-09</v>
      </c>
      <c r="J575" s="148">
        <v>0.04</v>
      </c>
      <c r="K575" s="159" t="s">
        <v>0</v>
      </c>
    </row>
    <row r="576" spans="2:11" x14ac:dyDescent="0.25">
      <c r="B576" s="130">
        <v>695022437</v>
      </c>
      <c r="C576" s="130" t="s">
        <v>70</v>
      </c>
      <c r="D576" s="133">
        <v>45666.500102604201</v>
      </c>
      <c r="E576" s="130" t="s">
        <v>781</v>
      </c>
      <c r="F576" s="161" t="s">
        <v>513</v>
      </c>
      <c r="G576" s="33" t="str">
        <f>IFERROR(INDEX([1]Positions!$A:$A,MATCH(F576,[1]Positions!$C:$C,0)),"Other")</f>
        <v>Technology</v>
      </c>
      <c r="H576" s="33" t="b">
        <f t="shared" si="16"/>
        <v>1</v>
      </c>
      <c r="I576" s="33" t="str">
        <f t="shared" si="17"/>
        <v>2025-01-09</v>
      </c>
      <c r="J576" s="147">
        <v>-0.01</v>
      </c>
      <c r="K576" s="159" t="s">
        <v>0</v>
      </c>
    </row>
    <row r="577" spans="2:11" x14ac:dyDescent="0.25">
      <c r="B577" s="139">
        <v>695029197</v>
      </c>
      <c r="C577" s="139" t="s">
        <v>69</v>
      </c>
      <c r="D577" s="142">
        <v>45666.500110115703</v>
      </c>
      <c r="E577" s="139" t="s">
        <v>835</v>
      </c>
      <c r="F577" s="162" t="s">
        <v>513</v>
      </c>
      <c r="G577" s="33" t="str">
        <f>IFERROR(INDEX([1]Positions!$A:$A,MATCH(F577,[1]Positions!$C:$C,0)),"Other")</f>
        <v>Technology</v>
      </c>
      <c r="H577" s="33" t="b">
        <f t="shared" si="16"/>
        <v>1</v>
      </c>
      <c r="I577" s="33" t="str">
        <f t="shared" si="17"/>
        <v>2025-01-09</v>
      </c>
      <c r="J577" s="148">
        <v>7.0000000000000007E-2</v>
      </c>
      <c r="K577" s="159" t="s">
        <v>0</v>
      </c>
    </row>
    <row r="578" spans="2:11" x14ac:dyDescent="0.25">
      <c r="B578" s="130">
        <v>695029198</v>
      </c>
      <c r="C578" s="130" t="s">
        <v>70</v>
      </c>
      <c r="D578" s="133">
        <v>45666.500110115703</v>
      </c>
      <c r="E578" s="130" t="s">
        <v>781</v>
      </c>
      <c r="F578" s="161" t="s">
        <v>513</v>
      </c>
      <c r="G578" s="33" t="str">
        <f>IFERROR(INDEX([1]Positions!$A:$A,MATCH(F578,[1]Positions!$C:$C,0)),"Other")</f>
        <v>Technology</v>
      </c>
      <c r="H578" s="33" t="b">
        <f t="shared" si="16"/>
        <v>1</v>
      </c>
      <c r="I578" s="33" t="str">
        <f t="shared" si="17"/>
        <v>2025-01-09</v>
      </c>
      <c r="J578" s="147">
        <v>-0.01</v>
      </c>
      <c r="K578" s="159" t="s">
        <v>0</v>
      </c>
    </row>
    <row r="579" spans="2:11" x14ac:dyDescent="0.25">
      <c r="B579" s="139">
        <v>695727025</v>
      </c>
      <c r="C579" s="139" t="s">
        <v>69</v>
      </c>
      <c r="D579" s="142">
        <v>45667.498656006901</v>
      </c>
      <c r="E579" s="139" t="s">
        <v>823</v>
      </c>
      <c r="F579" s="162" t="s">
        <v>532</v>
      </c>
      <c r="G579" s="33" t="str">
        <f>IFERROR(INDEX([1]Positions!$A:$A,MATCH(F579,[1]Positions!$C:$C,0)),"Other")</f>
        <v>Consumer Defensive</v>
      </c>
      <c r="H579" s="33" t="b">
        <f t="shared" si="16"/>
        <v>1</v>
      </c>
      <c r="I579" s="33" t="str">
        <f t="shared" si="17"/>
        <v>2025-01-10</v>
      </c>
      <c r="J579" s="148">
        <v>0.7</v>
      </c>
      <c r="K579" s="159" t="s">
        <v>0</v>
      </c>
    </row>
    <row r="580" spans="2:11" x14ac:dyDescent="0.25">
      <c r="B580" s="130">
        <v>695727026</v>
      </c>
      <c r="C580" s="130" t="s">
        <v>70</v>
      </c>
      <c r="D580" s="133">
        <v>45667.498656006901</v>
      </c>
      <c r="E580" s="130" t="s">
        <v>824</v>
      </c>
      <c r="F580" s="161" t="s">
        <v>532</v>
      </c>
      <c r="G580" s="33" t="str">
        <f>IFERROR(INDEX([1]Positions!$A:$A,MATCH(F580,[1]Positions!$C:$C,0)),"Other")</f>
        <v>Consumer Defensive</v>
      </c>
      <c r="H580" s="33" t="b">
        <f t="shared" si="16"/>
        <v>1</v>
      </c>
      <c r="I580" s="33" t="str">
        <f t="shared" si="17"/>
        <v>2025-01-10</v>
      </c>
      <c r="J580" s="147">
        <v>-0.21</v>
      </c>
      <c r="K580" s="159" t="s">
        <v>0</v>
      </c>
    </row>
    <row r="581" spans="2:11" x14ac:dyDescent="0.25">
      <c r="B581" s="139">
        <v>695728830</v>
      </c>
      <c r="C581" s="139" t="s">
        <v>69</v>
      </c>
      <c r="D581" s="142">
        <v>45667.498658298602</v>
      </c>
      <c r="E581" s="139" t="s">
        <v>823</v>
      </c>
      <c r="F581" s="162" t="s">
        <v>532</v>
      </c>
      <c r="G581" s="33" t="str">
        <f>IFERROR(INDEX([1]Positions!$A:$A,MATCH(F581,[1]Positions!$C:$C,0)),"Other")</f>
        <v>Consumer Defensive</v>
      </c>
      <c r="H581" s="33" t="b">
        <f t="shared" si="16"/>
        <v>1</v>
      </c>
      <c r="I581" s="33" t="str">
        <f t="shared" si="17"/>
        <v>2025-01-10</v>
      </c>
      <c r="J581" s="148">
        <v>0.38</v>
      </c>
      <c r="K581" s="159" t="s">
        <v>0</v>
      </c>
    </row>
    <row r="582" spans="2:11" x14ac:dyDescent="0.25">
      <c r="B582" s="130">
        <v>695728831</v>
      </c>
      <c r="C582" s="130" t="s">
        <v>70</v>
      </c>
      <c r="D582" s="133">
        <v>45667.4986583102</v>
      </c>
      <c r="E582" s="130" t="s">
        <v>824</v>
      </c>
      <c r="F582" s="161" t="s">
        <v>532</v>
      </c>
      <c r="G582" s="33" t="str">
        <f>IFERROR(INDEX([1]Positions!$A:$A,MATCH(F582,[1]Positions!$C:$C,0)),"Other")</f>
        <v>Consumer Defensive</v>
      </c>
      <c r="H582" s="33" t="b">
        <f t="shared" si="16"/>
        <v>1</v>
      </c>
      <c r="I582" s="33" t="str">
        <f t="shared" si="17"/>
        <v>2025-01-10</v>
      </c>
      <c r="J582" s="147">
        <v>-0.11</v>
      </c>
      <c r="K582" s="159" t="s">
        <v>0</v>
      </c>
    </row>
    <row r="583" spans="2:11" x14ac:dyDescent="0.25">
      <c r="B583" s="139">
        <v>695763647</v>
      </c>
      <c r="C583" s="139" t="s">
        <v>69</v>
      </c>
      <c r="D583" s="142">
        <v>45667.498700439799</v>
      </c>
      <c r="E583" s="139" t="s">
        <v>823</v>
      </c>
      <c r="F583" s="162" t="s">
        <v>532</v>
      </c>
      <c r="G583" s="33" t="str">
        <f>IFERROR(INDEX([1]Positions!$A:$A,MATCH(F583,[1]Positions!$C:$C,0)),"Other")</f>
        <v>Consumer Defensive</v>
      </c>
      <c r="H583" s="33" t="b">
        <f t="shared" si="16"/>
        <v>1</v>
      </c>
      <c r="I583" s="33" t="str">
        <f t="shared" si="17"/>
        <v>2025-01-10</v>
      </c>
      <c r="J583" s="148">
        <v>0.4</v>
      </c>
      <c r="K583" s="159" t="s">
        <v>0</v>
      </c>
    </row>
    <row r="584" spans="2:11" x14ac:dyDescent="0.25">
      <c r="B584" s="130">
        <v>695763648</v>
      </c>
      <c r="C584" s="130" t="s">
        <v>70</v>
      </c>
      <c r="D584" s="133">
        <v>45667.498700439799</v>
      </c>
      <c r="E584" s="130" t="s">
        <v>824</v>
      </c>
      <c r="F584" s="161" t="s">
        <v>532</v>
      </c>
      <c r="G584" s="33" t="str">
        <f>IFERROR(INDEX([1]Positions!$A:$A,MATCH(F584,[1]Positions!$C:$C,0)),"Other")</f>
        <v>Consumer Defensive</v>
      </c>
      <c r="H584" s="33" t="b">
        <f t="shared" si="16"/>
        <v>1</v>
      </c>
      <c r="I584" s="33" t="str">
        <f t="shared" si="17"/>
        <v>2025-01-10</v>
      </c>
      <c r="J584" s="147">
        <v>-0.12</v>
      </c>
      <c r="K584" s="159" t="s">
        <v>0</v>
      </c>
    </row>
    <row r="585" spans="2:11" x14ac:dyDescent="0.25">
      <c r="B585" s="139">
        <v>696180073</v>
      </c>
      <c r="C585" s="139" t="s">
        <v>77</v>
      </c>
      <c r="D585" s="142">
        <v>45667.681279919001</v>
      </c>
      <c r="E585" s="139" t="s">
        <v>398</v>
      </c>
      <c r="F585" s="162" t="s">
        <v>526</v>
      </c>
      <c r="G585" s="33" t="str">
        <f>IFERROR(INDEX([1]Positions!$A:$A,MATCH(F585,[1]Positions!$C:$C,0)),"Other")</f>
        <v>Technology</v>
      </c>
      <c r="H585" s="33" t="b">
        <f t="shared" si="16"/>
        <v>1</v>
      </c>
      <c r="I585" s="33" t="str">
        <f t="shared" si="17"/>
        <v>2025-01-10</v>
      </c>
      <c r="J585" s="145">
        <v>-4.4000000000000004</v>
      </c>
      <c r="K585" s="159" t="s">
        <v>0</v>
      </c>
    </row>
    <row r="586" spans="2:11" x14ac:dyDescent="0.25">
      <c r="B586" s="130">
        <v>696180074</v>
      </c>
      <c r="C586" s="130" t="s">
        <v>80</v>
      </c>
      <c r="D586" s="133">
        <v>45667.681279919001</v>
      </c>
      <c r="E586" s="130" t="s">
        <v>399</v>
      </c>
      <c r="F586" s="161" t="s">
        <v>526</v>
      </c>
      <c r="G586" s="33" t="str">
        <f>IFERROR(INDEX([1]Positions!$A:$A,MATCH(F586,[1]Positions!$C:$C,0)),"Other")</f>
        <v>Technology</v>
      </c>
      <c r="H586" s="33" t="b">
        <f t="shared" si="16"/>
        <v>1</v>
      </c>
      <c r="I586" s="33" t="str">
        <f t="shared" si="17"/>
        <v>2025-01-10</v>
      </c>
      <c r="J586" s="136">
        <v>10.92</v>
      </c>
      <c r="K586" s="159" t="s">
        <v>0</v>
      </c>
    </row>
    <row r="587" spans="2:11" x14ac:dyDescent="0.25">
      <c r="B587" s="139">
        <v>696196321</v>
      </c>
      <c r="C587" s="139" t="s">
        <v>73</v>
      </c>
      <c r="D587" s="142">
        <v>45667.686647280098</v>
      </c>
      <c r="E587" s="139" t="s">
        <v>400</v>
      </c>
      <c r="F587" s="162" t="s">
        <v>530</v>
      </c>
      <c r="G587" s="33" t="str">
        <f>IFERROR(INDEX([1]Positions!$A:$A,MATCH(F587,[1]Positions!$C:$C,0)),"Other")</f>
        <v>Financial Services</v>
      </c>
      <c r="H587" s="33" t="b">
        <f t="shared" si="16"/>
        <v>1</v>
      </c>
      <c r="I587" s="33" t="str">
        <f t="shared" si="17"/>
        <v>2025-01-10</v>
      </c>
      <c r="J587" s="145">
        <v>-14.98</v>
      </c>
      <c r="K587" s="159" t="s">
        <v>0</v>
      </c>
    </row>
    <row r="588" spans="2:11" x14ac:dyDescent="0.25">
      <c r="B588" s="130">
        <v>697270768</v>
      </c>
      <c r="C588" s="130" t="s">
        <v>116</v>
      </c>
      <c r="D588" s="133">
        <v>45670.641146724498</v>
      </c>
      <c r="E588" s="130" t="s">
        <v>836</v>
      </c>
      <c r="F588" s="161" t="s">
        <v>526</v>
      </c>
      <c r="G588" s="33" t="str">
        <f>IFERROR(INDEX([1]Positions!$A:$A,MATCH(F588,[1]Positions!$C:$C,0)),"Other")</f>
        <v>Technology</v>
      </c>
      <c r="H588" s="33" t="b">
        <f t="shared" ref="H588:H651" si="18">ISNUMBER(D588)</f>
        <v>1</v>
      </c>
      <c r="I588" s="33" t="str">
        <f t="shared" ref="I588:I651" si="19">TEXT(D588,"YYYY-MM-DD")</f>
        <v>2025-01-13</v>
      </c>
      <c r="J588" s="147">
        <v>-0.01</v>
      </c>
      <c r="K588" s="159" t="s">
        <v>0</v>
      </c>
    </row>
    <row r="589" spans="2:11" x14ac:dyDescent="0.25">
      <c r="B589" s="139">
        <v>703110980</v>
      </c>
      <c r="C589" s="139" t="s">
        <v>69</v>
      </c>
      <c r="D589" s="142">
        <v>45678.494444652802</v>
      </c>
      <c r="E589" s="139" t="s">
        <v>784</v>
      </c>
      <c r="F589" s="162" t="s">
        <v>541</v>
      </c>
      <c r="G589" s="33" t="str">
        <f>IFERROR(INDEX([1]Positions!$A:$A,MATCH(F589,[1]Positions!$C:$C,0)),"Other")</f>
        <v>Consumer Defensive</v>
      </c>
      <c r="H589" s="33" t="b">
        <f t="shared" si="18"/>
        <v>1</v>
      </c>
      <c r="I589" s="33" t="str">
        <f t="shared" si="19"/>
        <v>2025-01-21</v>
      </c>
      <c r="J589" s="148">
        <v>0.15</v>
      </c>
      <c r="K589" s="159" t="s">
        <v>0</v>
      </c>
    </row>
    <row r="590" spans="2:11" x14ac:dyDescent="0.25">
      <c r="B590" s="130">
        <v>703110981</v>
      </c>
      <c r="C590" s="130" t="s">
        <v>70</v>
      </c>
      <c r="D590" s="133">
        <v>45678.494444652802</v>
      </c>
      <c r="E590" s="130" t="s">
        <v>785</v>
      </c>
      <c r="F590" s="161" t="s">
        <v>541</v>
      </c>
      <c r="G590" s="33" t="str">
        <f>IFERROR(INDEX([1]Positions!$A:$A,MATCH(F590,[1]Positions!$C:$C,0)),"Other")</f>
        <v>Consumer Defensive</v>
      </c>
      <c r="H590" s="33" t="b">
        <f t="shared" si="18"/>
        <v>1</v>
      </c>
      <c r="I590" s="33" t="str">
        <f t="shared" si="19"/>
        <v>2025-01-21</v>
      </c>
      <c r="J590" s="147">
        <v>-0.05</v>
      </c>
      <c r="K590" s="159" t="s">
        <v>0</v>
      </c>
    </row>
    <row r="591" spans="2:11" x14ac:dyDescent="0.25">
      <c r="B591" s="139">
        <v>703481728</v>
      </c>
      <c r="C591" s="139" t="s">
        <v>77</v>
      </c>
      <c r="D591" s="142">
        <v>45678.706465069401</v>
      </c>
      <c r="E591" s="139" t="s">
        <v>401</v>
      </c>
      <c r="F591" s="162" t="s">
        <v>517</v>
      </c>
      <c r="G591" s="33" t="str">
        <f>IFERROR(INDEX([1]Positions!$A:$A,MATCH(F591,[1]Positions!$C:$C,0)),"Other")</f>
        <v>Technology</v>
      </c>
      <c r="H591" s="33" t="b">
        <f t="shared" si="18"/>
        <v>1</v>
      </c>
      <c r="I591" s="33" t="str">
        <f t="shared" si="19"/>
        <v>2025-01-21</v>
      </c>
      <c r="J591" s="148">
        <v>3.77</v>
      </c>
      <c r="K591" s="159" t="s">
        <v>0</v>
      </c>
    </row>
    <row r="592" spans="2:11" x14ac:dyDescent="0.25">
      <c r="B592" s="130">
        <v>703481729</v>
      </c>
      <c r="C592" s="130" t="s">
        <v>80</v>
      </c>
      <c r="D592" s="133">
        <v>45678.706465069401</v>
      </c>
      <c r="E592" s="130" t="s">
        <v>402</v>
      </c>
      <c r="F592" s="161" t="s">
        <v>517</v>
      </c>
      <c r="G592" s="33" t="str">
        <f>IFERROR(INDEX([1]Positions!$A:$A,MATCH(F592,[1]Positions!$C:$C,0)),"Other")</f>
        <v>Technology</v>
      </c>
      <c r="H592" s="33" t="b">
        <f t="shared" si="18"/>
        <v>1</v>
      </c>
      <c r="I592" s="33" t="str">
        <f t="shared" si="19"/>
        <v>2025-01-21</v>
      </c>
      <c r="J592" s="136">
        <v>19.989999999999998</v>
      </c>
      <c r="K592" s="159" t="s">
        <v>0</v>
      </c>
    </row>
    <row r="593" spans="2:11" x14ac:dyDescent="0.25">
      <c r="B593" s="139">
        <v>703626569</v>
      </c>
      <c r="C593" s="139" t="s">
        <v>73</v>
      </c>
      <c r="D593" s="142">
        <v>45678.832060347202</v>
      </c>
      <c r="E593" s="139" t="s">
        <v>403</v>
      </c>
      <c r="F593" s="162" t="s">
        <v>537</v>
      </c>
      <c r="G593" s="33" t="str">
        <f>IFERROR(INDEX([1]Positions!$A:$A,MATCH(F593,[1]Positions!$C:$C,0)),"Other")</f>
        <v>Energy &amp; Utilities</v>
      </c>
      <c r="H593" s="33" t="b">
        <f t="shared" si="18"/>
        <v>1</v>
      </c>
      <c r="I593" s="33" t="str">
        <f t="shared" si="19"/>
        <v>2025-01-21</v>
      </c>
      <c r="J593" s="145">
        <v>-14.98</v>
      </c>
      <c r="K593" s="159" t="s">
        <v>0</v>
      </c>
    </row>
    <row r="594" spans="2:11" x14ac:dyDescent="0.25">
      <c r="B594" s="130">
        <v>703626333</v>
      </c>
      <c r="C594" s="130" t="s">
        <v>73</v>
      </c>
      <c r="D594" s="133">
        <v>45678.831781979199</v>
      </c>
      <c r="E594" s="130" t="s">
        <v>404</v>
      </c>
      <c r="F594" s="161" t="s">
        <v>542</v>
      </c>
      <c r="G594" s="33" t="str">
        <f>IFERROR(INDEX([1]Positions!$A:$A,MATCH(F594,[1]Positions!$C:$C,0)),"Other")</f>
        <v>Energy &amp; Utilities</v>
      </c>
      <c r="H594" s="33" t="b">
        <f t="shared" si="18"/>
        <v>1</v>
      </c>
      <c r="I594" s="33" t="str">
        <f t="shared" si="19"/>
        <v>2025-01-21</v>
      </c>
      <c r="J594" s="147">
        <v>-10.029999999999999</v>
      </c>
      <c r="K594" s="159" t="s">
        <v>0</v>
      </c>
    </row>
    <row r="595" spans="2:11" x14ac:dyDescent="0.25">
      <c r="B595" s="139">
        <v>704327714</v>
      </c>
      <c r="C595" s="139" t="s">
        <v>116</v>
      </c>
      <c r="D595" s="142">
        <v>45679.690328159697</v>
      </c>
      <c r="E595" s="139" t="s">
        <v>837</v>
      </c>
      <c r="F595" s="162" t="s">
        <v>517</v>
      </c>
      <c r="G595" s="33" t="str">
        <f>IFERROR(INDEX([1]Positions!$A:$A,MATCH(F595,[1]Positions!$C:$C,0)),"Other")</f>
        <v>Technology</v>
      </c>
      <c r="H595" s="33" t="b">
        <f t="shared" si="18"/>
        <v>1</v>
      </c>
      <c r="I595" s="33" t="str">
        <f t="shared" si="19"/>
        <v>2025-01-22</v>
      </c>
      <c r="J595" s="148">
        <v>0</v>
      </c>
      <c r="K595" s="159" t="s">
        <v>0</v>
      </c>
    </row>
    <row r="596" spans="2:11" x14ac:dyDescent="0.25">
      <c r="B596" s="130">
        <v>708512436</v>
      </c>
      <c r="C596" s="130" t="s">
        <v>73</v>
      </c>
      <c r="D596" s="133">
        <v>45685.832353761602</v>
      </c>
      <c r="E596" s="130" t="s">
        <v>405</v>
      </c>
      <c r="F596" s="161" t="s">
        <v>537</v>
      </c>
      <c r="G596" s="33" t="str">
        <f>IFERROR(INDEX([1]Positions!$A:$A,MATCH(F596,[1]Positions!$C:$C,0)),"Other")</f>
        <v>Energy &amp; Utilities</v>
      </c>
      <c r="H596" s="33" t="b">
        <f t="shared" si="18"/>
        <v>1</v>
      </c>
      <c r="I596" s="33" t="str">
        <f t="shared" si="19"/>
        <v>2025-01-28</v>
      </c>
      <c r="J596" s="147">
        <v>-14.97</v>
      </c>
      <c r="K596" s="159" t="s">
        <v>0</v>
      </c>
    </row>
    <row r="597" spans="2:11" x14ac:dyDescent="0.25">
      <c r="B597" s="139">
        <v>708515250</v>
      </c>
      <c r="C597" s="139" t="s">
        <v>73</v>
      </c>
      <c r="D597" s="142">
        <v>45685.835611782401</v>
      </c>
      <c r="E597" s="139" t="s">
        <v>406</v>
      </c>
      <c r="F597" s="162" t="s">
        <v>533</v>
      </c>
      <c r="G597" s="33" t="str">
        <f>IFERROR(INDEX([1]Positions!$A:$A,MATCH(F597,[1]Positions!$C:$C,0)),"Other")</f>
        <v>Energy &amp; Utilities</v>
      </c>
      <c r="H597" s="33" t="b">
        <f t="shared" si="18"/>
        <v>1</v>
      </c>
      <c r="I597" s="33" t="str">
        <f t="shared" si="19"/>
        <v>2025-01-28</v>
      </c>
      <c r="J597" s="145">
        <v>-10.99</v>
      </c>
      <c r="K597" s="159" t="s">
        <v>0</v>
      </c>
    </row>
    <row r="598" spans="2:11" x14ac:dyDescent="0.25">
      <c r="B598" s="130">
        <v>708515779</v>
      </c>
      <c r="C598" s="130" t="s">
        <v>73</v>
      </c>
      <c r="D598" s="133">
        <v>45685.836252025503</v>
      </c>
      <c r="E598" s="130" t="s">
        <v>407</v>
      </c>
      <c r="F598" s="161" t="s">
        <v>542</v>
      </c>
      <c r="G598" s="33" t="str">
        <f>IFERROR(INDEX([1]Positions!$A:$A,MATCH(F598,[1]Positions!$C:$C,0)),"Other")</f>
        <v>Energy &amp; Utilities</v>
      </c>
      <c r="H598" s="33" t="b">
        <f t="shared" si="18"/>
        <v>1</v>
      </c>
      <c r="I598" s="33" t="str">
        <f t="shared" si="19"/>
        <v>2025-01-28</v>
      </c>
      <c r="J598" s="147">
        <v>-10</v>
      </c>
      <c r="K598" s="159" t="s">
        <v>0</v>
      </c>
    </row>
    <row r="599" spans="2:11" x14ac:dyDescent="0.25">
      <c r="B599" s="139">
        <v>708517289</v>
      </c>
      <c r="C599" s="139" t="s">
        <v>77</v>
      </c>
      <c r="D599" s="142">
        <v>45685.837924097199</v>
      </c>
      <c r="E599" s="139" t="s">
        <v>408</v>
      </c>
      <c r="F599" s="162" t="s">
        <v>523</v>
      </c>
      <c r="G599" s="33" t="str">
        <f>IFERROR(INDEX([1]Positions!$A:$A,MATCH(F599,[1]Positions!$C:$C,0)),"Other")</f>
        <v>Financial Services</v>
      </c>
      <c r="H599" s="33" t="b">
        <f t="shared" si="18"/>
        <v>1</v>
      </c>
      <c r="I599" s="33" t="str">
        <f t="shared" si="19"/>
        <v>2025-01-28</v>
      </c>
      <c r="J599" s="148">
        <v>4.2300000000000004</v>
      </c>
      <c r="K599" s="159" t="s">
        <v>0</v>
      </c>
    </row>
    <row r="600" spans="2:11" x14ac:dyDescent="0.25">
      <c r="B600" s="130">
        <v>708517290</v>
      </c>
      <c r="C600" s="130" t="s">
        <v>80</v>
      </c>
      <c r="D600" s="133">
        <v>45685.837924097199</v>
      </c>
      <c r="E600" s="130" t="s">
        <v>409</v>
      </c>
      <c r="F600" s="161" t="s">
        <v>523</v>
      </c>
      <c r="G600" s="33" t="str">
        <f>IFERROR(INDEX([1]Positions!$A:$A,MATCH(F600,[1]Positions!$C:$C,0)),"Other")</f>
        <v>Financial Services</v>
      </c>
      <c r="H600" s="33" t="b">
        <f t="shared" si="18"/>
        <v>1</v>
      </c>
      <c r="I600" s="33" t="str">
        <f t="shared" si="19"/>
        <v>2025-01-28</v>
      </c>
      <c r="J600" s="136">
        <v>19.98</v>
      </c>
      <c r="K600" s="159" t="s">
        <v>0</v>
      </c>
    </row>
    <row r="601" spans="2:11" x14ac:dyDescent="0.25">
      <c r="B601" s="139">
        <v>708517291</v>
      </c>
      <c r="C601" s="139" t="s">
        <v>77</v>
      </c>
      <c r="D601" s="142">
        <v>45685.837924120402</v>
      </c>
      <c r="E601" s="139" t="s">
        <v>410</v>
      </c>
      <c r="F601" s="162" t="s">
        <v>523</v>
      </c>
      <c r="G601" s="33" t="str">
        <f>IFERROR(INDEX([1]Positions!$A:$A,MATCH(F601,[1]Positions!$C:$C,0)),"Other")</f>
        <v>Financial Services</v>
      </c>
      <c r="H601" s="33" t="b">
        <f t="shared" si="18"/>
        <v>1</v>
      </c>
      <c r="I601" s="33" t="str">
        <f t="shared" si="19"/>
        <v>2025-01-28</v>
      </c>
      <c r="J601" s="148">
        <v>5</v>
      </c>
      <c r="K601" s="159" t="s">
        <v>0</v>
      </c>
    </row>
    <row r="602" spans="2:11" x14ac:dyDescent="0.25">
      <c r="B602" s="130">
        <v>708517292</v>
      </c>
      <c r="C602" s="130" t="s">
        <v>80</v>
      </c>
      <c r="D602" s="133">
        <v>45685.837924120402</v>
      </c>
      <c r="E602" s="130" t="s">
        <v>411</v>
      </c>
      <c r="F602" s="161" t="s">
        <v>523</v>
      </c>
      <c r="G602" s="33" t="str">
        <f>IFERROR(INDEX([1]Positions!$A:$A,MATCH(F602,[1]Positions!$C:$C,0)),"Other")</f>
        <v>Financial Services</v>
      </c>
      <c r="H602" s="33" t="b">
        <f t="shared" si="18"/>
        <v>1</v>
      </c>
      <c r="I602" s="33" t="str">
        <f t="shared" si="19"/>
        <v>2025-01-28</v>
      </c>
      <c r="J602" s="136">
        <v>19.98</v>
      </c>
      <c r="K602" s="159" t="s">
        <v>0</v>
      </c>
    </row>
    <row r="603" spans="2:11" x14ac:dyDescent="0.25">
      <c r="B603" s="139">
        <v>708517293</v>
      </c>
      <c r="C603" s="139" t="s">
        <v>77</v>
      </c>
      <c r="D603" s="142">
        <v>45685.837924131898</v>
      </c>
      <c r="E603" s="139" t="s">
        <v>412</v>
      </c>
      <c r="F603" s="162" t="s">
        <v>523</v>
      </c>
      <c r="G603" s="33" t="str">
        <f>IFERROR(INDEX([1]Positions!$A:$A,MATCH(F603,[1]Positions!$C:$C,0)),"Other")</f>
        <v>Financial Services</v>
      </c>
      <c r="H603" s="33" t="b">
        <f t="shared" si="18"/>
        <v>1</v>
      </c>
      <c r="I603" s="33" t="str">
        <f t="shared" si="19"/>
        <v>2025-01-28</v>
      </c>
      <c r="J603" s="148">
        <v>1.08</v>
      </c>
      <c r="K603" s="159" t="s">
        <v>0</v>
      </c>
    </row>
    <row r="604" spans="2:11" x14ac:dyDescent="0.25">
      <c r="B604" s="130">
        <v>708517294</v>
      </c>
      <c r="C604" s="130" t="s">
        <v>80</v>
      </c>
      <c r="D604" s="133">
        <v>45685.837924131898</v>
      </c>
      <c r="E604" s="130" t="s">
        <v>413</v>
      </c>
      <c r="F604" s="161" t="s">
        <v>523</v>
      </c>
      <c r="G604" s="33" t="str">
        <f>IFERROR(INDEX([1]Positions!$A:$A,MATCH(F604,[1]Positions!$C:$C,0)),"Other")</f>
        <v>Financial Services</v>
      </c>
      <c r="H604" s="33" t="b">
        <f t="shared" si="18"/>
        <v>1</v>
      </c>
      <c r="I604" s="33" t="str">
        <f t="shared" si="19"/>
        <v>2025-01-28</v>
      </c>
      <c r="J604" s="136">
        <v>14.98</v>
      </c>
      <c r="K604" s="159" t="s">
        <v>0</v>
      </c>
    </row>
    <row r="605" spans="2:11" x14ac:dyDescent="0.25">
      <c r="B605" s="139">
        <v>709140247</v>
      </c>
      <c r="C605" s="139" t="s">
        <v>116</v>
      </c>
      <c r="D605" s="142">
        <v>45686.6742603241</v>
      </c>
      <c r="E605" s="139" t="s">
        <v>838</v>
      </c>
      <c r="F605" s="162" t="s">
        <v>523</v>
      </c>
      <c r="G605" s="33" t="str">
        <f>IFERROR(INDEX([1]Positions!$A:$A,MATCH(F605,[1]Positions!$C:$C,0)),"Other")</f>
        <v>Financial Services</v>
      </c>
      <c r="H605" s="33" t="b">
        <f t="shared" si="18"/>
        <v>1</v>
      </c>
      <c r="I605" s="33" t="str">
        <f t="shared" si="19"/>
        <v>2025-01-29</v>
      </c>
      <c r="J605" s="148">
        <v>0</v>
      </c>
      <c r="K605" s="159" t="s">
        <v>0</v>
      </c>
    </row>
    <row r="606" spans="2:11" x14ac:dyDescent="0.25">
      <c r="B606" s="130">
        <v>709340471</v>
      </c>
      <c r="C606" s="130" t="s">
        <v>73</v>
      </c>
      <c r="D606" s="133">
        <v>45686.832722476902</v>
      </c>
      <c r="E606" s="130" t="s">
        <v>414</v>
      </c>
      <c r="F606" s="161" t="s">
        <v>534</v>
      </c>
      <c r="G606" s="33" t="str">
        <f>IFERROR(INDEX([1]Positions!$A:$A,MATCH(F606,[1]Positions!$C:$C,0)),"Other")</f>
        <v>ETF</v>
      </c>
      <c r="H606" s="33" t="b">
        <f t="shared" si="18"/>
        <v>1</v>
      </c>
      <c r="I606" s="33" t="str">
        <f t="shared" si="19"/>
        <v>2025-01-29</v>
      </c>
      <c r="J606" s="147">
        <v>-44.24</v>
      </c>
      <c r="K606" s="159" t="s">
        <v>0</v>
      </c>
    </row>
    <row r="607" spans="2:11" x14ac:dyDescent="0.25">
      <c r="B607" s="139">
        <v>710345560</v>
      </c>
      <c r="C607" s="139" t="s">
        <v>73</v>
      </c>
      <c r="D607" s="142">
        <v>45687.852284942099</v>
      </c>
      <c r="E607" s="139" t="s">
        <v>415</v>
      </c>
      <c r="F607" s="162" t="s">
        <v>542</v>
      </c>
      <c r="G607" s="33" t="str">
        <f>IFERROR(INDEX([1]Positions!$A:$A,MATCH(F607,[1]Positions!$C:$C,0)),"Other")</f>
        <v>Energy &amp; Utilities</v>
      </c>
      <c r="H607" s="33" t="b">
        <f t="shared" si="18"/>
        <v>1</v>
      </c>
      <c r="I607" s="33" t="str">
        <f t="shared" si="19"/>
        <v>2025-01-30</v>
      </c>
      <c r="J607" s="145">
        <v>-10</v>
      </c>
      <c r="K607" s="159" t="s">
        <v>0</v>
      </c>
    </row>
    <row r="608" spans="2:11" x14ac:dyDescent="0.25">
      <c r="B608" s="130">
        <v>710345829</v>
      </c>
      <c r="C608" s="130" t="s">
        <v>73</v>
      </c>
      <c r="D608" s="133">
        <v>45687.8527173611</v>
      </c>
      <c r="E608" s="130" t="s">
        <v>416</v>
      </c>
      <c r="F608" s="161" t="s">
        <v>540</v>
      </c>
      <c r="G608" s="33" t="str">
        <f>IFERROR(INDEX([1]Positions!$A:$A,MATCH(F608,[1]Positions!$C:$C,0)),"Other")</f>
        <v>Healthcare</v>
      </c>
      <c r="H608" s="33" t="b">
        <f t="shared" si="18"/>
        <v>1</v>
      </c>
      <c r="I608" s="33" t="str">
        <f t="shared" si="19"/>
        <v>2025-01-30</v>
      </c>
      <c r="J608" s="147">
        <v>-10</v>
      </c>
      <c r="K608" s="159" t="s">
        <v>0</v>
      </c>
    </row>
    <row r="609" spans="2:11" ht="42" x14ac:dyDescent="0.25">
      <c r="B609" s="139">
        <v>715229761</v>
      </c>
      <c r="C609" s="139" t="s">
        <v>71</v>
      </c>
      <c r="D609" s="142">
        <v>45692.856742141201</v>
      </c>
      <c r="E609" s="139" t="s">
        <v>417</v>
      </c>
      <c r="F609" s="162"/>
      <c r="G609" s="33" t="str">
        <f>IFERROR(INDEX([1]Positions!$A:$A,MATCH(F609,[1]Positions!$C:$C,0)),"Other")</f>
        <v>Other</v>
      </c>
      <c r="H609" s="33" t="b">
        <f t="shared" si="18"/>
        <v>1</v>
      </c>
      <c r="I609" s="33" t="str">
        <f t="shared" si="19"/>
        <v>2025-02-04</v>
      </c>
      <c r="J609" s="148">
        <v>85</v>
      </c>
      <c r="K609" s="159" t="s">
        <v>0</v>
      </c>
    </row>
    <row r="610" spans="2:11" x14ac:dyDescent="0.25">
      <c r="B610" s="130">
        <v>715235949</v>
      </c>
      <c r="C610" s="130" t="s">
        <v>73</v>
      </c>
      <c r="D610" s="133">
        <v>45692.866125752298</v>
      </c>
      <c r="E610" s="130" t="s">
        <v>418</v>
      </c>
      <c r="F610" s="161" t="s">
        <v>541</v>
      </c>
      <c r="G610" s="33" t="str">
        <f>IFERROR(INDEX([1]Positions!$A:$A,MATCH(F610,[1]Positions!$C:$C,0)),"Other")</f>
        <v>Consumer Defensive</v>
      </c>
      <c r="H610" s="33" t="b">
        <f t="shared" si="18"/>
        <v>1</v>
      </c>
      <c r="I610" s="33" t="str">
        <f t="shared" si="19"/>
        <v>2025-02-04</v>
      </c>
      <c r="J610" s="147">
        <v>-19.989999999999998</v>
      </c>
      <c r="K610" s="159" t="s">
        <v>0</v>
      </c>
    </row>
    <row r="611" spans="2:11" x14ac:dyDescent="0.25">
      <c r="B611" s="139">
        <v>715236504</v>
      </c>
      <c r="C611" s="139" t="s">
        <v>73</v>
      </c>
      <c r="D611" s="142">
        <v>45692.866729641202</v>
      </c>
      <c r="E611" s="139" t="s">
        <v>419</v>
      </c>
      <c r="F611" s="162" t="s">
        <v>533</v>
      </c>
      <c r="G611" s="33" t="str">
        <f>IFERROR(INDEX([1]Positions!$A:$A,MATCH(F611,[1]Positions!$C:$C,0)),"Other")</f>
        <v>Energy &amp; Utilities</v>
      </c>
      <c r="H611" s="33" t="b">
        <f t="shared" si="18"/>
        <v>1</v>
      </c>
      <c r="I611" s="33" t="str">
        <f t="shared" si="19"/>
        <v>2025-02-04</v>
      </c>
      <c r="J611" s="145">
        <v>-10</v>
      </c>
      <c r="K611" s="159" t="s">
        <v>0</v>
      </c>
    </row>
    <row r="612" spans="2:11" x14ac:dyDescent="0.25">
      <c r="B612" s="130">
        <v>716194906</v>
      </c>
      <c r="C612" s="130" t="s">
        <v>73</v>
      </c>
      <c r="D612" s="133">
        <v>45693.851230578701</v>
      </c>
      <c r="E612" s="130" t="s">
        <v>420</v>
      </c>
      <c r="F612" s="161" t="s">
        <v>531</v>
      </c>
      <c r="G612" s="33" t="str">
        <f>IFERROR(INDEX([1]Positions!$A:$A,MATCH(F612,[1]Positions!$C:$C,0)),"Other")</f>
        <v>Consumer Defensive</v>
      </c>
      <c r="H612" s="33" t="b">
        <f t="shared" si="18"/>
        <v>1</v>
      </c>
      <c r="I612" s="33" t="str">
        <f t="shared" si="19"/>
        <v>2025-02-05</v>
      </c>
      <c r="J612" s="147">
        <v>-10.49</v>
      </c>
      <c r="K612" s="159" t="s">
        <v>0</v>
      </c>
    </row>
    <row r="613" spans="2:11" x14ac:dyDescent="0.25">
      <c r="B613" s="139">
        <v>716194701</v>
      </c>
      <c r="C613" s="139" t="s">
        <v>73</v>
      </c>
      <c r="D613" s="142">
        <v>45693.850933923597</v>
      </c>
      <c r="E613" s="139" t="s">
        <v>421</v>
      </c>
      <c r="F613" s="162" t="s">
        <v>508</v>
      </c>
      <c r="G613" s="33" t="str">
        <f>IFERROR(INDEX([1]Positions!$A:$A,MATCH(F613,[1]Positions!$C:$C,0)),"Other")</f>
        <v>Consumer Defensive</v>
      </c>
      <c r="H613" s="33" t="b">
        <f t="shared" si="18"/>
        <v>1</v>
      </c>
      <c r="I613" s="33" t="str">
        <f t="shared" si="19"/>
        <v>2025-02-05</v>
      </c>
      <c r="J613" s="145">
        <v>-10.99</v>
      </c>
      <c r="K613" s="159" t="s">
        <v>0</v>
      </c>
    </row>
    <row r="614" spans="2:11" x14ac:dyDescent="0.25">
      <c r="B614" s="130">
        <v>716197918</v>
      </c>
      <c r="C614" s="130" t="s">
        <v>73</v>
      </c>
      <c r="D614" s="133">
        <v>45693.855017118098</v>
      </c>
      <c r="E614" s="130" t="s">
        <v>422</v>
      </c>
      <c r="F614" s="161" t="s">
        <v>535</v>
      </c>
      <c r="G614" s="33" t="str">
        <f>IFERROR(INDEX([1]Positions!$A:$A,MATCH(F614,[1]Positions!$C:$C,0)),"Other")</f>
        <v>Consumer Defensive</v>
      </c>
      <c r="H614" s="33" t="b">
        <f t="shared" si="18"/>
        <v>1</v>
      </c>
      <c r="I614" s="33" t="str">
        <f t="shared" si="19"/>
        <v>2025-02-05</v>
      </c>
      <c r="J614" s="147">
        <v>-20.36</v>
      </c>
      <c r="K614" s="159" t="s">
        <v>0</v>
      </c>
    </row>
    <row r="615" spans="2:11" x14ac:dyDescent="0.25">
      <c r="B615" s="139">
        <v>717482234</v>
      </c>
      <c r="C615" s="139" t="s">
        <v>69</v>
      </c>
      <c r="D615" s="142">
        <v>45695.491675613397</v>
      </c>
      <c r="E615" s="139" t="s">
        <v>839</v>
      </c>
      <c r="F615" s="162" t="s">
        <v>530</v>
      </c>
      <c r="G615" s="33" t="str">
        <f>IFERROR(INDEX([1]Positions!$A:$A,MATCH(F615,[1]Positions!$C:$C,0)),"Other")</f>
        <v>Financial Services</v>
      </c>
      <c r="H615" s="33" t="b">
        <f t="shared" si="18"/>
        <v>1</v>
      </c>
      <c r="I615" s="33" t="str">
        <f t="shared" si="19"/>
        <v>2025-02-07</v>
      </c>
      <c r="J615" s="148">
        <v>0.02</v>
      </c>
      <c r="K615" s="159" t="s">
        <v>0</v>
      </c>
    </row>
    <row r="616" spans="2:11" x14ac:dyDescent="0.25">
      <c r="B616" s="130">
        <v>717482235</v>
      </c>
      <c r="C616" s="130" t="s">
        <v>70</v>
      </c>
      <c r="D616" s="133">
        <v>45695.491675613397</v>
      </c>
      <c r="E616" s="130" t="s">
        <v>828</v>
      </c>
      <c r="F616" s="161" t="s">
        <v>530</v>
      </c>
      <c r="G616" s="33" t="str">
        <f>IFERROR(INDEX([1]Positions!$A:$A,MATCH(F616,[1]Positions!$C:$C,0)),"Other")</f>
        <v>Financial Services</v>
      </c>
      <c r="H616" s="33" t="b">
        <f t="shared" si="18"/>
        <v>1</v>
      </c>
      <c r="I616" s="33" t="str">
        <f t="shared" si="19"/>
        <v>2025-02-07</v>
      </c>
      <c r="J616" s="147">
        <v>-0.01</v>
      </c>
      <c r="K616" s="159" t="s">
        <v>0</v>
      </c>
    </row>
    <row r="617" spans="2:11" x14ac:dyDescent="0.25">
      <c r="B617" s="139">
        <v>717488582</v>
      </c>
      <c r="C617" s="139" t="s">
        <v>69</v>
      </c>
      <c r="D617" s="142">
        <v>45695.4916840972</v>
      </c>
      <c r="E617" s="139" t="s">
        <v>839</v>
      </c>
      <c r="F617" s="162" t="s">
        <v>530</v>
      </c>
      <c r="G617" s="33" t="str">
        <f>IFERROR(INDEX([1]Positions!$A:$A,MATCH(F617,[1]Positions!$C:$C,0)),"Other")</f>
        <v>Financial Services</v>
      </c>
      <c r="H617" s="33" t="b">
        <f t="shared" si="18"/>
        <v>1</v>
      </c>
      <c r="I617" s="33" t="str">
        <f t="shared" si="19"/>
        <v>2025-02-07</v>
      </c>
      <c r="J617" s="148">
        <v>0.03</v>
      </c>
      <c r="K617" s="159" t="s">
        <v>0</v>
      </c>
    </row>
    <row r="618" spans="2:11" x14ac:dyDescent="0.25">
      <c r="B618" s="130">
        <v>717488583</v>
      </c>
      <c r="C618" s="130" t="s">
        <v>70</v>
      </c>
      <c r="D618" s="133">
        <v>45695.4916840972</v>
      </c>
      <c r="E618" s="130" t="s">
        <v>828</v>
      </c>
      <c r="F618" s="161" t="s">
        <v>530</v>
      </c>
      <c r="G618" s="33" t="str">
        <f>IFERROR(INDEX([1]Positions!$A:$A,MATCH(F618,[1]Positions!$C:$C,0)),"Other")</f>
        <v>Financial Services</v>
      </c>
      <c r="H618" s="33" t="b">
        <f t="shared" si="18"/>
        <v>1</v>
      </c>
      <c r="I618" s="33" t="str">
        <f t="shared" si="19"/>
        <v>2025-02-07</v>
      </c>
      <c r="J618" s="147">
        <v>-0.01</v>
      </c>
      <c r="K618" s="159" t="s">
        <v>0</v>
      </c>
    </row>
    <row r="619" spans="2:11" x14ac:dyDescent="0.25">
      <c r="B619" s="139">
        <v>717489995</v>
      </c>
      <c r="C619" s="139" t="s">
        <v>69</v>
      </c>
      <c r="D619" s="142">
        <v>45695.4916858449</v>
      </c>
      <c r="E619" s="139" t="s">
        <v>839</v>
      </c>
      <c r="F619" s="162" t="s">
        <v>530</v>
      </c>
      <c r="G619" s="33" t="str">
        <f>IFERROR(INDEX([1]Positions!$A:$A,MATCH(F619,[1]Positions!$C:$C,0)),"Other")</f>
        <v>Financial Services</v>
      </c>
      <c r="H619" s="33" t="b">
        <f t="shared" si="18"/>
        <v>1</v>
      </c>
      <c r="I619" s="33" t="str">
        <f t="shared" si="19"/>
        <v>2025-02-07</v>
      </c>
      <c r="J619" s="148">
        <v>0.03</v>
      </c>
      <c r="K619" s="159" t="s">
        <v>0</v>
      </c>
    </row>
    <row r="620" spans="2:11" x14ac:dyDescent="0.25">
      <c r="B620" s="130">
        <v>717489996</v>
      </c>
      <c r="C620" s="130" t="s">
        <v>70</v>
      </c>
      <c r="D620" s="133">
        <v>45695.4916858449</v>
      </c>
      <c r="E620" s="130" t="s">
        <v>828</v>
      </c>
      <c r="F620" s="161" t="s">
        <v>530</v>
      </c>
      <c r="G620" s="33" t="str">
        <f>IFERROR(INDEX([1]Positions!$A:$A,MATCH(F620,[1]Positions!$C:$C,0)),"Other")</f>
        <v>Financial Services</v>
      </c>
      <c r="H620" s="33" t="b">
        <f t="shared" si="18"/>
        <v>1</v>
      </c>
      <c r="I620" s="33" t="str">
        <f t="shared" si="19"/>
        <v>2025-02-07</v>
      </c>
      <c r="J620" s="147">
        <v>-0.01</v>
      </c>
      <c r="K620" s="159" t="s">
        <v>0</v>
      </c>
    </row>
    <row r="621" spans="2:11" x14ac:dyDescent="0.25">
      <c r="B621" s="139">
        <v>718132555</v>
      </c>
      <c r="C621" s="139" t="s">
        <v>77</v>
      </c>
      <c r="D621" s="142">
        <v>45695.852664780097</v>
      </c>
      <c r="E621" s="139" t="s">
        <v>423</v>
      </c>
      <c r="F621" s="162" t="s">
        <v>527</v>
      </c>
      <c r="G621" s="33" t="str">
        <f>IFERROR(INDEX([1]Positions!$A:$A,MATCH(F621,[1]Positions!$C:$C,0)),"Other")</f>
        <v>Consumer Cyclical</v>
      </c>
      <c r="H621" s="33" t="b">
        <f t="shared" si="18"/>
        <v>1</v>
      </c>
      <c r="I621" s="33" t="str">
        <f t="shared" si="19"/>
        <v>2025-02-07</v>
      </c>
      <c r="J621" s="148">
        <v>1</v>
      </c>
      <c r="K621" s="159" t="s">
        <v>0</v>
      </c>
    </row>
    <row r="622" spans="2:11" x14ac:dyDescent="0.25">
      <c r="B622" s="130">
        <v>718132556</v>
      </c>
      <c r="C622" s="130" t="s">
        <v>80</v>
      </c>
      <c r="D622" s="133">
        <v>45695.852664780097</v>
      </c>
      <c r="E622" s="130" t="s">
        <v>424</v>
      </c>
      <c r="F622" s="161" t="s">
        <v>527</v>
      </c>
      <c r="G622" s="33" t="str">
        <f>IFERROR(INDEX([1]Positions!$A:$A,MATCH(F622,[1]Positions!$C:$C,0)),"Other")</f>
        <v>Consumer Cyclical</v>
      </c>
      <c r="H622" s="33" t="b">
        <f t="shared" si="18"/>
        <v>1</v>
      </c>
      <c r="I622" s="33" t="str">
        <f t="shared" si="19"/>
        <v>2025-02-07</v>
      </c>
      <c r="J622" s="136">
        <v>13.99</v>
      </c>
      <c r="K622" s="159" t="s">
        <v>0</v>
      </c>
    </row>
    <row r="623" spans="2:11" x14ac:dyDescent="0.25">
      <c r="B623" s="139">
        <v>718132557</v>
      </c>
      <c r="C623" s="139" t="s">
        <v>77</v>
      </c>
      <c r="D623" s="142">
        <v>45695.852664791702</v>
      </c>
      <c r="E623" s="139" t="s">
        <v>425</v>
      </c>
      <c r="F623" s="162" t="s">
        <v>527</v>
      </c>
      <c r="G623" s="33" t="str">
        <f>IFERROR(INDEX([1]Positions!$A:$A,MATCH(F623,[1]Positions!$C:$C,0)),"Other")</f>
        <v>Consumer Cyclical</v>
      </c>
      <c r="H623" s="33" t="b">
        <f t="shared" si="18"/>
        <v>1</v>
      </c>
      <c r="I623" s="33" t="str">
        <f t="shared" si="19"/>
        <v>2025-02-07</v>
      </c>
      <c r="J623" s="148">
        <v>0.8</v>
      </c>
      <c r="K623" s="159" t="s">
        <v>0</v>
      </c>
    </row>
    <row r="624" spans="2:11" x14ac:dyDescent="0.25">
      <c r="B624" s="130">
        <v>718132558</v>
      </c>
      <c r="C624" s="130" t="s">
        <v>80</v>
      </c>
      <c r="D624" s="133">
        <v>45695.852664791702</v>
      </c>
      <c r="E624" s="130" t="s">
        <v>426</v>
      </c>
      <c r="F624" s="161" t="s">
        <v>527</v>
      </c>
      <c r="G624" s="33" t="str">
        <f>IFERROR(INDEX([1]Positions!$A:$A,MATCH(F624,[1]Positions!$C:$C,0)),"Other")</f>
        <v>Consumer Cyclical</v>
      </c>
      <c r="H624" s="33" t="b">
        <f t="shared" si="18"/>
        <v>1</v>
      </c>
      <c r="I624" s="33" t="str">
        <f t="shared" si="19"/>
        <v>2025-02-07</v>
      </c>
      <c r="J624" s="136">
        <v>10</v>
      </c>
      <c r="K624" s="159" t="s">
        <v>0</v>
      </c>
    </row>
    <row r="625" spans="2:11" x14ac:dyDescent="0.25">
      <c r="B625" s="139">
        <v>718132559</v>
      </c>
      <c r="C625" s="139" t="s">
        <v>77</v>
      </c>
      <c r="D625" s="142">
        <v>45695.852664814804</v>
      </c>
      <c r="E625" s="139" t="s">
        <v>427</v>
      </c>
      <c r="F625" s="162" t="s">
        <v>527</v>
      </c>
      <c r="G625" s="33" t="str">
        <f>IFERROR(INDEX([1]Positions!$A:$A,MATCH(F625,[1]Positions!$C:$C,0)),"Other")</f>
        <v>Consumer Cyclical</v>
      </c>
      <c r="H625" s="33" t="b">
        <f t="shared" si="18"/>
        <v>1</v>
      </c>
      <c r="I625" s="33" t="str">
        <f t="shared" si="19"/>
        <v>2025-02-07</v>
      </c>
      <c r="J625" s="148">
        <v>0.96</v>
      </c>
      <c r="K625" s="159" t="s">
        <v>0</v>
      </c>
    </row>
    <row r="626" spans="2:11" x14ac:dyDescent="0.25">
      <c r="B626" s="130">
        <v>718132560</v>
      </c>
      <c r="C626" s="130" t="s">
        <v>80</v>
      </c>
      <c r="D626" s="133">
        <v>45695.852664814804</v>
      </c>
      <c r="E626" s="130" t="s">
        <v>428</v>
      </c>
      <c r="F626" s="161" t="s">
        <v>527</v>
      </c>
      <c r="G626" s="33" t="str">
        <f>IFERROR(INDEX([1]Positions!$A:$A,MATCH(F626,[1]Positions!$C:$C,0)),"Other")</f>
        <v>Consumer Cyclical</v>
      </c>
      <c r="H626" s="33" t="b">
        <f t="shared" si="18"/>
        <v>1</v>
      </c>
      <c r="I626" s="33" t="str">
        <f t="shared" si="19"/>
        <v>2025-02-07</v>
      </c>
      <c r="J626" s="136">
        <v>9.9600000000000009</v>
      </c>
      <c r="K626" s="159" t="s">
        <v>0</v>
      </c>
    </row>
    <row r="627" spans="2:11" x14ac:dyDescent="0.25">
      <c r="B627" s="139">
        <v>718134321</v>
      </c>
      <c r="C627" s="139" t="s">
        <v>73</v>
      </c>
      <c r="D627" s="142">
        <v>45695.854636840297</v>
      </c>
      <c r="E627" s="139" t="s">
        <v>429</v>
      </c>
      <c r="F627" s="162" t="s">
        <v>531</v>
      </c>
      <c r="G627" s="33" t="str">
        <f>IFERROR(INDEX([1]Positions!$A:$A,MATCH(F627,[1]Positions!$C:$C,0)),"Other")</f>
        <v>Consumer Defensive</v>
      </c>
      <c r="H627" s="33" t="b">
        <f t="shared" si="18"/>
        <v>1</v>
      </c>
      <c r="I627" s="33" t="str">
        <f t="shared" si="19"/>
        <v>2025-02-07</v>
      </c>
      <c r="J627" s="145">
        <v>-10.49</v>
      </c>
      <c r="K627" s="159" t="s">
        <v>0</v>
      </c>
    </row>
    <row r="628" spans="2:11" x14ac:dyDescent="0.25">
      <c r="B628" s="130">
        <v>718134914</v>
      </c>
      <c r="C628" s="130" t="s">
        <v>73</v>
      </c>
      <c r="D628" s="133">
        <v>45695.855306770798</v>
      </c>
      <c r="E628" s="130" t="s">
        <v>430</v>
      </c>
      <c r="F628" s="161" t="s">
        <v>538</v>
      </c>
      <c r="G628" s="33" t="str">
        <f>IFERROR(INDEX([1]Positions!$A:$A,MATCH(F628,[1]Positions!$C:$C,0)),"Other")</f>
        <v>Energy &amp; Utilities</v>
      </c>
      <c r="H628" s="33" t="b">
        <f t="shared" si="18"/>
        <v>1</v>
      </c>
      <c r="I628" s="33" t="str">
        <f t="shared" si="19"/>
        <v>2025-02-07</v>
      </c>
      <c r="J628" s="147">
        <v>-10</v>
      </c>
      <c r="K628" s="159" t="s">
        <v>0</v>
      </c>
    </row>
    <row r="629" spans="2:11" x14ac:dyDescent="0.25">
      <c r="B629" s="139">
        <v>718135708</v>
      </c>
      <c r="C629" s="139" t="s">
        <v>73</v>
      </c>
      <c r="D629" s="142">
        <v>45695.856199513903</v>
      </c>
      <c r="E629" s="139" t="s">
        <v>431</v>
      </c>
      <c r="F629" s="162" t="s">
        <v>521</v>
      </c>
      <c r="G629" s="33" t="str">
        <f>IFERROR(INDEX([1]Positions!$A:$A,MATCH(F629,[1]Positions!$C:$C,0)),"Other")</f>
        <v>Technology</v>
      </c>
      <c r="H629" s="33" t="b">
        <f t="shared" si="18"/>
        <v>1</v>
      </c>
      <c r="I629" s="33" t="str">
        <f t="shared" si="19"/>
        <v>2025-02-07</v>
      </c>
      <c r="J629" s="145">
        <v>-10.98</v>
      </c>
      <c r="K629" s="159" t="s">
        <v>0</v>
      </c>
    </row>
    <row r="630" spans="2:11" x14ac:dyDescent="0.25">
      <c r="B630" s="130">
        <v>718137014</v>
      </c>
      <c r="C630" s="130" t="s">
        <v>73</v>
      </c>
      <c r="D630" s="133">
        <v>45695.857924097203</v>
      </c>
      <c r="E630" s="130" t="s">
        <v>432</v>
      </c>
      <c r="F630" s="161" t="s">
        <v>517</v>
      </c>
      <c r="G630" s="33" t="str">
        <f>IFERROR(INDEX([1]Positions!$A:$A,MATCH(F630,[1]Positions!$C:$C,0)),"Other")</f>
        <v>Technology</v>
      </c>
      <c r="H630" s="33" t="b">
        <f t="shared" si="18"/>
        <v>1</v>
      </c>
      <c r="I630" s="33" t="str">
        <f t="shared" si="19"/>
        <v>2025-02-07</v>
      </c>
      <c r="J630" s="147">
        <v>-10</v>
      </c>
      <c r="K630" s="159" t="s">
        <v>0</v>
      </c>
    </row>
    <row r="631" spans="2:11" x14ac:dyDescent="0.25">
      <c r="B631" s="139">
        <v>719025187</v>
      </c>
      <c r="C631" s="139" t="s">
        <v>116</v>
      </c>
      <c r="D631" s="142">
        <v>45698.623704652797</v>
      </c>
      <c r="E631" s="139" t="s">
        <v>840</v>
      </c>
      <c r="F631" s="162" t="s">
        <v>527</v>
      </c>
      <c r="G631" s="33" t="str">
        <f>IFERROR(INDEX([1]Positions!$A:$A,MATCH(F631,[1]Positions!$C:$C,0)),"Other")</f>
        <v>Consumer Cyclical</v>
      </c>
      <c r="H631" s="33" t="b">
        <f t="shared" si="18"/>
        <v>1</v>
      </c>
      <c r="I631" s="33" t="str">
        <f t="shared" si="19"/>
        <v>2025-02-10</v>
      </c>
      <c r="J631" s="148">
        <v>0</v>
      </c>
      <c r="K631" s="159" t="s">
        <v>0</v>
      </c>
    </row>
    <row r="632" spans="2:11" x14ac:dyDescent="0.25">
      <c r="B632" s="130">
        <v>720418557</v>
      </c>
      <c r="C632" s="130" t="s">
        <v>73</v>
      </c>
      <c r="D632" s="133">
        <v>45699.851522013902</v>
      </c>
      <c r="E632" s="130" t="s">
        <v>433</v>
      </c>
      <c r="F632" s="161" t="s">
        <v>542</v>
      </c>
      <c r="G632" s="33" t="str">
        <f>IFERROR(INDEX([1]Positions!$A:$A,MATCH(F632,[1]Positions!$C:$C,0)),"Other")</f>
        <v>Energy &amp; Utilities</v>
      </c>
      <c r="H632" s="33" t="b">
        <f t="shared" si="18"/>
        <v>1</v>
      </c>
      <c r="I632" s="33" t="str">
        <f t="shared" si="19"/>
        <v>2025-02-11</v>
      </c>
      <c r="J632" s="147">
        <v>-10</v>
      </c>
      <c r="K632" s="159" t="s">
        <v>0</v>
      </c>
    </row>
    <row r="633" spans="2:11" x14ac:dyDescent="0.25">
      <c r="B633" s="139">
        <v>721917858</v>
      </c>
      <c r="C633" s="139" t="s">
        <v>69</v>
      </c>
      <c r="D633" s="142">
        <v>45701.4994527546</v>
      </c>
      <c r="E633" s="139" t="s">
        <v>808</v>
      </c>
      <c r="F633" s="162" t="s">
        <v>528</v>
      </c>
      <c r="G633" s="33" t="str">
        <f>IFERROR(INDEX([1]Positions!$A:$A,MATCH(F633,[1]Positions!$C:$C,0)),"Other")</f>
        <v>Technology</v>
      </c>
      <c r="H633" s="33" t="b">
        <f t="shared" si="18"/>
        <v>1</v>
      </c>
      <c r="I633" s="33" t="str">
        <f t="shared" si="19"/>
        <v>2025-02-13</v>
      </c>
      <c r="J633" s="148">
        <v>0.01</v>
      </c>
      <c r="K633" s="159" t="s">
        <v>0</v>
      </c>
    </row>
    <row r="634" spans="2:11" x14ac:dyDescent="0.25">
      <c r="B634" s="130">
        <v>721966505</v>
      </c>
      <c r="C634" s="130" t="s">
        <v>69</v>
      </c>
      <c r="D634" s="133">
        <v>45701.499516759301</v>
      </c>
      <c r="E634" s="130" t="s">
        <v>808</v>
      </c>
      <c r="F634" s="161" t="s">
        <v>528</v>
      </c>
      <c r="G634" s="33" t="str">
        <f>IFERROR(INDEX([1]Positions!$A:$A,MATCH(F634,[1]Positions!$C:$C,0)),"Other")</f>
        <v>Technology</v>
      </c>
      <c r="H634" s="33" t="b">
        <f t="shared" si="18"/>
        <v>1</v>
      </c>
      <c r="I634" s="33" t="str">
        <f t="shared" si="19"/>
        <v>2025-02-13</v>
      </c>
      <c r="J634" s="136">
        <v>0.02</v>
      </c>
      <c r="K634" s="159" t="s">
        <v>0</v>
      </c>
    </row>
    <row r="635" spans="2:11" x14ac:dyDescent="0.25">
      <c r="B635" s="139">
        <v>721966506</v>
      </c>
      <c r="C635" s="139" t="s">
        <v>70</v>
      </c>
      <c r="D635" s="142">
        <v>45701.499516770797</v>
      </c>
      <c r="E635" s="139" t="s">
        <v>809</v>
      </c>
      <c r="F635" s="162" t="s">
        <v>528</v>
      </c>
      <c r="G635" s="33" t="str">
        <f>IFERROR(INDEX([1]Positions!$A:$A,MATCH(F635,[1]Positions!$C:$C,0)),"Other")</f>
        <v>Technology</v>
      </c>
      <c r="H635" s="33" t="b">
        <f t="shared" si="18"/>
        <v>1</v>
      </c>
      <c r="I635" s="33" t="str">
        <f t="shared" si="19"/>
        <v>2025-02-13</v>
      </c>
      <c r="J635" s="145">
        <v>-0.01</v>
      </c>
      <c r="K635" s="159" t="s">
        <v>0</v>
      </c>
    </row>
    <row r="636" spans="2:11" x14ac:dyDescent="0.25">
      <c r="B636" s="130">
        <v>722084649</v>
      </c>
      <c r="C636" s="130" t="s">
        <v>69</v>
      </c>
      <c r="D636" s="133">
        <v>45701.499659155103</v>
      </c>
      <c r="E636" s="130" t="s">
        <v>808</v>
      </c>
      <c r="F636" s="161" t="s">
        <v>528</v>
      </c>
      <c r="G636" s="33" t="str">
        <f>IFERROR(INDEX([1]Positions!$A:$A,MATCH(F636,[1]Positions!$C:$C,0)),"Other")</f>
        <v>Technology</v>
      </c>
      <c r="H636" s="33" t="b">
        <f t="shared" si="18"/>
        <v>1</v>
      </c>
      <c r="I636" s="33" t="str">
        <f t="shared" si="19"/>
        <v>2025-02-13</v>
      </c>
      <c r="J636" s="136">
        <v>0.02</v>
      </c>
      <c r="K636" s="159" t="s">
        <v>0</v>
      </c>
    </row>
    <row r="637" spans="2:11" x14ac:dyDescent="0.25">
      <c r="B637" s="139">
        <v>722084650</v>
      </c>
      <c r="C637" s="139" t="s">
        <v>70</v>
      </c>
      <c r="D637" s="142">
        <v>45701.499659155103</v>
      </c>
      <c r="E637" s="139" t="s">
        <v>809</v>
      </c>
      <c r="F637" s="162" t="s">
        <v>528</v>
      </c>
      <c r="G637" s="33" t="str">
        <f>IFERROR(INDEX([1]Positions!$A:$A,MATCH(F637,[1]Positions!$C:$C,0)),"Other")</f>
        <v>Technology</v>
      </c>
      <c r="H637" s="33" t="b">
        <f t="shared" si="18"/>
        <v>1</v>
      </c>
      <c r="I637" s="33" t="str">
        <f t="shared" si="19"/>
        <v>2025-02-13</v>
      </c>
      <c r="J637" s="145">
        <v>-0.01</v>
      </c>
      <c r="K637" s="159" t="s">
        <v>0</v>
      </c>
    </row>
    <row r="638" spans="2:11" ht="42" x14ac:dyDescent="0.25">
      <c r="B638" s="130">
        <v>722789984</v>
      </c>
      <c r="C638" s="130" t="s">
        <v>71</v>
      </c>
      <c r="D638" s="133">
        <v>45702.186249791703</v>
      </c>
      <c r="E638" s="130" t="s">
        <v>434</v>
      </c>
      <c r="F638" s="161"/>
      <c r="G638" s="33" t="str">
        <f>IFERROR(INDEX([1]Positions!$A:$A,MATCH(F638,[1]Positions!$C:$C,0)),"Other")</f>
        <v>Other</v>
      </c>
      <c r="H638" s="33" t="b">
        <f t="shared" si="18"/>
        <v>1</v>
      </c>
      <c r="I638" s="33" t="str">
        <f t="shared" si="19"/>
        <v>2025-02-14</v>
      </c>
      <c r="J638" s="136">
        <v>85</v>
      </c>
      <c r="K638" s="159" t="s">
        <v>0</v>
      </c>
    </row>
    <row r="639" spans="2:11" x14ac:dyDescent="0.25">
      <c r="B639" s="139">
        <v>723423556</v>
      </c>
      <c r="C639" s="139" t="s">
        <v>77</v>
      </c>
      <c r="D639" s="142">
        <v>45702.561686516201</v>
      </c>
      <c r="E639" s="139" t="s">
        <v>435</v>
      </c>
      <c r="F639" s="162" t="s">
        <v>41</v>
      </c>
      <c r="G639" s="33" t="str">
        <f>IFERROR(INDEX([1]Positions!$A:$A,MATCH(F639,[1]Positions!$C:$C,0)),"Other")</f>
        <v>Other</v>
      </c>
      <c r="H639" s="33" t="b">
        <f t="shared" si="18"/>
        <v>1</v>
      </c>
      <c r="I639" s="33" t="str">
        <f t="shared" si="19"/>
        <v>2025-02-14</v>
      </c>
      <c r="J639" s="145">
        <v>-5.9</v>
      </c>
      <c r="K639" s="159" t="s">
        <v>0</v>
      </c>
    </row>
    <row r="640" spans="2:11" x14ac:dyDescent="0.25">
      <c r="B640" s="130">
        <v>724854002</v>
      </c>
      <c r="C640" s="130" t="s">
        <v>77</v>
      </c>
      <c r="D640" s="133">
        <v>45705.728663472197</v>
      </c>
      <c r="E640" s="130" t="s">
        <v>436</v>
      </c>
      <c r="F640" s="161" t="s">
        <v>41</v>
      </c>
      <c r="G640" s="33" t="str">
        <f>IFERROR(INDEX([1]Positions!$A:$A,MATCH(F640,[1]Positions!$C:$C,0)),"Other")</f>
        <v>Other</v>
      </c>
      <c r="H640" s="33" t="b">
        <f t="shared" si="18"/>
        <v>1</v>
      </c>
      <c r="I640" s="33" t="str">
        <f t="shared" si="19"/>
        <v>2025-02-17</v>
      </c>
      <c r="J640" s="147">
        <v>-4.92</v>
      </c>
      <c r="K640" s="159" t="s">
        <v>0</v>
      </c>
    </row>
    <row r="641" spans="2:11" x14ac:dyDescent="0.25">
      <c r="B641" s="139">
        <v>725610908</v>
      </c>
      <c r="C641" s="139" t="s">
        <v>77</v>
      </c>
      <c r="D641" s="142">
        <v>45706.652901967602</v>
      </c>
      <c r="E641" s="139" t="s">
        <v>437</v>
      </c>
      <c r="F641" s="162" t="s">
        <v>528</v>
      </c>
      <c r="G641" s="33" t="str">
        <f>IFERROR(INDEX([1]Positions!$A:$A,MATCH(F641,[1]Positions!$C:$C,0)),"Other")</f>
        <v>Technology</v>
      </c>
      <c r="H641" s="33" t="b">
        <f t="shared" si="18"/>
        <v>1</v>
      </c>
      <c r="I641" s="33" t="str">
        <f t="shared" si="19"/>
        <v>2025-02-18</v>
      </c>
      <c r="J641" s="148">
        <v>0.06</v>
      </c>
      <c r="K641" s="159" t="s">
        <v>0</v>
      </c>
    </row>
    <row r="642" spans="2:11" x14ac:dyDescent="0.25">
      <c r="B642" s="130">
        <v>725610909</v>
      </c>
      <c r="C642" s="130" t="s">
        <v>80</v>
      </c>
      <c r="D642" s="133">
        <v>45706.652901967602</v>
      </c>
      <c r="E642" s="130" t="s">
        <v>438</v>
      </c>
      <c r="F642" s="161" t="s">
        <v>528</v>
      </c>
      <c r="G642" s="33" t="str">
        <f>IFERROR(INDEX([1]Positions!$A:$A,MATCH(F642,[1]Positions!$C:$C,0)),"Other")</f>
        <v>Technology</v>
      </c>
      <c r="H642" s="33" t="b">
        <f t="shared" si="18"/>
        <v>1</v>
      </c>
      <c r="I642" s="33" t="str">
        <f t="shared" si="19"/>
        <v>2025-02-18</v>
      </c>
      <c r="J642" s="136">
        <v>0.96</v>
      </c>
      <c r="K642" s="159" t="s">
        <v>0</v>
      </c>
    </row>
    <row r="643" spans="2:11" x14ac:dyDescent="0.25">
      <c r="B643" s="139">
        <v>725610910</v>
      </c>
      <c r="C643" s="139" t="s">
        <v>77</v>
      </c>
      <c r="D643" s="142">
        <v>45706.6529019792</v>
      </c>
      <c r="E643" s="139" t="s">
        <v>439</v>
      </c>
      <c r="F643" s="162" t="s">
        <v>528</v>
      </c>
      <c r="G643" s="33" t="str">
        <f>IFERROR(INDEX([1]Positions!$A:$A,MATCH(F643,[1]Positions!$C:$C,0)),"Other")</f>
        <v>Technology</v>
      </c>
      <c r="H643" s="33" t="b">
        <f t="shared" si="18"/>
        <v>1</v>
      </c>
      <c r="I643" s="33" t="str">
        <f t="shared" si="19"/>
        <v>2025-02-18</v>
      </c>
      <c r="J643" s="148">
        <v>1.36</v>
      </c>
      <c r="K643" s="159" t="s">
        <v>0</v>
      </c>
    </row>
    <row r="644" spans="2:11" x14ac:dyDescent="0.25">
      <c r="B644" s="130">
        <v>725610911</v>
      </c>
      <c r="C644" s="130" t="s">
        <v>80</v>
      </c>
      <c r="D644" s="133">
        <v>45706.6529019792</v>
      </c>
      <c r="E644" s="130" t="s">
        <v>440</v>
      </c>
      <c r="F644" s="161" t="s">
        <v>528</v>
      </c>
      <c r="G644" s="33" t="str">
        <f>IFERROR(INDEX([1]Positions!$A:$A,MATCH(F644,[1]Positions!$C:$C,0)),"Other")</f>
        <v>Technology</v>
      </c>
      <c r="H644" s="33" t="b">
        <f t="shared" si="18"/>
        <v>1</v>
      </c>
      <c r="I644" s="33" t="str">
        <f t="shared" si="19"/>
        <v>2025-02-18</v>
      </c>
      <c r="J644" s="136">
        <v>14.83</v>
      </c>
      <c r="K644" s="159" t="s">
        <v>0</v>
      </c>
    </row>
    <row r="645" spans="2:11" x14ac:dyDescent="0.25">
      <c r="B645" s="139">
        <v>725610912</v>
      </c>
      <c r="C645" s="139" t="s">
        <v>77</v>
      </c>
      <c r="D645" s="142">
        <v>45706.652901990703</v>
      </c>
      <c r="E645" s="139" t="s">
        <v>441</v>
      </c>
      <c r="F645" s="162" t="s">
        <v>528</v>
      </c>
      <c r="G645" s="33" t="str">
        <f>IFERROR(INDEX([1]Positions!$A:$A,MATCH(F645,[1]Positions!$C:$C,0)),"Other")</f>
        <v>Technology</v>
      </c>
      <c r="H645" s="33" t="b">
        <f t="shared" si="18"/>
        <v>1</v>
      </c>
      <c r="I645" s="33" t="str">
        <f t="shared" si="19"/>
        <v>2025-02-18</v>
      </c>
      <c r="J645" s="148">
        <v>0.62</v>
      </c>
      <c r="K645" s="159" t="s">
        <v>0</v>
      </c>
    </row>
    <row r="646" spans="2:11" x14ac:dyDescent="0.25">
      <c r="B646" s="130">
        <v>725610913</v>
      </c>
      <c r="C646" s="130" t="s">
        <v>80</v>
      </c>
      <c r="D646" s="133">
        <v>45706.652901990703</v>
      </c>
      <c r="E646" s="130" t="s">
        <v>442</v>
      </c>
      <c r="F646" s="161" t="s">
        <v>528</v>
      </c>
      <c r="G646" s="33" t="str">
        <f>IFERROR(INDEX([1]Positions!$A:$A,MATCH(F646,[1]Positions!$C:$C,0)),"Other")</f>
        <v>Technology</v>
      </c>
      <c r="H646" s="33" t="b">
        <f t="shared" si="18"/>
        <v>1</v>
      </c>
      <c r="I646" s="33" t="str">
        <f t="shared" si="19"/>
        <v>2025-02-18</v>
      </c>
      <c r="J646" s="136">
        <v>12.96</v>
      </c>
      <c r="K646" s="159" t="s">
        <v>0</v>
      </c>
    </row>
    <row r="647" spans="2:11" x14ac:dyDescent="0.25">
      <c r="B647" s="139">
        <v>725610339</v>
      </c>
      <c r="C647" s="139" t="s">
        <v>77</v>
      </c>
      <c r="D647" s="142">
        <v>45706.652748298598</v>
      </c>
      <c r="E647" s="139" t="s">
        <v>437</v>
      </c>
      <c r="F647" s="162" t="s">
        <v>528</v>
      </c>
      <c r="G647" s="33" t="str">
        <f>IFERROR(INDEX([1]Positions!$A:$A,MATCH(F647,[1]Positions!$C:$C,0)),"Other")</f>
        <v>Technology</v>
      </c>
      <c r="H647" s="33" t="b">
        <f t="shared" si="18"/>
        <v>1</v>
      </c>
      <c r="I647" s="33" t="str">
        <f t="shared" si="19"/>
        <v>2025-02-18</v>
      </c>
      <c r="J647" s="148">
        <v>0.97</v>
      </c>
      <c r="K647" s="159" t="s">
        <v>0</v>
      </c>
    </row>
    <row r="648" spans="2:11" x14ac:dyDescent="0.25">
      <c r="B648" s="130">
        <v>725610340</v>
      </c>
      <c r="C648" s="130" t="s">
        <v>80</v>
      </c>
      <c r="D648" s="133">
        <v>45706.652748310204</v>
      </c>
      <c r="E648" s="130" t="s">
        <v>443</v>
      </c>
      <c r="F648" s="161" t="s">
        <v>528</v>
      </c>
      <c r="G648" s="33" t="str">
        <f>IFERROR(INDEX([1]Positions!$A:$A,MATCH(F648,[1]Positions!$C:$C,0)),"Other")</f>
        <v>Technology</v>
      </c>
      <c r="H648" s="33" t="b">
        <f t="shared" si="18"/>
        <v>1</v>
      </c>
      <c r="I648" s="33" t="str">
        <f t="shared" si="19"/>
        <v>2025-02-18</v>
      </c>
      <c r="J648" s="136">
        <v>14.03</v>
      </c>
      <c r="K648" s="159" t="s">
        <v>0</v>
      </c>
    </row>
    <row r="649" spans="2:11" x14ac:dyDescent="0.25">
      <c r="B649" s="139">
        <v>725970924</v>
      </c>
      <c r="C649" s="139" t="s">
        <v>73</v>
      </c>
      <c r="D649" s="142">
        <v>45706.870268344901</v>
      </c>
      <c r="E649" s="139" t="s">
        <v>444</v>
      </c>
      <c r="F649" s="162" t="s">
        <v>535</v>
      </c>
      <c r="G649" s="33" t="str">
        <f>IFERROR(INDEX([1]Positions!$A:$A,MATCH(F649,[1]Positions!$C:$C,0)),"Other")</f>
        <v>Consumer Defensive</v>
      </c>
      <c r="H649" s="33" t="b">
        <f t="shared" si="18"/>
        <v>1</v>
      </c>
      <c r="I649" s="33" t="str">
        <f t="shared" si="19"/>
        <v>2025-02-18</v>
      </c>
      <c r="J649" s="145">
        <v>-20.65</v>
      </c>
      <c r="K649" s="159" t="s">
        <v>0</v>
      </c>
    </row>
    <row r="650" spans="2:11" x14ac:dyDescent="0.25">
      <c r="B650" s="130">
        <v>725971691</v>
      </c>
      <c r="C650" s="130" t="s">
        <v>73</v>
      </c>
      <c r="D650" s="133">
        <v>45706.871214236096</v>
      </c>
      <c r="E650" s="130" t="s">
        <v>445</v>
      </c>
      <c r="F650" s="161" t="s">
        <v>516</v>
      </c>
      <c r="G650" s="33" t="str">
        <f>IFERROR(INDEX([1]Positions!$A:$A,MATCH(F650,[1]Positions!$C:$C,0)),"Other")</f>
        <v>Energy &amp; Utilities</v>
      </c>
      <c r="H650" s="33" t="b">
        <f t="shared" si="18"/>
        <v>1</v>
      </c>
      <c r="I650" s="33" t="str">
        <f t="shared" si="19"/>
        <v>2025-02-18</v>
      </c>
      <c r="J650" s="147">
        <v>-20</v>
      </c>
      <c r="K650" s="159" t="s">
        <v>0</v>
      </c>
    </row>
    <row r="651" spans="2:11" x14ac:dyDescent="0.25">
      <c r="B651" s="139">
        <v>726975241</v>
      </c>
      <c r="C651" s="139" t="s">
        <v>116</v>
      </c>
      <c r="D651" s="142">
        <v>45707.726338402797</v>
      </c>
      <c r="E651" s="139" t="s">
        <v>841</v>
      </c>
      <c r="F651" s="162" t="s">
        <v>528</v>
      </c>
      <c r="G651" s="33" t="str">
        <f>IFERROR(INDEX([1]Positions!$A:$A,MATCH(F651,[1]Positions!$C:$C,0)),"Other")</f>
        <v>Technology</v>
      </c>
      <c r="H651" s="33" t="b">
        <f t="shared" si="18"/>
        <v>1</v>
      </c>
      <c r="I651" s="33" t="str">
        <f t="shared" si="19"/>
        <v>2025-02-19</v>
      </c>
      <c r="J651" s="148">
        <v>0</v>
      </c>
      <c r="K651" s="159" t="s">
        <v>0</v>
      </c>
    </row>
    <row r="652" spans="2:11" x14ac:dyDescent="0.25">
      <c r="B652" s="130">
        <v>727909376</v>
      </c>
      <c r="C652" s="130" t="s">
        <v>73</v>
      </c>
      <c r="D652" s="133">
        <v>45708.679968518503</v>
      </c>
      <c r="E652" s="130" t="s">
        <v>446</v>
      </c>
      <c r="F652" s="161" t="s">
        <v>537</v>
      </c>
      <c r="G652" s="33" t="str">
        <f>IFERROR(INDEX([1]Positions!$A:$A,MATCH(F652,[1]Positions!$C:$C,0)),"Other")</f>
        <v>Energy &amp; Utilities</v>
      </c>
      <c r="H652" s="33" t="b">
        <f t="shared" ref="H652:H715" si="20">ISNUMBER(D652)</f>
        <v>1</v>
      </c>
      <c r="I652" s="33" t="str">
        <f t="shared" ref="I652:I715" si="21">TEXT(D652,"YYYY-MM-DD")</f>
        <v>2025-02-20</v>
      </c>
      <c r="J652" s="147">
        <v>-14.98</v>
      </c>
      <c r="K652" s="159" t="s">
        <v>0</v>
      </c>
    </row>
    <row r="653" spans="2:11" x14ac:dyDescent="0.25">
      <c r="B653" s="139">
        <v>727910108</v>
      </c>
      <c r="C653" s="139" t="s">
        <v>73</v>
      </c>
      <c r="D653" s="142">
        <v>45708.680226354198</v>
      </c>
      <c r="E653" s="139" t="s">
        <v>447</v>
      </c>
      <c r="F653" s="162" t="s">
        <v>533</v>
      </c>
      <c r="G653" s="33" t="str">
        <f>IFERROR(INDEX([1]Positions!$A:$A,MATCH(F653,[1]Positions!$C:$C,0)),"Other")</f>
        <v>Energy &amp; Utilities</v>
      </c>
      <c r="H653" s="33" t="b">
        <f t="shared" si="20"/>
        <v>1</v>
      </c>
      <c r="I653" s="33" t="str">
        <f t="shared" si="21"/>
        <v>2025-02-20</v>
      </c>
      <c r="J653" s="145">
        <v>-10</v>
      </c>
      <c r="K653" s="159" t="s">
        <v>0</v>
      </c>
    </row>
    <row r="654" spans="2:11" x14ac:dyDescent="0.25">
      <c r="B654" s="130">
        <v>727913673</v>
      </c>
      <c r="C654" s="130" t="s">
        <v>73</v>
      </c>
      <c r="D654" s="133">
        <v>45708.681653009298</v>
      </c>
      <c r="E654" s="130" t="s">
        <v>448</v>
      </c>
      <c r="F654" s="161" t="s">
        <v>529</v>
      </c>
      <c r="G654" s="33" t="str">
        <f>IFERROR(INDEX([1]Positions!$A:$A,MATCH(F654,[1]Positions!$C:$C,0)),"Other")</f>
        <v>Financial Services</v>
      </c>
      <c r="H654" s="33" t="b">
        <f t="shared" si="20"/>
        <v>1</v>
      </c>
      <c r="I654" s="33" t="str">
        <f t="shared" si="21"/>
        <v>2025-02-20</v>
      </c>
      <c r="J654" s="147">
        <v>-2.82</v>
      </c>
      <c r="K654" s="159" t="s">
        <v>0</v>
      </c>
    </row>
    <row r="655" spans="2:11" x14ac:dyDescent="0.25">
      <c r="B655" s="139">
        <v>727914573</v>
      </c>
      <c r="C655" s="139" t="s">
        <v>73</v>
      </c>
      <c r="D655" s="142">
        <v>45708.6820709491</v>
      </c>
      <c r="E655" s="139" t="s">
        <v>449</v>
      </c>
      <c r="F655" s="162" t="s">
        <v>542</v>
      </c>
      <c r="G655" s="33" t="str">
        <f>IFERROR(INDEX([1]Positions!$A:$A,MATCH(F655,[1]Positions!$C:$C,0)),"Other")</f>
        <v>Energy &amp; Utilities</v>
      </c>
      <c r="H655" s="33" t="b">
        <f t="shared" si="20"/>
        <v>1</v>
      </c>
      <c r="I655" s="33" t="str">
        <f t="shared" si="21"/>
        <v>2025-02-20</v>
      </c>
      <c r="J655" s="145">
        <v>-9.99</v>
      </c>
      <c r="K655" s="159" t="s">
        <v>0</v>
      </c>
    </row>
    <row r="656" spans="2:11" x14ac:dyDescent="0.25">
      <c r="B656" s="130">
        <v>727913035</v>
      </c>
      <c r="C656" s="130" t="s">
        <v>73</v>
      </c>
      <c r="D656" s="133">
        <v>45708.6813516088</v>
      </c>
      <c r="E656" s="130" t="s">
        <v>450</v>
      </c>
      <c r="F656" s="161" t="s">
        <v>536</v>
      </c>
      <c r="G656" s="33" t="str">
        <f>IFERROR(INDEX([1]Positions!$A:$A,MATCH(F656,[1]Positions!$C:$C,0)),"Other")</f>
        <v>Consumer Defensive</v>
      </c>
      <c r="H656" s="33" t="b">
        <f t="shared" si="20"/>
        <v>1</v>
      </c>
      <c r="I656" s="33" t="str">
        <f t="shared" si="21"/>
        <v>2025-02-20</v>
      </c>
      <c r="J656" s="147">
        <v>-19.98</v>
      </c>
      <c r="K656" s="159" t="s">
        <v>0</v>
      </c>
    </row>
    <row r="657" spans="2:11" x14ac:dyDescent="0.25">
      <c r="B657" s="139">
        <v>727913744</v>
      </c>
      <c r="C657" s="139" t="s">
        <v>73</v>
      </c>
      <c r="D657" s="142">
        <v>45708.681665324097</v>
      </c>
      <c r="E657" s="139" t="s">
        <v>451</v>
      </c>
      <c r="F657" s="162" t="s">
        <v>529</v>
      </c>
      <c r="G657" s="33" t="str">
        <f>IFERROR(INDEX([1]Positions!$A:$A,MATCH(F657,[1]Positions!$C:$C,0)),"Other")</f>
        <v>Financial Services</v>
      </c>
      <c r="H657" s="33" t="b">
        <f t="shared" si="20"/>
        <v>1</v>
      </c>
      <c r="I657" s="33" t="str">
        <f t="shared" si="21"/>
        <v>2025-02-20</v>
      </c>
      <c r="J657" s="145">
        <v>-17.18</v>
      </c>
      <c r="K657" s="159" t="s">
        <v>0</v>
      </c>
    </row>
    <row r="658" spans="2:11" x14ac:dyDescent="0.25">
      <c r="B658" s="130">
        <v>728514779</v>
      </c>
      <c r="C658" s="130" t="s">
        <v>69</v>
      </c>
      <c r="D658" s="133">
        <v>45709.497223182902</v>
      </c>
      <c r="E658" s="130" t="s">
        <v>842</v>
      </c>
      <c r="F658" s="161" t="s">
        <v>538</v>
      </c>
      <c r="G658" s="33" t="str">
        <f>IFERROR(INDEX([1]Positions!$A:$A,MATCH(F658,[1]Positions!$C:$C,0)),"Other")</f>
        <v>Energy &amp; Utilities</v>
      </c>
      <c r="H658" s="33" t="b">
        <f t="shared" si="20"/>
        <v>1</v>
      </c>
      <c r="I658" s="33" t="str">
        <f t="shared" si="21"/>
        <v>2025-02-21</v>
      </c>
      <c r="J658" s="136">
        <v>0.23</v>
      </c>
      <c r="K658" s="159" t="s">
        <v>0</v>
      </c>
    </row>
    <row r="659" spans="2:11" x14ac:dyDescent="0.25">
      <c r="B659" s="139">
        <v>728514780</v>
      </c>
      <c r="C659" s="139" t="s">
        <v>70</v>
      </c>
      <c r="D659" s="142">
        <v>45709.497223182902</v>
      </c>
      <c r="E659" s="139" t="s">
        <v>843</v>
      </c>
      <c r="F659" s="162" t="s">
        <v>538</v>
      </c>
      <c r="G659" s="33" t="str">
        <f>IFERROR(INDEX([1]Positions!$A:$A,MATCH(F659,[1]Positions!$C:$C,0)),"Other")</f>
        <v>Energy &amp; Utilities</v>
      </c>
      <c r="H659" s="33" t="b">
        <f t="shared" si="20"/>
        <v>1</v>
      </c>
      <c r="I659" s="33" t="str">
        <f t="shared" si="21"/>
        <v>2025-02-21</v>
      </c>
      <c r="J659" s="145">
        <v>-7.0000000000000007E-2</v>
      </c>
      <c r="K659" s="159" t="s">
        <v>0</v>
      </c>
    </row>
    <row r="660" spans="2:11" x14ac:dyDescent="0.25">
      <c r="B660" s="130">
        <v>728515262</v>
      </c>
      <c r="C660" s="130" t="s">
        <v>69</v>
      </c>
      <c r="D660" s="133">
        <v>45709.497223749997</v>
      </c>
      <c r="E660" s="130" t="s">
        <v>842</v>
      </c>
      <c r="F660" s="161" t="s">
        <v>538</v>
      </c>
      <c r="G660" s="33" t="str">
        <f>IFERROR(INDEX([1]Positions!$A:$A,MATCH(F660,[1]Positions!$C:$C,0)),"Other")</f>
        <v>Energy &amp; Utilities</v>
      </c>
      <c r="H660" s="33" t="b">
        <f t="shared" si="20"/>
        <v>1</v>
      </c>
      <c r="I660" s="33" t="str">
        <f t="shared" si="21"/>
        <v>2025-02-21</v>
      </c>
      <c r="J660" s="136">
        <v>0.1</v>
      </c>
      <c r="K660" s="159" t="s">
        <v>0</v>
      </c>
    </row>
    <row r="661" spans="2:11" x14ac:dyDescent="0.25">
      <c r="B661" s="139">
        <v>728515263</v>
      </c>
      <c r="C661" s="139" t="s">
        <v>70</v>
      </c>
      <c r="D661" s="142">
        <v>45709.497223749997</v>
      </c>
      <c r="E661" s="139" t="s">
        <v>843</v>
      </c>
      <c r="F661" s="162" t="s">
        <v>538</v>
      </c>
      <c r="G661" s="33" t="str">
        <f>IFERROR(INDEX([1]Positions!$A:$A,MATCH(F661,[1]Positions!$C:$C,0)),"Other")</f>
        <v>Energy &amp; Utilities</v>
      </c>
      <c r="H661" s="33" t="b">
        <f t="shared" si="20"/>
        <v>1</v>
      </c>
      <c r="I661" s="33" t="str">
        <f t="shared" si="21"/>
        <v>2025-02-21</v>
      </c>
      <c r="J661" s="145">
        <v>-0.03</v>
      </c>
      <c r="K661" s="159" t="s">
        <v>0</v>
      </c>
    </row>
    <row r="662" spans="2:11" x14ac:dyDescent="0.25">
      <c r="B662" s="130">
        <v>728515432</v>
      </c>
      <c r="C662" s="130" t="s">
        <v>69</v>
      </c>
      <c r="D662" s="133">
        <v>45709.4972239583</v>
      </c>
      <c r="E662" s="130" t="s">
        <v>842</v>
      </c>
      <c r="F662" s="161" t="s">
        <v>538</v>
      </c>
      <c r="G662" s="33" t="str">
        <f>IFERROR(INDEX([1]Positions!$A:$A,MATCH(F662,[1]Positions!$C:$C,0)),"Other")</f>
        <v>Energy &amp; Utilities</v>
      </c>
      <c r="H662" s="33" t="b">
        <f t="shared" si="20"/>
        <v>1</v>
      </c>
      <c r="I662" s="33" t="str">
        <f t="shared" si="21"/>
        <v>2025-02-21</v>
      </c>
      <c r="J662" s="136">
        <v>0.12</v>
      </c>
      <c r="K662" s="159" t="s">
        <v>0</v>
      </c>
    </row>
    <row r="663" spans="2:11" x14ac:dyDescent="0.25">
      <c r="B663" s="139">
        <v>728515433</v>
      </c>
      <c r="C663" s="139" t="s">
        <v>70</v>
      </c>
      <c r="D663" s="142">
        <v>45709.497223969898</v>
      </c>
      <c r="E663" s="139" t="s">
        <v>843</v>
      </c>
      <c r="F663" s="162" t="s">
        <v>538</v>
      </c>
      <c r="G663" s="33" t="str">
        <f>IFERROR(INDEX([1]Positions!$A:$A,MATCH(F663,[1]Positions!$C:$C,0)),"Other")</f>
        <v>Energy &amp; Utilities</v>
      </c>
      <c r="H663" s="33" t="b">
        <f t="shared" si="20"/>
        <v>1</v>
      </c>
      <c r="I663" s="33" t="str">
        <f t="shared" si="21"/>
        <v>2025-02-21</v>
      </c>
      <c r="J663" s="145">
        <v>-0.04</v>
      </c>
      <c r="K663" s="159" t="s">
        <v>0</v>
      </c>
    </row>
    <row r="664" spans="2:11" x14ac:dyDescent="0.25">
      <c r="B664" s="130">
        <v>795444603</v>
      </c>
      <c r="C664" s="130" t="s">
        <v>69</v>
      </c>
      <c r="D664" s="133">
        <v>45777.488246562498</v>
      </c>
      <c r="E664" s="130" t="s">
        <v>823</v>
      </c>
      <c r="F664" s="161" t="s">
        <v>532</v>
      </c>
      <c r="G664" s="33" t="str">
        <f>IFERROR(INDEX([1]Positions!$A:$A,MATCH(F664,[1]Positions!$C:$C,0)),"Other")</f>
        <v>Consumer Defensive</v>
      </c>
      <c r="H664" s="33" t="b">
        <f t="shared" si="20"/>
        <v>1</v>
      </c>
      <c r="I664" s="33" t="str">
        <f t="shared" si="21"/>
        <v>2025-04-30</v>
      </c>
      <c r="J664" s="136">
        <v>0.38</v>
      </c>
      <c r="K664" s="159" t="s">
        <v>0</v>
      </c>
    </row>
    <row r="665" spans="2:11" x14ac:dyDescent="0.25">
      <c r="B665" s="139">
        <v>795444604</v>
      </c>
      <c r="C665" s="139" t="s">
        <v>70</v>
      </c>
      <c r="D665" s="142">
        <v>45777.488246562498</v>
      </c>
      <c r="E665" s="139" t="s">
        <v>824</v>
      </c>
      <c r="F665" s="162" t="s">
        <v>532</v>
      </c>
      <c r="G665" s="33" t="str">
        <f>IFERROR(INDEX([1]Positions!$A:$A,MATCH(F665,[1]Positions!$C:$C,0)),"Other")</f>
        <v>Consumer Defensive</v>
      </c>
      <c r="H665" s="33" t="b">
        <f t="shared" si="20"/>
        <v>1</v>
      </c>
      <c r="I665" s="33" t="str">
        <f t="shared" si="21"/>
        <v>2025-04-30</v>
      </c>
      <c r="J665" s="145">
        <v>-0.11</v>
      </c>
      <c r="K665" s="159" t="s">
        <v>0</v>
      </c>
    </row>
    <row r="666" spans="2:11" x14ac:dyDescent="0.25">
      <c r="B666" s="130">
        <v>795449894</v>
      </c>
      <c r="C666" s="130" t="s">
        <v>69</v>
      </c>
      <c r="D666" s="133">
        <v>45777.488252615702</v>
      </c>
      <c r="E666" s="130" t="s">
        <v>823</v>
      </c>
      <c r="F666" s="161" t="s">
        <v>532</v>
      </c>
      <c r="G666" s="33" t="str">
        <f>IFERROR(INDEX([1]Positions!$A:$A,MATCH(F666,[1]Positions!$C:$C,0)),"Other")</f>
        <v>Consumer Defensive</v>
      </c>
      <c r="H666" s="33" t="b">
        <f t="shared" si="20"/>
        <v>1</v>
      </c>
      <c r="I666" s="33" t="str">
        <f t="shared" si="21"/>
        <v>2025-04-30</v>
      </c>
      <c r="J666" s="136">
        <v>0.7</v>
      </c>
      <c r="K666" s="159" t="s">
        <v>0</v>
      </c>
    </row>
    <row r="667" spans="2:11" x14ac:dyDescent="0.25">
      <c r="B667" s="139">
        <v>795449895</v>
      </c>
      <c r="C667" s="139" t="s">
        <v>70</v>
      </c>
      <c r="D667" s="142">
        <v>45777.488252615702</v>
      </c>
      <c r="E667" s="139" t="s">
        <v>824</v>
      </c>
      <c r="F667" s="162" t="s">
        <v>532</v>
      </c>
      <c r="G667" s="33" t="str">
        <f>IFERROR(INDEX([1]Positions!$A:$A,MATCH(F667,[1]Positions!$C:$C,0)),"Other")</f>
        <v>Consumer Defensive</v>
      </c>
      <c r="H667" s="33" t="b">
        <f t="shared" si="20"/>
        <v>1</v>
      </c>
      <c r="I667" s="33" t="str">
        <f t="shared" si="21"/>
        <v>2025-04-30</v>
      </c>
      <c r="J667" s="145">
        <v>-0.21</v>
      </c>
      <c r="K667" s="159" t="s">
        <v>0</v>
      </c>
    </row>
    <row r="668" spans="2:11" x14ac:dyDescent="0.25">
      <c r="B668" s="130">
        <v>795479623</v>
      </c>
      <c r="C668" s="130" t="s">
        <v>69</v>
      </c>
      <c r="D668" s="133">
        <v>45777.488281319398</v>
      </c>
      <c r="E668" s="130" t="s">
        <v>823</v>
      </c>
      <c r="F668" s="161" t="s">
        <v>532</v>
      </c>
      <c r="G668" s="33" t="str">
        <f>IFERROR(INDEX([1]Positions!$A:$A,MATCH(F668,[1]Positions!$C:$C,0)),"Other")</f>
        <v>Consumer Defensive</v>
      </c>
      <c r="H668" s="33" t="b">
        <f t="shared" si="20"/>
        <v>1</v>
      </c>
      <c r="I668" s="33" t="str">
        <f t="shared" si="21"/>
        <v>2025-04-30</v>
      </c>
      <c r="J668" s="136">
        <v>0.4</v>
      </c>
      <c r="K668" s="159" t="s">
        <v>0</v>
      </c>
    </row>
    <row r="669" spans="2:11" x14ac:dyDescent="0.25">
      <c r="B669" s="139">
        <v>795479624</v>
      </c>
      <c r="C669" s="139" t="s">
        <v>70</v>
      </c>
      <c r="D669" s="142">
        <v>45777.488281331003</v>
      </c>
      <c r="E669" s="139" t="s">
        <v>824</v>
      </c>
      <c r="F669" s="162" t="s">
        <v>532</v>
      </c>
      <c r="G669" s="33" t="str">
        <f>IFERROR(INDEX([1]Positions!$A:$A,MATCH(F669,[1]Positions!$C:$C,0)),"Other")</f>
        <v>Consumer Defensive</v>
      </c>
      <c r="H669" s="33" t="b">
        <f t="shared" si="20"/>
        <v>1</v>
      </c>
      <c r="I669" s="33" t="str">
        <f t="shared" si="21"/>
        <v>2025-04-30</v>
      </c>
      <c r="J669" s="145">
        <v>-0.12</v>
      </c>
      <c r="K669" s="159" t="s">
        <v>0</v>
      </c>
    </row>
    <row r="670" spans="2:11" x14ac:dyDescent="0.25">
      <c r="B670" s="130">
        <v>795480415</v>
      </c>
      <c r="C670" s="130" t="s">
        <v>69</v>
      </c>
      <c r="D670" s="133">
        <v>45777.488282083301</v>
      </c>
      <c r="E670" s="130" t="s">
        <v>823</v>
      </c>
      <c r="F670" s="161" t="s">
        <v>532</v>
      </c>
      <c r="G670" s="33" t="str">
        <f>IFERROR(INDEX([1]Positions!$A:$A,MATCH(F670,[1]Positions!$C:$C,0)),"Other")</f>
        <v>Consumer Defensive</v>
      </c>
      <c r="H670" s="33" t="b">
        <f t="shared" si="20"/>
        <v>1</v>
      </c>
      <c r="I670" s="33" t="str">
        <f t="shared" si="21"/>
        <v>2025-04-30</v>
      </c>
      <c r="J670" s="136">
        <v>0.28999999999999998</v>
      </c>
      <c r="K670" s="159" t="s">
        <v>0</v>
      </c>
    </row>
    <row r="671" spans="2:11" x14ac:dyDescent="0.25">
      <c r="B671" s="139">
        <v>795480416</v>
      </c>
      <c r="C671" s="139" t="s">
        <v>70</v>
      </c>
      <c r="D671" s="142">
        <v>45777.488282083301</v>
      </c>
      <c r="E671" s="139" t="s">
        <v>824</v>
      </c>
      <c r="F671" s="162" t="s">
        <v>532</v>
      </c>
      <c r="G671" s="33" t="str">
        <f>IFERROR(INDEX([1]Positions!$A:$A,MATCH(F671,[1]Positions!$C:$C,0)),"Other")</f>
        <v>Consumer Defensive</v>
      </c>
      <c r="H671" s="33" t="b">
        <f t="shared" si="20"/>
        <v>1</v>
      </c>
      <c r="I671" s="33" t="str">
        <f t="shared" si="21"/>
        <v>2025-04-30</v>
      </c>
      <c r="J671" s="145">
        <v>-0.09</v>
      </c>
      <c r="K671" s="159" t="s">
        <v>0</v>
      </c>
    </row>
    <row r="672" spans="2:11" x14ac:dyDescent="0.25">
      <c r="B672" s="130">
        <v>795876878</v>
      </c>
      <c r="C672" s="130" t="s">
        <v>73</v>
      </c>
      <c r="D672" s="133">
        <v>45777.646682326398</v>
      </c>
      <c r="E672" s="130" t="s">
        <v>452</v>
      </c>
      <c r="F672" s="161" t="s">
        <v>539</v>
      </c>
      <c r="G672" s="33" t="str">
        <f>IFERROR(INDEX([1]Positions!$A:$A,MATCH(F672,[1]Positions!$C:$C,0)),"Other")</f>
        <v>Financial Services</v>
      </c>
      <c r="H672" s="33" t="b">
        <f t="shared" si="20"/>
        <v>1</v>
      </c>
      <c r="I672" s="33" t="str">
        <f t="shared" si="21"/>
        <v>2025-04-30</v>
      </c>
      <c r="J672" s="147">
        <v>-10</v>
      </c>
      <c r="K672" s="159" t="s">
        <v>0</v>
      </c>
    </row>
    <row r="673" spans="2:11" x14ac:dyDescent="0.25">
      <c r="B673" s="139">
        <v>800672690</v>
      </c>
      <c r="C673" s="139" t="s">
        <v>77</v>
      </c>
      <c r="D673" s="142">
        <v>45782.676896863399</v>
      </c>
      <c r="E673" s="139" t="s">
        <v>453</v>
      </c>
      <c r="F673" s="162" t="s">
        <v>55</v>
      </c>
      <c r="G673" s="33" t="str">
        <f>IFERROR(INDEX([1]Positions!$A:$A,MATCH(F673,[1]Positions!$C:$C,0)),"Other")</f>
        <v>ETF</v>
      </c>
      <c r="H673" s="33" t="b">
        <f t="shared" si="20"/>
        <v>1</v>
      </c>
      <c r="I673" s="33" t="str">
        <f t="shared" si="21"/>
        <v>2025-05-05</v>
      </c>
      <c r="J673" s="145">
        <v>-1.57</v>
      </c>
      <c r="K673" s="159" t="s">
        <v>0</v>
      </c>
    </row>
    <row r="674" spans="2:11" x14ac:dyDescent="0.25">
      <c r="B674" s="130">
        <v>800672691</v>
      </c>
      <c r="C674" s="130" t="s">
        <v>80</v>
      </c>
      <c r="D674" s="133">
        <v>45782.676896863399</v>
      </c>
      <c r="E674" s="130" t="s">
        <v>454</v>
      </c>
      <c r="F674" s="161" t="s">
        <v>55</v>
      </c>
      <c r="G674" s="33" t="str">
        <f>IFERROR(INDEX([1]Positions!$A:$A,MATCH(F674,[1]Positions!$C:$C,0)),"Other")</f>
        <v>ETF</v>
      </c>
      <c r="H674" s="33" t="b">
        <f t="shared" si="20"/>
        <v>1</v>
      </c>
      <c r="I674" s="33" t="str">
        <f t="shared" si="21"/>
        <v>2025-05-05</v>
      </c>
      <c r="J674" s="136">
        <v>51.41</v>
      </c>
      <c r="K674" s="159" t="s">
        <v>0</v>
      </c>
    </row>
    <row r="675" spans="2:11" x14ac:dyDescent="0.25">
      <c r="B675" s="139">
        <v>800672692</v>
      </c>
      <c r="C675" s="139" t="s">
        <v>77</v>
      </c>
      <c r="D675" s="142">
        <v>45782.676896874997</v>
      </c>
      <c r="E675" s="139" t="s">
        <v>455</v>
      </c>
      <c r="F675" s="162" t="s">
        <v>55</v>
      </c>
      <c r="G675" s="33" t="str">
        <f>IFERROR(INDEX([1]Positions!$A:$A,MATCH(F675,[1]Positions!$C:$C,0)),"Other")</f>
        <v>ETF</v>
      </c>
      <c r="H675" s="33" t="b">
        <f t="shared" si="20"/>
        <v>1</v>
      </c>
      <c r="I675" s="33" t="str">
        <f t="shared" si="21"/>
        <v>2025-05-05</v>
      </c>
      <c r="J675" s="148">
        <v>8.7799999999999994</v>
      </c>
      <c r="K675" s="159" t="s">
        <v>0</v>
      </c>
    </row>
    <row r="676" spans="2:11" x14ac:dyDescent="0.25">
      <c r="B676" s="130">
        <v>800672693</v>
      </c>
      <c r="C676" s="130" t="s">
        <v>80</v>
      </c>
      <c r="D676" s="133">
        <v>45782.676896874997</v>
      </c>
      <c r="E676" s="130" t="s">
        <v>454</v>
      </c>
      <c r="F676" s="161" t="s">
        <v>55</v>
      </c>
      <c r="G676" s="33" t="str">
        <f>IFERROR(INDEX([1]Positions!$A:$A,MATCH(F676,[1]Positions!$C:$C,0)),"Other")</f>
        <v>ETF</v>
      </c>
      <c r="H676" s="33" t="b">
        <f t="shared" si="20"/>
        <v>1</v>
      </c>
      <c r="I676" s="33" t="str">
        <f t="shared" si="21"/>
        <v>2025-05-05</v>
      </c>
      <c r="J676" s="136">
        <v>41.06</v>
      </c>
      <c r="K676" s="159" t="s">
        <v>0</v>
      </c>
    </row>
    <row r="677" spans="2:11" x14ac:dyDescent="0.25">
      <c r="B677" s="139">
        <v>800749462</v>
      </c>
      <c r="C677" s="139" t="s">
        <v>69</v>
      </c>
      <c r="D677" s="142">
        <v>45782.715303518497</v>
      </c>
      <c r="E677" s="139" t="s">
        <v>844</v>
      </c>
      <c r="F677" s="162" t="s">
        <v>543</v>
      </c>
      <c r="G677" s="33" t="str">
        <f>IFERROR(INDEX([1]Positions!$A:$A,MATCH(F677,[1]Positions!$C:$C,0)),"Other")</f>
        <v>ETF</v>
      </c>
      <c r="H677" s="33" t="b">
        <f t="shared" si="20"/>
        <v>1</v>
      </c>
      <c r="I677" s="33" t="str">
        <f t="shared" si="21"/>
        <v>2025-05-05</v>
      </c>
      <c r="J677" s="148">
        <v>0.24</v>
      </c>
      <c r="K677" s="159" t="s">
        <v>0</v>
      </c>
    </row>
    <row r="678" spans="2:11" x14ac:dyDescent="0.25">
      <c r="B678" s="130">
        <v>800749463</v>
      </c>
      <c r="C678" s="130" t="s">
        <v>70</v>
      </c>
      <c r="D678" s="133">
        <v>45782.715303518497</v>
      </c>
      <c r="E678" s="130" t="s">
        <v>777</v>
      </c>
      <c r="F678" s="161" t="s">
        <v>543</v>
      </c>
      <c r="G678" s="33" t="str">
        <f>IFERROR(INDEX([1]Positions!$A:$A,MATCH(F678,[1]Positions!$C:$C,0)),"Other")</f>
        <v>ETF</v>
      </c>
      <c r="H678" s="33" t="b">
        <f t="shared" si="20"/>
        <v>1</v>
      </c>
      <c r="I678" s="33" t="str">
        <f t="shared" si="21"/>
        <v>2025-05-05</v>
      </c>
      <c r="J678" s="147">
        <v>-7.0000000000000007E-2</v>
      </c>
      <c r="K678" s="159" t="s">
        <v>0</v>
      </c>
    </row>
    <row r="679" spans="2:11" x14ac:dyDescent="0.25">
      <c r="B679" s="139">
        <v>800749464</v>
      </c>
      <c r="C679" s="139" t="s">
        <v>69</v>
      </c>
      <c r="D679" s="142">
        <v>45782.715303518497</v>
      </c>
      <c r="E679" s="139" t="s">
        <v>844</v>
      </c>
      <c r="F679" s="162" t="s">
        <v>543</v>
      </c>
      <c r="G679" s="33" t="str">
        <f>IFERROR(INDEX([1]Positions!$A:$A,MATCH(F679,[1]Positions!$C:$C,0)),"Other")</f>
        <v>ETF</v>
      </c>
      <c r="H679" s="33" t="b">
        <f t="shared" si="20"/>
        <v>1</v>
      </c>
      <c r="I679" s="33" t="str">
        <f t="shared" si="21"/>
        <v>2025-05-05</v>
      </c>
      <c r="J679" s="148">
        <v>0.24</v>
      </c>
      <c r="K679" s="159" t="s">
        <v>0</v>
      </c>
    </row>
    <row r="680" spans="2:11" x14ac:dyDescent="0.25">
      <c r="B680" s="130">
        <v>800749465</v>
      </c>
      <c r="C680" s="130" t="s">
        <v>70</v>
      </c>
      <c r="D680" s="133">
        <v>45782.715303518497</v>
      </c>
      <c r="E680" s="130" t="s">
        <v>777</v>
      </c>
      <c r="F680" s="161" t="s">
        <v>543</v>
      </c>
      <c r="G680" s="33" t="str">
        <f>IFERROR(INDEX([1]Positions!$A:$A,MATCH(F680,[1]Positions!$C:$C,0)),"Other")</f>
        <v>ETF</v>
      </c>
      <c r="H680" s="33" t="b">
        <f t="shared" si="20"/>
        <v>1</v>
      </c>
      <c r="I680" s="33" t="str">
        <f t="shared" si="21"/>
        <v>2025-05-05</v>
      </c>
      <c r="J680" s="147">
        <v>-7.0000000000000007E-2</v>
      </c>
      <c r="K680" s="159" t="s">
        <v>0</v>
      </c>
    </row>
    <row r="681" spans="2:11" x14ac:dyDescent="0.25">
      <c r="B681" s="139">
        <v>802343729</v>
      </c>
      <c r="C681" s="139" t="s">
        <v>73</v>
      </c>
      <c r="D681" s="142">
        <v>45783.831096562499</v>
      </c>
      <c r="E681" s="139" t="s">
        <v>456</v>
      </c>
      <c r="F681" s="162" t="s">
        <v>537</v>
      </c>
      <c r="G681" s="33" t="str">
        <f>IFERROR(INDEX([1]Positions!$A:$A,MATCH(F681,[1]Positions!$C:$C,0)),"Other")</f>
        <v>Energy &amp; Utilities</v>
      </c>
      <c r="H681" s="33" t="b">
        <f t="shared" si="20"/>
        <v>1</v>
      </c>
      <c r="I681" s="33" t="str">
        <f t="shared" si="21"/>
        <v>2025-05-06</v>
      </c>
      <c r="J681" s="145">
        <v>-10.99</v>
      </c>
      <c r="K681" s="159" t="s">
        <v>0</v>
      </c>
    </row>
    <row r="682" spans="2:11" x14ac:dyDescent="0.25">
      <c r="B682" s="130">
        <v>802343856</v>
      </c>
      <c r="C682" s="130" t="s">
        <v>73</v>
      </c>
      <c r="D682" s="133">
        <v>45783.831252453703</v>
      </c>
      <c r="E682" s="130" t="s">
        <v>457</v>
      </c>
      <c r="F682" s="161" t="s">
        <v>538</v>
      </c>
      <c r="G682" s="33" t="str">
        <f>IFERROR(INDEX([1]Positions!$A:$A,MATCH(F682,[1]Positions!$C:$C,0)),"Other")</f>
        <v>Energy &amp; Utilities</v>
      </c>
      <c r="H682" s="33" t="b">
        <f t="shared" si="20"/>
        <v>1</v>
      </c>
      <c r="I682" s="33" t="str">
        <f t="shared" si="21"/>
        <v>2025-05-06</v>
      </c>
      <c r="J682" s="147">
        <v>-10</v>
      </c>
      <c r="K682" s="159" t="s">
        <v>0</v>
      </c>
    </row>
    <row r="683" spans="2:11" x14ac:dyDescent="0.25">
      <c r="B683" s="139">
        <v>802343243</v>
      </c>
      <c r="C683" s="139" t="s">
        <v>73</v>
      </c>
      <c r="D683" s="142">
        <v>45783.830575069398</v>
      </c>
      <c r="E683" s="139" t="s">
        <v>458</v>
      </c>
      <c r="F683" s="162" t="s">
        <v>542</v>
      </c>
      <c r="G683" s="33" t="str">
        <f>IFERROR(INDEX([1]Positions!$A:$A,MATCH(F683,[1]Positions!$C:$C,0)),"Other")</f>
        <v>Energy &amp; Utilities</v>
      </c>
      <c r="H683" s="33" t="b">
        <f t="shared" si="20"/>
        <v>1</v>
      </c>
      <c r="I683" s="33" t="str">
        <f t="shared" si="21"/>
        <v>2025-05-06</v>
      </c>
      <c r="J683" s="145">
        <v>-10</v>
      </c>
      <c r="K683" s="159" t="s">
        <v>0</v>
      </c>
    </row>
    <row r="684" spans="2:11" x14ac:dyDescent="0.25">
      <c r="B684" s="130">
        <v>802344460</v>
      </c>
      <c r="C684" s="130" t="s">
        <v>73</v>
      </c>
      <c r="D684" s="133">
        <v>45783.831896145799</v>
      </c>
      <c r="E684" s="130" t="s">
        <v>459</v>
      </c>
      <c r="F684" s="161" t="s">
        <v>539</v>
      </c>
      <c r="G684" s="33" t="str">
        <f>IFERROR(INDEX([1]Positions!$A:$A,MATCH(F684,[1]Positions!$C:$C,0)),"Other")</f>
        <v>Financial Services</v>
      </c>
      <c r="H684" s="33" t="b">
        <f t="shared" si="20"/>
        <v>1</v>
      </c>
      <c r="I684" s="33" t="str">
        <f t="shared" si="21"/>
        <v>2025-05-06</v>
      </c>
      <c r="J684" s="147">
        <v>-3.88</v>
      </c>
      <c r="K684" s="159" t="s">
        <v>0</v>
      </c>
    </row>
    <row r="685" spans="2:11" x14ac:dyDescent="0.25">
      <c r="B685" s="139">
        <v>802344465</v>
      </c>
      <c r="C685" s="139" t="s">
        <v>73</v>
      </c>
      <c r="D685" s="142">
        <v>45783.831905057901</v>
      </c>
      <c r="E685" s="139" t="s">
        <v>460</v>
      </c>
      <c r="F685" s="162" t="s">
        <v>539</v>
      </c>
      <c r="G685" s="33" t="str">
        <f>IFERROR(INDEX([1]Positions!$A:$A,MATCH(F685,[1]Positions!$C:$C,0)),"Other")</f>
        <v>Financial Services</v>
      </c>
      <c r="H685" s="33" t="b">
        <f t="shared" si="20"/>
        <v>1</v>
      </c>
      <c r="I685" s="33" t="str">
        <f t="shared" si="21"/>
        <v>2025-05-06</v>
      </c>
      <c r="J685" s="145">
        <v>-16.12</v>
      </c>
      <c r="K685" s="159" t="s">
        <v>0</v>
      </c>
    </row>
    <row r="686" spans="2:11" x14ac:dyDescent="0.25">
      <c r="B686" s="130">
        <v>803547670</v>
      </c>
      <c r="C686" s="130" t="s">
        <v>77</v>
      </c>
      <c r="D686" s="133">
        <v>45784.776649432897</v>
      </c>
      <c r="E686" s="130" t="s">
        <v>461</v>
      </c>
      <c r="F686" s="161" t="s">
        <v>521</v>
      </c>
      <c r="G686" s="33" t="str">
        <f>IFERROR(INDEX([1]Positions!$A:$A,MATCH(F686,[1]Positions!$C:$C,0)),"Other")</f>
        <v>Technology</v>
      </c>
      <c r="H686" s="33" t="b">
        <f t="shared" si="20"/>
        <v>1</v>
      </c>
      <c r="I686" s="33" t="str">
        <f t="shared" si="21"/>
        <v>2025-05-07</v>
      </c>
      <c r="J686" s="147">
        <v>-0.57999999999999996</v>
      </c>
      <c r="K686" s="159" t="s">
        <v>0</v>
      </c>
    </row>
    <row r="687" spans="2:11" x14ac:dyDescent="0.25">
      <c r="B687" s="139">
        <v>803547671</v>
      </c>
      <c r="C687" s="139" t="s">
        <v>80</v>
      </c>
      <c r="D687" s="142">
        <v>45784.776649432897</v>
      </c>
      <c r="E687" s="139" t="s">
        <v>462</v>
      </c>
      <c r="F687" s="162" t="s">
        <v>521</v>
      </c>
      <c r="G687" s="33" t="str">
        <f>IFERROR(INDEX([1]Positions!$A:$A,MATCH(F687,[1]Positions!$C:$C,0)),"Other")</f>
        <v>Technology</v>
      </c>
      <c r="H687" s="33" t="b">
        <f t="shared" si="20"/>
        <v>1</v>
      </c>
      <c r="I687" s="33" t="str">
        <f t="shared" si="21"/>
        <v>2025-05-07</v>
      </c>
      <c r="J687" s="148">
        <v>10.75</v>
      </c>
      <c r="K687" s="159" t="s">
        <v>0</v>
      </c>
    </row>
    <row r="688" spans="2:11" x14ac:dyDescent="0.25">
      <c r="B688" s="130">
        <v>803547672</v>
      </c>
      <c r="C688" s="130" t="s">
        <v>77</v>
      </c>
      <c r="D688" s="133">
        <v>45784.7766494444</v>
      </c>
      <c r="E688" s="130" t="s">
        <v>463</v>
      </c>
      <c r="F688" s="161" t="s">
        <v>521</v>
      </c>
      <c r="G688" s="33" t="str">
        <f>IFERROR(INDEX([1]Positions!$A:$A,MATCH(F688,[1]Positions!$C:$C,0)),"Other")</f>
        <v>Technology</v>
      </c>
      <c r="H688" s="33" t="b">
        <f t="shared" si="20"/>
        <v>1</v>
      </c>
      <c r="I688" s="33" t="str">
        <f t="shared" si="21"/>
        <v>2025-05-07</v>
      </c>
      <c r="J688" s="136">
        <v>0.56000000000000005</v>
      </c>
      <c r="K688" s="159" t="s">
        <v>0</v>
      </c>
    </row>
    <row r="689" spans="2:11" x14ac:dyDescent="0.25">
      <c r="B689" s="139">
        <v>803547673</v>
      </c>
      <c r="C689" s="139" t="s">
        <v>80</v>
      </c>
      <c r="D689" s="142">
        <v>45784.7766494444</v>
      </c>
      <c r="E689" s="139" t="s">
        <v>464</v>
      </c>
      <c r="F689" s="162" t="s">
        <v>521</v>
      </c>
      <c r="G689" s="33" t="str">
        <f>IFERROR(INDEX([1]Positions!$A:$A,MATCH(F689,[1]Positions!$C:$C,0)),"Other")</f>
        <v>Technology</v>
      </c>
      <c r="H689" s="33" t="b">
        <f t="shared" si="20"/>
        <v>1</v>
      </c>
      <c r="I689" s="33" t="str">
        <f t="shared" si="21"/>
        <v>2025-05-07</v>
      </c>
      <c r="J689" s="148">
        <v>15.61</v>
      </c>
      <c r="K689" s="159" t="s">
        <v>0</v>
      </c>
    </row>
    <row r="690" spans="2:11" x14ac:dyDescent="0.25">
      <c r="B690" s="130">
        <v>804628837</v>
      </c>
      <c r="C690" s="130" t="s">
        <v>116</v>
      </c>
      <c r="D690" s="133">
        <v>45785.669753668997</v>
      </c>
      <c r="E690" s="130" t="s">
        <v>845</v>
      </c>
      <c r="F690" s="161" t="s">
        <v>521</v>
      </c>
      <c r="G690" s="33" t="str">
        <f>IFERROR(INDEX([1]Positions!$A:$A,MATCH(F690,[1]Positions!$C:$C,0)),"Other")</f>
        <v>Technology</v>
      </c>
      <c r="H690" s="33" t="b">
        <f t="shared" si="20"/>
        <v>1</v>
      </c>
      <c r="I690" s="33" t="str">
        <f t="shared" si="21"/>
        <v>2025-05-08</v>
      </c>
      <c r="J690" s="136">
        <v>0</v>
      </c>
      <c r="K690" s="159" t="s">
        <v>0</v>
      </c>
    </row>
    <row r="691" spans="2:11" x14ac:dyDescent="0.25">
      <c r="B691" s="139">
        <v>804603006</v>
      </c>
      <c r="C691" s="139" t="s">
        <v>77</v>
      </c>
      <c r="D691" s="142">
        <v>45785.660479594902</v>
      </c>
      <c r="E691" s="139" t="s">
        <v>118</v>
      </c>
      <c r="F691" s="162" t="s">
        <v>530</v>
      </c>
      <c r="G691" s="33" t="str">
        <f>IFERROR(INDEX([1]Positions!$A:$A,MATCH(F691,[1]Positions!$C:$C,0)),"Other")</f>
        <v>Financial Services</v>
      </c>
      <c r="H691" s="33" t="b">
        <f t="shared" si="20"/>
        <v>1</v>
      </c>
      <c r="I691" s="33" t="str">
        <f t="shared" si="21"/>
        <v>2025-05-08</v>
      </c>
      <c r="J691" s="148">
        <v>2.6</v>
      </c>
      <c r="K691" s="159" t="s">
        <v>0</v>
      </c>
    </row>
    <row r="692" spans="2:11" x14ac:dyDescent="0.25">
      <c r="B692" s="130">
        <v>804603007</v>
      </c>
      <c r="C692" s="130" t="s">
        <v>80</v>
      </c>
      <c r="D692" s="133">
        <v>45785.660479594902</v>
      </c>
      <c r="E692" s="130" t="s">
        <v>465</v>
      </c>
      <c r="F692" s="161" t="s">
        <v>530</v>
      </c>
      <c r="G692" s="33" t="str">
        <f>IFERROR(INDEX([1]Positions!$A:$A,MATCH(F692,[1]Positions!$C:$C,0)),"Other")</f>
        <v>Financial Services</v>
      </c>
      <c r="H692" s="33" t="b">
        <f t="shared" si="20"/>
        <v>1</v>
      </c>
      <c r="I692" s="33" t="str">
        <f t="shared" si="21"/>
        <v>2025-05-08</v>
      </c>
      <c r="J692" s="136">
        <v>10.43</v>
      </c>
      <c r="K692" s="159" t="s">
        <v>0</v>
      </c>
    </row>
    <row r="693" spans="2:11" x14ac:dyDescent="0.25">
      <c r="B693" s="139">
        <v>804603008</v>
      </c>
      <c r="C693" s="139" t="s">
        <v>77</v>
      </c>
      <c r="D693" s="142">
        <v>45785.6604796065</v>
      </c>
      <c r="E693" s="139" t="s">
        <v>466</v>
      </c>
      <c r="F693" s="162" t="s">
        <v>530</v>
      </c>
      <c r="G693" s="33" t="str">
        <f>IFERROR(INDEX([1]Positions!$A:$A,MATCH(F693,[1]Positions!$C:$C,0)),"Other")</f>
        <v>Financial Services</v>
      </c>
      <c r="H693" s="33" t="b">
        <f t="shared" si="20"/>
        <v>1</v>
      </c>
      <c r="I693" s="33" t="str">
        <f t="shared" si="21"/>
        <v>2025-05-08</v>
      </c>
      <c r="J693" s="148">
        <v>1.65</v>
      </c>
      <c r="K693" s="159" t="s">
        <v>0</v>
      </c>
    </row>
    <row r="694" spans="2:11" x14ac:dyDescent="0.25">
      <c r="B694" s="130">
        <v>804603009</v>
      </c>
      <c r="C694" s="130" t="s">
        <v>80</v>
      </c>
      <c r="D694" s="133">
        <v>45785.6604796065</v>
      </c>
      <c r="E694" s="130" t="s">
        <v>467</v>
      </c>
      <c r="F694" s="161" t="s">
        <v>530</v>
      </c>
      <c r="G694" s="33" t="str">
        <f>IFERROR(INDEX([1]Positions!$A:$A,MATCH(F694,[1]Positions!$C:$C,0)),"Other")</f>
        <v>Financial Services</v>
      </c>
      <c r="H694" s="33" t="b">
        <f t="shared" si="20"/>
        <v>1</v>
      </c>
      <c r="I694" s="33" t="str">
        <f t="shared" si="21"/>
        <v>2025-05-08</v>
      </c>
      <c r="J694" s="136">
        <v>19.46</v>
      </c>
      <c r="K694" s="159" t="s">
        <v>0</v>
      </c>
    </row>
    <row r="695" spans="2:11" x14ac:dyDescent="0.25">
      <c r="B695" s="139">
        <v>804598680</v>
      </c>
      <c r="C695" s="139" t="s">
        <v>77</v>
      </c>
      <c r="D695" s="142">
        <v>45785.658858298601</v>
      </c>
      <c r="E695" s="139" t="s">
        <v>463</v>
      </c>
      <c r="F695" s="162" t="s">
        <v>521</v>
      </c>
      <c r="G695" s="33" t="str">
        <f>IFERROR(INDEX([1]Positions!$A:$A,MATCH(F695,[1]Positions!$C:$C,0)),"Other")</f>
        <v>Technology</v>
      </c>
      <c r="H695" s="33" t="b">
        <f t="shared" si="20"/>
        <v>1</v>
      </c>
      <c r="I695" s="33" t="str">
        <f t="shared" si="21"/>
        <v>2025-05-08</v>
      </c>
      <c r="J695" s="148">
        <v>0.18</v>
      </c>
      <c r="K695" s="159" t="s">
        <v>0</v>
      </c>
    </row>
    <row r="696" spans="2:11" x14ac:dyDescent="0.25">
      <c r="B696" s="130">
        <v>804598681</v>
      </c>
      <c r="C696" s="130" t="s">
        <v>80</v>
      </c>
      <c r="D696" s="133">
        <v>45785.658858298601</v>
      </c>
      <c r="E696" s="130" t="s">
        <v>468</v>
      </c>
      <c r="F696" s="161" t="s">
        <v>521</v>
      </c>
      <c r="G696" s="33" t="str">
        <f>IFERROR(INDEX([1]Positions!$A:$A,MATCH(F696,[1]Positions!$C:$C,0)),"Other")</f>
        <v>Technology</v>
      </c>
      <c r="H696" s="33" t="b">
        <f t="shared" si="20"/>
        <v>1</v>
      </c>
      <c r="I696" s="33" t="str">
        <f t="shared" si="21"/>
        <v>2025-05-08</v>
      </c>
      <c r="J696" s="136">
        <v>4.1900000000000004</v>
      </c>
      <c r="K696" s="159" t="s">
        <v>0</v>
      </c>
    </row>
    <row r="697" spans="2:11" x14ac:dyDescent="0.25">
      <c r="B697" s="139">
        <v>804599219</v>
      </c>
      <c r="C697" s="139" t="s">
        <v>77</v>
      </c>
      <c r="D697" s="142">
        <v>45785.659091006899</v>
      </c>
      <c r="E697" s="139" t="s">
        <v>469</v>
      </c>
      <c r="F697" s="162" t="s">
        <v>523</v>
      </c>
      <c r="G697" s="33" t="str">
        <f>IFERROR(INDEX([1]Positions!$A:$A,MATCH(F697,[1]Positions!$C:$C,0)),"Other")</f>
        <v>Financial Services</v>
      </c>
      <c r="H697" s="33" t="b">
        <f t="shared" si="20"/>
        <v>1</v>
      </c>
      <c r="I697" s="33" t="str">
        <f t="shared" si="21"/>
        <v>2025-05-08</v>
      </c>
      <c r="J697" s="148">
        <v>1.21</v>
      </c>
      <c r="K697" s="159" t="s">
        <v>0</v>
      </c>
    </row>
    <row r="698" spans="2:11" x14ac:dyDescent="0.25">
      <c r="B698" s="130">
        <v>804599220</v>
      </c>
      <c r="C698" s="130" t="s">
        <v>80</v>
      </c>
      <c r="D698" s="133">
        <v>45785.659091006899</v>
      </c>
      <c r="E698" s="130" t="s">
        <v>470</v>
      </c>
      <c r="F698" s="161" t="s">
        <v>523</v>
      </c>
      <c r="G698" s="33" t="str">
        <f>IFERROR(INDEX([1]Positions!$A:$A,MATCH(F698,[1]Positions!$C:$C,0)),"Other")</f>
        <v>Financial Services</v>
      </c>
      <c r="H698" s="33" t="b">
        <f t="shared" si="20"/>
        <v>1</v>
      </c>
      <c r="I698" s="33" t="str">
        <f t="shared" si="21"/>
        <v>2025-05-08</v>
      </c>
      <c r="J698" s="136">
        <v>13.76</v>
      </c>
      <c r="K698" s="159" t="s">
        <v>0</v>
      </c>
    </row>
    <row r="699" spans="2:11" x14ac:dyDescent="0.25">
      <c r="B699" s="139">
        <v>804605657</v>
      </c>
      <c r="C699" s="139" t="s">
        <v>73</v>
      </c>
      <c r="D699" s="142">
        <v>45785.661432141198</v>
      </c>
      <c r="E699" s="139" t="s">
        <v>471</v>
      </c>
      <c r="F699" s="162" t="s">
        <v>537</v>
      </c>
      <c r="G699" s="33" t="str">
        <f>IFERROR(INDEX([1]Positions!$A:$A,MATCH(F699,[1]Positions!$C:$C,0)),"Other")</f>
        <v>Energy &amp; Utilities</v>
      </c>
      <c r="H699" s="33" t="b">
        <f t="shared" si="20"/>
        <v>1</v>
      </c>
      <c r="I699" s="33" t="str">
        <f t="shared" si="21"/>
        <v>2025-05-08</v>
      </c>
      <c r="J699" s="145">
        <v>-11</v>
      </c>
      <c r="K699" s="159" t="s">
        <v>0</v>
      </c>
    </row>
    <row r="700" spans="2:11" x14ac:dyDescent="0.25">
      <c r="B700" s="130">
        <v>804628753</v>
      </c>
      <c r="C700" s="130" t="s">
        <v>73</v>
      </c>
      <c r="D700" s="133">
        <v>45785.669720729202</v>
      </c>
      <c r="E700" s="130" t="s">
        <v>472</v>
      </c>
      <c r="F700" s="161" t="s">
        <v>58</v>
      </c>
      <c r="G700" s="33" t="str">
        <f>IFERROR(INDEX([1]Positions!$A:$A,MATCH(F700,[1]Positions!$C:$C,0)),"Other")</f>
        <v>Financial Services</v>
      </c>
      <c r="H700" s="33" t="b">
        <f t="shared" si="20"/>
        <v>1</v>
      </c>
      <c r="I700" s="33" t="str">
        <f t="shared" si="21"/>
        <v>2025-05-08</v>
      </c>
      <c r="J700" s="147">
        <v>-10.51</v>
      </c>
      <c r="K700" s="159" t="s">
        <v>0</v>
      </c>
    </row>
    <row r="701" spans="2:11" x14ac:dyDescent="0.25">
      <c r="B701" s="139">
        <v>804628793</v>
      </c>
      <c r="C701" s="139" t="s">
        <v>73</v>
      </c>
      <c r="D701" s="142">
        <v>45785.669736354197</v>
      </c>
      <c r="E701" s="139" t="s">
        <v>473</v>
      </c>
      <c r="F701" s="162" t="s">
        <v>58</v>
      </c>
      <c r="G701" s="33" t="str">
        <f>IFERROR(INDEX([1]Positions!$A:$A,MATCH(F701,[1]Positions!$C:$C,0)),"Other")</f>
        <v>Financial Services</v>
      </c>
      <c r="H701" s="33" t="b">
        <f t="shared" si="20"/>
        <v>1</v>
      </c>
      <c r="I701" s="33" t="str">
        <f t="shared" si="21"/>
        <v>2025-05-08</v>
      </c>
      <c r="J701" s="145">
        <v>-14.49</v>
      </c>
      <c r="K701" s="159" t="s">
        <v>0</v>
      </c>
    </row>
    <row r="702" spans="2:11" x14ac:dyDescent="0.25">
      <c r="B702" s="130">
        <v>805574824</v>
      </c>
      <c r="C702" s="130" t="s">
        <v>69</v>
      </c>
      <c r="D702" s="133">
        <v>45786.4798615162</v>
      </c>
      <c r="E702" s="130" t="s">
        <v>846</v>
      </c>
      <c r="F702" s="161" t="s">
        <v>535</v>
      </c>
      <c r="G702" s="33" t="str">
        <f>IFERROR(INDEX([1]Positions!$A:$A,MATCH(F702,[1]Positions!$C:$C,0)),"Other")</f>
        <v>Consumer Defensive</v>
      </c>
      <c r="H702" s="33" t="b">
        <f t="shared" si="20"/>
        <v>1</v>
      </c>
      <c r="I702" s="33" t="str">
        <f t="shared" si="21"/>
        <v>2025-05-09</v>
      </c>
      <c r="J702" s="136">
        <v>0.15</v>
      </c>
      <c r="K702" s="159" t="s">
        <v>0</v>
      </c>
    </row>
    <row r="703" spans="2:11" x14ac:dyDescent="0.25">
      <c r="B703" s="139">
        <v>805574825</v>
      </c>
      <c r="C703" s="139" t="s">
        <v>70</v>
      </c>
      <c r="D703" s="142">
        <v>45786.4798615162</v>
      </c>
      <c r="E703" s="139" t="s">
        <v>847</v>
      </c>
      <c r="F703" s="162" t="s">
        <v>535</v>
      </c>
      <c r="G703" s="33" t="str">
        <f>IFERROR(INDEX([1]Positions!$A:$A,MATCH(F703,[1]Positions!$C:$C,0)),"Other")</f>
        <v>Consumer Defensive</v>
      </c>
      <c r="H703" s="33" t="b">
        <f t="shared" si="20"/>
        <v>1</v>
      </c>
      <c r="I703" s="33" t="str">
        <f t="shared" si="21"/>
        <v>2025-05-09</v>
      </c>
      <c r="J703" s="145">
        <v>-0.05</v>
      </c>
      <c r="K703" s="159" t="s">
        <v>0</v>
      </c>
    </row>
    <row r="704" spans="2:11" x14ac:dyDescent="0.25">
      <c r="B704" s="130">
        <v>805574880</v>
      </c>
      <c r="C704" s="130" t="s">
        <v>69</v>
      </c>
      <c r="D704" s="133">
        <v>45786.479861597203</v>
      </c>
      <c r="E704" s="130" t="s">
        <v>846</v>
      </c>
      <c r="F704" s="161" t="s">
        <v>535</v>
      </c>
      <c r="G704" s="33" t="str">
        <f>IFERROR(INDEX([1]Positions!$A:$A,MATCH(F704,[1]Positions!$C:$C,0)),"Other")</f>
        <v>Consumer Defensive</v>
      </c>
      <c r="H704" s="33" t="b">
        <f t="shared" si="20"/>
        <v>1</v>
      </c>
      <c r="I704" s="33" t="str">
        <f t="shared" si="21"/>
        <v>2025-05-09</v>
      </c>
      <c r="J704" s="136">
        <v>0.15</v>
      </c>
      <c r="K704" s="159" t="s">
        <v>0</v>
      </c>
    </row>
    <row r="705" spans="2:11" x14ac:dyDescent="0.25">
      <c r="B705" s="139">
        <v>805574881</v>
      </c>
      <c r="C705" s="139" t="s">
        <v>70</v>
      </c>
      <c r="D705" s="142">
        <v>45786.479861597203</v>
      </c>
      <c r="E705" s="139" t="s">
        <v>847</v>
      </c>
      <c r="F705" s="162" t="s">
        <v>535</v>
      </c>
      <c r="G705" s="33" t="str">
        <f>IFERROR(INDEX([1]Positions!$A:$A,MATCH(F705,[1]Positions!$C:$C,0)),"Other")</f>
        <v>Consumer Defensive</v>
      </c>
      <c r="H705" s="33" t="b">
        <f t="shared" si="20"/>
        <v>1</v>
      </c>
      <c r="I705" s="33" t="str">
        <f t="shared" si="21"/>
        <v>2025-05-09</v>
      </c>
      <c r="J705" s="145">
        <v>-0.05</v>
      </c>
      <c r="K705" s="159" t="s">
        <v>0</v>
      </c>
    </row>
    <row r="706" spans="2:11" x14ac:dyDescent="0.25">
      <c r="B706" s="130">
        <v>805574898</v>
      </c>
      <c r="C706" s="130" t="s">
        <v>69</v>
      </c>
      <c r="D706" s="133">
        <v>45786.479861620399</v>
      </c>
      <c r="E706" s="130" t="s">
        <v>846</v>
      </c>
      <c r="F706" s="161" t="s">
        <v>535</v>
      </c>
      <c r="G706" s="33" t="str">
        <f>IFERROR(INDEX([1]Positions!$A:$A,MATCH(F706,[1]Positions!$C:$C,0)),"Other")</f>
        <v>Consumer Defensive</v>
      </c>
      <c r="H706" s="33" t="b">
        <f t="shared" si="20"/>
        <v>1</v>
      </c>
      <c r="I706" s="33" t="str">
        <f t="shared" si="21"/>
        <v>2025-05-09</v>
      </c>
      <c r="J706" s="136">
        <v>0.15</v>
      </c>
      <c r="K706" s="159" t="s">
        <v>0</v>
      </c>
    </row>
    <row r="707" spans="2:11" x14ac:dyDescent="0.25">
      <c r="B707" s="139">
        <v>805574899</v>
      </c>
      <c r="C707" s="139" t="s">
        <v>70</v>
      </c>
      <c r="D707" s="142">
        <v>45786.479861620399</v>
      </c>
      <c r="E707" s="139" t="s">
        <v>847</v>
      </c>
      <c r="F707" s="162" t="s">
        <v>535</v>
      </c>
      <c r="G707" s="33" t="str">
        <f>IFERROR(INDEX([1]Positions!$A:$A,MATCH(F707,[1]Positions!$C:$C,0)),"Other")</f>
        <v>Consumer Defensive</v>
      </c>
      <c r="H707" s="33" t="b">
        <f t="shared" si="20"/>
        <v>1</v>
      </c>
      <c r="I707" s="33" t="str">
        <f t="shared" si="21"/>
        <v>2025-05-09</v>
      </c>
      <c r="J707" s="145">
        <v>-0.05</v>
      </c>
      <c r="K707" s="159" t="s">
        <v>0</v>
      </c>
    </row>
    <row r="708" spans="2:11" x14ac:dyDescent="0.25">
      <c r="B708" s="130">
        <v>805645054</v>
      </c>
      <c r="C708" s="130" t="s">
        <v>69</v>
      </c>
      <c r="D708" s="133">
        <v>45786.483333622702</v>
      </c>
      <c r="E708" s="130" t="s">
        <v>848</v>
      </c>
      <c r="F708" s="161" t="s">
        <v>529</v>
      </c>
      <c r="G708" s="33" t="str">
        <f>IFERROR(INDEX([1]Positions!$A:$A,MATCH(F708,[1]Positions!$C:$C,0)),"Other")</f>
        <v>Financial Services</v>
      </c>
      <c r="H708" s="33" t="b">
        <f t="shared" si="20"/>
        <v>1</v>
      </c>
      <c r="I708" s="33" t="str">
        <f t="shared" si="21"/>
        <v>2025-05-09</v>
      </c>
      <c r="J708" s="136">
        <v>0.77</v>
      </c>
      <c r="K708" s="159" t="s">
        <v>0</v>
      </c>
    </row>
    <row r="709" spans="2:11" x14ac:dyDescent="0.25">
      <c r="B709" s="139">
        <v>805644992</v>
      </c>
      <c r="C709" s="139" t="s">
        <v>69</v>
      </c>
      <c r="D709" s="142">
        <v>45786.483333553202</v>
      </c>
      <c r="E709" s="139" t="s">
        <v>848</v>
      </c>
      <c r="F709" s="162" t="s">
        <v>529</v>
      </c>
      <c r="G709" s="33" t="str">
        <f>IFERROR(INDEX([1]Positions!$A:$A,MATCH(F709,[1]Positions!$C:$C,0)),"Other")</f>
        <v>Financial Services</v>
      </c>
      <c r="H709" s="33" t="b">
        <f t="shared" si="20"/>
        <v>1</v>
      </c>
      <c r="I709" s="33" t="str">
        <f t="shared" si="21"/>
        <v>2025-05-09</v>
      </c>
      <c r="J709" s="148">
        <v>0.13</v>
      </c>
      <c r="K709" s="159" t="s">
        <v>0</v>
      </c>
    </row>
    <row r="710" spans="2:11" x14ac:dyDescent="0.25">
      <c r="B710" s="130">
        <v>805644993</v>
      </c>
      <c r="C710" s="130" t="s">
        <v>70</v>
      </c>
      <c r="D710" s="133">
        <v>45786.483333553202</v>
      </c>
      <c r="E710" s="130" t="s">
        <v>775</v>
      </c>
      <c r="F710" s="161" t="s">
        <v>529</v>
      </c>
      <c r="G710" s="33" t="str">
        <f>IFERROR(INDEX([1]Positions!$A:$A,MATCH(F710,[1]Positions!$C:$C,0)),"Other")</f>
        <v>Financial Services</v>
      </c>
      <c r="H710" s="33" t="b">
        <f t="shared" si="20"/>
        <v>1</v>
      </c>
      <c r="I710" s="33" t="str">
        <f t="shared" si="21"/>
        <v>2025-05-09</v>
      </c>
      <c r="J710" s="147">
        <v>-0.02</v>
      </c>
      <c r="K710" s="159" t="s">
        <v>0</v>
      </c>
    </row>
    <row r="711" spans="2:11" x14ac:dyDescent="0.25">
      <c r="B711" s="139">
        <v>805645052</v>
      </c>
      <c r="C711" s="139" t="s">
        <v>69</v>
      </c>
      <c r="D711" s="142">
        <v>45786.483333622702</v>
      </c>
      <c r="E711" s="139" t="s">
        <v>848</v>
      </c>
      <c r="F711" s="162" t="s">
        <v>529</v>
      </c>
      <c r="G711" s="33" t="str">
        <f>IFERROR(INDEX([1]Positions!$A:$A,MATCH(F711,[1]Positions!$C:$C,0)),"Other")</f>
        <v>Financial Services</v>
      </c>
      <c r="H711" s="33" t="b">
        <f t="shared" si="20"/>
        <v>1</v>
      </c>
      <c r="I711" s="33" t="str">
        <f t="shared" si="21"/>
        <v>2025-05-09</v>
      </c>
      <c r="J711" s="148">
        <v>0.77</v>
      </c>
      <c r="K711" s="159" t="s">
        <v>0</v>
      </c>
    </row>
    <row r="712" spans="2:11" x14ac:dyDescent="0.25">
      <c r="B712" s="130">
        <v>805645053</v>
      </c>
      <c r="C712" s="130" t="s">
        <v>70</v>
      </c>
      <c r="D712" s="133">
        <v>45786.483333622702</v>
      </c>
      <c r="E712" s="130" t="s">
        <v>775</v>
      </c>
      <c r="F712" s="161" t="s">
        <v>529</v>
      </c>
      <c r="G712" s="33" t="str">
        <f>IFERROR(INDEX([1]Positions!$A:$A,MATCH(F712,[1]Positions!$C:$C,0)),"Other")</f>
        <v>Financial Services</v>
      </c>
      <c r="H712" s="33" t="b">
        <f t="shared" si="20"/>
        <v>1</v>
      </c>
      <c r="I712" s="33" t="str">
        <f t="shared" si="21"/>
        <v>2025-05-09</v>
      </c>
      <c r="J712" s="147">
        <v>-0.12</v>
      </c>
      <c r="K712" s="159" t="s">
        <v>0</v>
      </c>
    </row>
    <row r="713" spans="2:11" x14ac:dyDescent="0.25">
      <c r="B713" s="139">
        <v>805645055</v>
      </c>
      <c r="C713" s="139" t="s">
        <v>70</v>
      </c>
      <c r="D713" s="142">
        <v>45786.483333622702</v>
      </c>
      <c r="E713" s="139" t="s">
        <v>775</v>
      </c>
      <c r="F713" s="162" t="s">
        <v>529</v>
      </c>
      <c r="G713" s="33" t="str">
        <f>IFERROR(INDEX([1]Positions!$A:$A,MATCH(F713,[1]Positions!$C:$C,0)),"Other")</f>
        <v>Financial Services</v>
      </c>
      <c r="H713" s="33" t="b">
        <f t="shared" si="20"/>
        <v>1</v>
      </c>
      <c r="I713" s="33" t="str">
        <f t="shared" si="21"/>
        <v>2025-05-09</v>
      </c>
      <c r="J713" s="145">
        <v>-0.12</v>
      </c>
      <c r="K713" s="159" t="s">
        <v>0</v>
      </c>
    </row>
    <row r="714" spans="2:11" x14ac:dyDescent="0.25">
      <c r="B714" s="130">
        <v>805645070</v>
      </c>
      <c r="C714" s="130" t="s">
        <v>69</v>
      </c>
      <c r="D714" s="133">
        <v>45786.4833336343</v>
      </c>
      <c r="E714" s="130" t="s">
        <v>848</v>
      </c>
      <c r="F714" s="161" t="s">
        <v>529</v>
      </c>
      <c r="G714" s="33" t="str">
        <f>IFERROR(INDEX([1]Positions!$A:$A,MATCH(F714,[1]Positions!$C:$C,0)),"Other")</f>
        <v>Financial Services</v>
      </c>
      <c r="H714" s="33" t="b">
        <f t="shared" si="20"/>
        <v>1</v>
      </c>
      <c r="I714" s="33" t="str">
        <f t="shared" si="21"/>
        <v>2025-05-09</v>
      </c>
      <c r="J714" s="136">
        <v>0.27</v>
      </c>
      <c r="K714" s="159" t="s">
        <v>0</v>
      </c>
    </row>
    <row r="715" spans="2:11" x14ac:dyDescent="0.25">
      <c r="B715" s="139">
        <v>805645071</v>
      </c>
      <c r="C715" s="139" t="s">
        <v>70</v>
      </c>
      <c r="D715" s="142">
        <v>45786.483333645803</v>
      </c>
      <c r="E715" s="139" t="s">
        <v>775</v>
      </c>
      <c r="F715" s="162" t="s">
        <v>529</v>
      </c>
      <c r="G715" s="33" t="str">
        <f>IFERROR(INDEX([1]Positions!$A:$A,MATCH(F715,[1]Positions!$C:$C,0)),"Other")</f>
        <v>Financial Services</v>
      </c>
      <c r="H715" s="33" t="b">
        <f t="shared" si="20"/>
        <v>1</v>
      </c>
      <c r="I715" s="33" t="str">
        <f t="shared" si="21"/>
        <v>2025-05-09</v>
      </c>
      <c r="J715" s="145">
        <v>-0.04</v>
      </c>
      <c r="K715" s="159" t="s">
        <v>0</v>
      </c>
    </row>
    <row r="716" spans="2:11" x14ac:dyDescent="0.25">
      <c r="B716" s="130">
        <v>805645081</v>
      </c>
      <c r="C716" s="130" t="s">
        <v>69</v>
      </c>
      <c r="D716" s="133">
        <v>45786.483333657401</v>
      </c>
      <c r="E716" s="130" t="s">
        <v>848</v>
      </c>
      <c r="F716" s="161" t="s">
        <v>529</v>
      </c>
      <c r="G716" s="33" t="str">
        <f>IFERROR(INDEX([1]Positions!$A:$A,MATCH(F716,[1]Positions!$C:$C,0)),"Other")</f>
        <v>Financial Services</v>
      </c>
      <c r="H716" s="33" t="b">
        <f t="shared" ref="H716:H779" si="22">ISNUMBER(D716)</f>
        <v>1</v>
      </c>
      <c r="I716" s="33" t="str">
        <f t="shared" ref="I716:I779" si="23">TEXT(D716,"YYYY-MM-DD")</f>
        <v>2025-05-09</v>
      </c>
      <c r="J716" s="136">
        <v>0.77</v>
      </c>
      <c r="K716" s="159" t="s">
        <v>0</v>
      </c>
    </row>
    <row r="717" spans="2:11" x14ac:dyDescent="0.25">
      <c r="B717" s="139">
        <v>805645082</v>
      </c>
      <c r="C717" s="139" t="s">
        <v>70</v>
      </c>
      <c r="D717" s="142">
        <v>45786.483333657401</v>
      </c>
      <c r="E717" s="139" t="s">
        <v>775</v>
      </c>
      <c r="F717" s="162" t="s">
        <v>529</v>
      </c>
      <c r="G717" s="33" t="str">
        <f>IFERROR(INDEX([1]Positions!$A:$A,MATCH(F717,[1]Positions!$C:$C,0)),"Other")</f>
        <v>Financial Services</v>
      </c>
      <c r="H717" s="33" t="b">
        <f t="shared" si="22"/>
        <v>1</v>
      </c>
      <c r="I717" s="33" t="str">
        <f t="shared" si="23"/>
        <v>2025-05-09</v>
      </c>
      <c r="J717" s="145">
        <v>-0.12</v>
      </c>
      <c r="K717" s="159" t="s">
        <v>0</v>
      </c>
    </row>
    <row r="718" spans="2:11" x14ac:dyDescent="0.25">
      <c r="B718" s="130">
        <v>805645097</v>
      </c>
      <c r="C718" s="130" t="s">
        <v>69</v>
      </c>
      <c r="D718" s="133">
        <v>45786.483333668999</v>
      </c>
      <c r="E718" s="130" t="s">
        <v>848</v>
      </c>
      <c r="F718" s="161" t="s">
        <v>529</v>
      </c>
      <c r="G718" s="33" t="str">
        <f>IFERROR(INDEX([1]Positions!$A:$A,MATCH(F718,[1]Positions!$C:$C,0)),"Other")</f>
        <v>Financial Services</v>
      </c>
      <c r="H718" s="33" t="b">
        <f t="shared" si="22"/>
        <v>1</v>
      </c>
      <c r="I718" s="33" t="str">
        <f t="shared" si="23"/>
        <v>2025-05-09</v>
      </c>
      <c r="J718" s="136">
        <v>0.33</v>
      </c>
      <c r="K718" s="159" t="s">
        <v>0</v>
      </c>
    </row>
    <row r="719" spans="2:11" x14ac:dyDescent="0.25">
      <c r="B719" s="139">
        <v>805645098</v>
      </c>
      <c r="C719" s="139" t="s">
        <v>70</v>
      </c>
      <c r="D719" s="142">
        <v>45786.483333668999</v>
      </c>
      <c r="E719" s="139" t="s">
        <v>775</v>
      </c>
      <c r="F719" s="162" t="s">
        <v>529</v>
      </c>
      <c r="G719" s="33" t="str">
        <f>IFERROR(INDEX([1]Positions!$A:$A,MATCH(F719,[1]Positions!$C:$C,0)),"Other")</f>
        <v>Financial Services</v>
      </c>
      <c r="H719" s="33" t="b">
        <f t="shared" si="22"/>
        <v>1</v>
      </c>
      <c r="I719" s="33" t="str">
        <f t="shared" si="23"/>
        <v>2025-05-09</v>
      </c>
      <c r="J719" s="145">
        <v>-0.05</v>
      </c>
      <c r="K719" s="159" t="s">
        <v>0</v>
      </c>
    </row>
    <row r="720" spans="2:11" x14ac:dyDescent="0.25">
      <c r="B720" s="130">
        <v>805687465</v>
      </c>
      <c r="C720" s="130" t="s">
        <v>69</v>
      </c>
      <c r="D720" s="133">
        <v>45786.495844606499</v>
      </c>
      <c r="E720" s="130" t="s">
        <v>839</v>
      </c>
      <c r="F720" s="161" t="s">
        <v>530</v>
      </c>
      <c r="G720" s="33" t="str">
        <f>IFERROR(INDEX([1]Positions!$A:$A,MATCH(F720,[1]Positions!$C:$C,0)),"Other")</f>
        <v>Financial Services</v>
      </c>
      <c r="H720" s="33" t="b">
        <f t="shared" si="22"/>
        <v>1</v>
      </c>
      <c r="I720" s="33" t="str">
        <f t="shared" si="23"/>
        <v>2025-05-09</v>
      </c>
      <c r="J720" s="136">
        <v>0.02</v>
      </c>
      <c r="K720" s="159" t="s">
        <v>0</v>
      </c>
    </row>
    <row r="721" spans="2:11" x14ac:dyDescent="0.25">
      <c r="B721" s="139">
        <v>805687466</v>
      </c>
      <c r="C721" s="139" t="s">
        <v>70</v>
      </c>
      <c r="D721" s="142">
        <v>45786.495844606499</v>
      </c>
      <c r="E721" s="139" t="s">
        <v>828</v>
      </c>
      <c r="F721" s="162" t="s">
        <v>530</v>
      </c>
      <c r="G721" s="33" t="str">
        <f>IFERROR(INDEX([1]Positions!$A:$A,MATCH(F721,[1]Positions!$C:$C,0)),"Other")</f>
        <v>Financial Services</v>
      </c>
      <c r="H721" s="33" t="b">
        <f t="shared" si="22"/>
        <v>1</v>
      </c>
      <c r="I721" s="33" t="str">
        <f t="shared" si="23"/>
        <v>2025-05-09</v>
      </c>
      <c r="J721" s="145">
        <v>-0.01</v>
      </c>
      <c r="K721" s="159" t="s">
        <v>0</v>
      </c>
    </row>
    <row r="722" spans="2:11" x14ac:dyDescent="0.25">
      <c r="B722" s="130">
        <v>805689087</v>
      </c>
      <c r="C722" s="130" t="s">
        <v>69</v>
      </c>
      <c r="D722" s="133">
        <v>45786.495846481499</v>
      </c>
      <c r="E722" s="130" t="s">
        <v>839</v>
      </c>
      <c r="F722" s="161" t="s">
        <v>530</v>
      </c>
      <c r="G722" s="33" t="str">
        <f>IFERROR(INDEX([1]Positions!$A:$A,MATCH(F722,[1]Positions!$C:$C,0)),"Other")</f>
        <v>Financial Services</v>
      </c>
      <c r="H722" s="33" t="b">
        <f t="shared" si="22"/>
        <v>1</v>
      </c>
      <c r="I722" s="33" t="str">
        <f t="shared" si="23"/>
        <v>2025-05-09</v>
      </c>
      <c r="J722" s="136">
        <v>0.03</v>
      </c>
      <c r="K722" s="159" t="s">
        <v>0</v>
      </c>
    </row>
    <row r="723" spans="2:11" x14ac:dyDescent="0.25">
      <c r="B723" s="139">
        <v>805689088</v>
      </c>
      <c r="C723" s="139" t="s">
        <v>70</v>
      </c>
      <c r="D723" s="142">
        <v>45786.495846481499</v>
      </c>
      <c r="E723" s="139" t="s">
        <v>828</v>
      </c>
      <c r="F723" s="162" t="s">
        <v>530</v>
      </c>
      <c r="G723" s="33" t="str">
        <f>IFERROR(INDEX([1]Positions!$A:$A,MATCH(F723,[1]Positions!$C:$C,0)),"Other")</f>
        <v>Financial Services</v>
      </c>
      <c r="H723" s="33" t="b">
        <f t="shared" si="22"/>
        <v>1</v>
      </c>
      <c r="I723" s="33" t="str">
        <f t="shared" si="23"/>
        <v>2025-05-09</v>
      </c>
      <c r="J723" s="145">
        <v>-0.01</v>
      </c>
      <c r="K723" s="159" t="s">
        <v>0</v>
      </c>
    </row>
    <row r="724" spans="2:11" x14ac:dyDescent="0.25">
      <c r="B724" s="130">
        <v>805690690</v>
      </c>
      <c r="C724" s="130" t="s">
        <v>69</v>
      </c>
      <c r="D724" s="133">
        <v>45786.495848194398</v>
      </c>
      <c r="E724" s="130" t="s">
        <v>839</v>
      </c>
      <c r="F724" s="161" t="s">
        <v>530</v>
      </c>
      <c r="G724" s="33" t="str">
        <f>IFERROR(INDEX([1]Positions!$A:$A,MATCH(F724,[1]Positions!$C:$C,0)),"Other")</f>
        <v>Financial Services</v>
      </c>
      <c r="H724" s="33" t="b">
        <f t="shared" si="22"/>
        <v>1</v>
      </c>
      <c r="I724" s="33" t="str">
        <f t="shared" si="23"/>
        <v>2025-05-09</v>
      </c>
      <c r="J724" s="136">
        <v>0.02</v>
      </c>
      <c r="K724" s="159" t="s">
        <v>0</v>
      </c>
    </row>
    <row r="725" spans="2:11" x14ac:dyDescent="0.25">
      <c r="B725" s="139">
        <v>805690691</v>
      </c>
      <c r="C725" s="139" t="s">
        <v>70</v>
      </c>
      <c r="D725" s="142">
        <v>45786.495848194398</v>
      </c>
      <c r="E725" s="139" t="s">
        <v>828</v>
      </c>
      <c r="F725" s="162" t="s">
        <v>530</v>
      </c>
      <c r="G725" s="33" t="str">
        <f>IFERROR(INDEX([1]Positions!$A:$A,MATCH(F725,[1]Positions!$C:$C,0)),"Other")</f>
        <v>Financial Services</v>
      </c>
      <c r="H725" s="33" t="b">
        <f t="shared" si="22"/>
        <v>1</v>
      </c>
      <c r="I725" s="33" t="str">
        <f t="shared" si="23"/>
        <v>2025-05-09</v>
      </c>
      <c r="J725" s="145">
        <v>-0.01</v>
      </c>
      <c r="K725" s="159" t="s">
        <v>0</v>
      </c>
    </row>
    <row r="726" spans="2:11" x14ac:dyDescent="0.25">
      <c r="B726" s="130">
        <v>805694982</v>
      </c>
      <c r="C726" s="130" t="s">
        <v>69</v>
      </c>
      <c r="D726" s="133">
        <v>45786.495852870401</v>
      </c>
      <c r="E726" s="130" t="s">
        <v>839</v>
      </c>
      <c r="F726" s="161" t="s">
        <v>530</v>
      </c>
      <c r="G726" s="33" t="str">
        <f>IFERROR(INDEX([1]Positions!$A:$A,MATCH(F726,[1]Positions!$C:$C,0)),"Other")</f>
        <v>Financial Services</v>
      </c>
      <c r="H726" s="33" t="b">
        <f t="shared" si="22"/>
        <v>1</v>
      </c>
      <c r="I726" s="33" t="str">
        <f t="shared" si="23"/>
        <v>2025-05-09</v>
      </c>
      <c r="J726" s="136">
        <v>0.02</v>
      </c>
      <c r="K726" s="159" t="s">
        <v>0</v>
      </c>
    </row>
    <row r="727" spans="2:11" x14ac:dyDescent="0.25">
      <c r="B727" s="139">
        <v>805694983</v>
      </c>
      <c r="C727" s="139" t="s">
        <v>70</v>
      </c>
      <c r="D727" s="142">
        <v>45786.495852870401</v>
      </c>
      <c r="E727" s="139" t="s">
        <v>828</v>
      </c>
      <c r="F727" s="162" t="s">
        <v>530</v>
      </c>
      <c r="G727" s="33" t="str">
        <f>IFERROR(INDEX([1]Positions!$A:$A,MATCH(F727,[1]Positions!$C:$C,0)),"Other")</f>
        <v>Financial Services</v>
      </c>
      <c r="H727" s="33" t="b">
        <f t="shared" si="22"/>
        <v>1</v>
      </c>
      <c r="I727" s="33" t="str">
        <f t="shared" si="23"/>
        <v>2025-05-09</v>
      </c>
      <c r="J727" s="145">
        <v>-0.01</v>
      </c>
      <c r="K727" s="159" t="s">
        <v>0</v>
      </c>
    </row>
    <row r="728" spans="2:11" x14ac:dyDescent="0.25">
      <c r="B728" s="130">
        <v>805917679</v>
      </c>
      <c r="C728" s="130" t="s">
        <v>116</v>
      </c>
      <c r="D728" s="133">
        <v>45786.645192164397</v>
      </c>
      <c r="E728" s="130" t="s">
        <v>849</v>
      </c>
      <c r="F728" s="161" t="s">
        <v>521</v>
      </c>
      <c r="G728" s="33" t="str">
        <f>IFERROR(INDEX([1]Positions!$A:$A,MATCH(F728,[1]Positions!$C:$C,0)),"Other")</f>
        <v>Technology</v>
      </c>
      <c r="H728" s="33" t="b">
        <f t="shared" si="22"/>
        <v>1</v>
      </c>
      <c r="I728" s="33" t="str">
        <f t="shared" si="23"/>
        <v>2025-05-09</v>
      </c>
      <c r="J728" s="136">
        <v>0</v>
      </c>
      <c r="K728" s="159" t="s">
        <v>0</v>
      </c>
    </row>
    <row r="729" spans="2:11" x14ac:dyDescent="0.25">
      <c r="B729" s="139">
        <v>806007951</v>
      </c>
      <c r="C729" s="139" t="s">
        <v>850</v>
      </c>
      <c r="D729" s="142">
        <v>45786.664715972198</v>
      </c>
      <c r="E729" s="139" t="s">
        <v>851</v>
      </c>
      <c r="F729" s="162" t="s">
        <v>58</v>
      </c>
      <c r="G729" s="33" t="str">
        <f>IFERROR(INDEX([1]Positions!$A:$A,MATCH(F729,[1]Positions!$C:$C,0)),"Other")</f>
        <v>Financial Services</v>
      </c>
      <c r="H729" s="33" t="b">
        <f t="shared" si="22"/>
        <v>1</v>
      </c>
      <c r="I729" s="33" t="str">
        <f t="shared" si="23"/>
        <v>2025-05-09</v>
      </c>
      <c r="J729" s="145">
        <v>-0.03</v>
      </c>
      <c r="K729" s="159" t="s">
        <v>0</v>
      </c>
    </row>
    <row r="730" spans="2:11" x14ac:dyDescent="0.25">
      <c r="B730" s="130">
        <v>806008450</v>
      </c>
      <c r="C730" s="130" t="s">
        <v>116</v>
      </c>
      <c r="D730" s="133">
        <v>45786.664900509299</v>
      </c>
      <c r="E730" s="130" t="s">
        <v>852</v>
      </c>
      <c r="F730" s="161" t="s">
        <v>523</v>
      </c>
      <c r="G730" s="33" t="str">
        <f>IFERROR(INDEX([1]Positions!$A:$A,MATCH(F730,[1]Positions!$C:$C,0)),"Other")</f>
        <v>Financial Services</v>
      </c>
      <c r="H730" s="33" t="b">
        <f t="shared" si="22"/>
        <v>1</v>
      </c>
      <c r="I730" s="33" t="str">
        <f t="shared" si="23"/>
        <v>2025-05-09</v>
      </c>
      <c r="J730" s="136">
        <v>0</v>
      </c>
      <c r="K730" s="159" t="s">
        <v>0</v>
      </c>
    </row>
    <row r="731" spans="2:11" x14ac:dyDescent="0.25">
      <c r="B731" s="139">
        <v>806017443</v>
      </c>
      <c r="C731" s="139" t="s">
        <v>116</v>
      </c>
      <c r="D731" s="142">
        <v>45786.667731076399</v>
      </c>
      <c r="E731" s="139" t="s">
        <v>853</v>
      </c>
      <c r="F731" s="162" t="s">
        <v>530</v>
      </c>
      <c r="G731" s="33" t="str">
        <f>IFERROR(INDEX([1]Positions!$A:$A,MATCH(F731,[1]Positions!$C:$C,0)),"Other")</f>
        <v>Financial Services</v>
      </c>
      <c r="H731" s="33" t="b">
        <f t="shared" si="22"/>
        <v>1</v>
      </c>
      <c r="I731" s="33" t="str">
        <f t="shared" si="23"/>
        <v>2025-05-09</v>
      </c>
      <c r="J731" s="148">
        <v>0</v>
      </c>
      <c r="K731" s="159" t="s">
        <v>0</v>
      </c>
    </row>
    <row r="732" spans="2:11" x14ac:dyDescent="0.25">
      <c r="B732" s="149" t="s">
        <v>56</v>
      </c>
      <c r="C732" s="149" t="s">
        <v>0</v>
      </c>
      <c r="D732" s="149" t="s">
        <v>0</v>
      </c>
      <c r="E732" s="149" t="s">
        <v>0</v>
      </c>
      <c r="F732" s="150" t="s">
        <v>0</v>
      </c>
      <c r="G732" s="33" t="str">
        <f>IFERROR(INDEX([1]Positions!$A:$A,MATCH(F732,[1]Positions!$C:$C,0)),"Other")</f>
        <v>Other</v>
      </c>
      <c r="H732" s="33" t="b">
        <f t="shared" si="22"/>
        <v>0</v>
      </c>
      <c r="I732" s="33" t="str">
        <f t="shared" si="23"/>
        <v/>
      </c>
      <c r="J732" s="150">
        <v>85.05</v>
      </c>
      <c r="K732" s="163" t="s">
        <v>6</v>
      </c>
    </row>
  </sheetData>
  <autoFilter ref="B11:J674" xr:uid="{00000000-0001-0000-0300-000000000000}"/>
  <mergeCells count="5">
    <mergeCell ref="N1:N2"/>
    <mergeCell ref="B2:B3"/>
    <mergeCell ref="B9:E9"/>
    <mergeCell ref="K9:L9"/>
    <mergeCell ref="B10:D10"/>
  </mergeCells>
  <phoneticPr fontId="21" type="noConversion"/>
  <pageMargins left="0.39370078740157499" right="0.39370078740157499" top="0.39370078740157499" bottom="1.36888188976378" header="0.39370078740157499" footer="0.39370078740157499"/>
  <pageSetup paperSize="0" orientation="landscape" horizontalDpi="300" verticalDpi="300"/>
  <headerFooter alignWithMargins="0">
    <oddFooter>&amp;L&amp;"Segoe UI,Regular"&amp;10&amp;P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Z133"/>
  <sheetViews>
    <sheetView showGridLines="0" workbookViewId="0">
      <pane ySplit="4" topLeftCell="A5" activePane="bottomLeft" state="frozen"/>
      <selection pane="bottomLeft"/>
    </sheetView>
  </sheetViews>
  <sheetFormatPr defaultRowHeight="15" x14ac:dyDescent="0.25"/>
  <cols>
    <col min="1" max="1" width="1.7109375" customWidth="1"/>
    <col min="2" max="2" width="0.28515625" customWidth="1"/>
    <col min="3" max="3" width="13.5703125" customWidth="1"/>
    <col min="4" max="4" width="0.28515625" customWidth="1"/>
    <col min="5" max="5" width="10.7109375" customWidth="1"/>
    <col min="6" max="6" width="8" customWidth="1"/>
    <col min="7" max="7" width="10.7109375" customWidth="1"/>
    <col min="8" max="8" width="17.140625" customWidth="1"/>
    <col min="9" max="9" width="12" customWidth="1"/>
    <col min="10" max="10" width="17.5703125" customWidth="1"/>
    <col min="11" max="11" width="13.5703125" customWidth="1"/>
    <col min="12" max="13" width="13.42578125" customWidth="1"/>
    <col min="14" max="14" width="10.85546875" customWidth="1"/>
    <col min="15" max="15" width="11.7109375" customWidth="1"/>
    <col min="16" max="16" width="11" customWidth="1"/>
    <col min="17" max="17" width="10.85546875" customWidth="1"/>
    <col min="18" max="18" width="11.28515625" customWidth="1"/>
    <col min="19" max="19" width="19" customWidth="1"/>
    <col min="20" max="20" width="17" customWidth="1"/>
    <col min="21" max="21" width="13.42578125" customWidth="1"/>
    <col min="22" max="22" width="17" customWidth="1"/>
    <col min="23" max="23" width="28.28515625" customWidth="1"/>
    <col min="24" max="24" width="10.28515625" customWidth="1"/>
    <col min="25" max="25" width="3.140625" customWidth="1"/>
    <col min="26" max="26" width="0" hidden="1" customWidth="1"/>
    <col min="27" max="27" width="2.85546875" customWidth="1"/>
  </cols>
  <sheetData>
    <row r="1" spans="2:26" ht="11.45" customHeight="1" x14ac:dyDescent="0.25">
      <c r="X1" s="87"/>
    </row>
    <row r="2" spans="2:26" ht="20.45" customHeight="1" x14ac:dyDescent="0.25">
      <c r="C2" s="87"/>
      <c r="D2" s="87"/>
      <c r="X2" s="87"/>
    </row>
    <row r="3" spans="2:26" ht="12.2" customHeight="1" x14ac:dyDescent="0.25">
      <c r="C3" s="87"/>
      <c r="D3" s="87"/>
    </row>
    <row r="4" spans="2:26" ht="2.25" customHeight="1" x14ac:dyDescent="0.25"/>
    <row r="5" spans="2:26" x14ac:dyDescent="0.25">
      <c r="B5" s="91" t="s">
        <v>0</v>
      </c>
      <c r="C5" s="87"/>
      <c r="D5" s="91" t="s">
        <v>0</v>
      </c>
      <c r="E5" s="87"/>
      <c r="F5" s="1" t="s">
        <v>0</v>
      </c>
      <c r="G5" s="1" t="s">
        <v>0</v>
      </c>
      <c r="H5" s="88" t="s">
        <v>1</v>
      </c>
      <c r="I5" s="87"/>
      <c r="J5" s="87"/>
      <c r="K5" s="89" t="s">
        <v>2</v>
      </c>
      <c r="L5" s="87"/>
      <c r="M5" s="87"/>
      <c r="N5" s="89" t="s">
        <v>3</v>
      </c>
      <c r="O5" s="87"/>
      <c r="P5" s="87"/>
      <c r="Q5" s="4" t="s">
        <v>0</v>
      </c>
      <c r="R5" s="4" t="s">
        <v>0</v>
      </c>
      <c r="S5" s="4" t="s">
        <v>0</v>
      </c>
      <c r="T5" s="4" t="s">
        <v>0</v>
      </c>
      <c r="U5" s="4" t="s">
        <v>0</v>
      </c>
      <c r="V5" s="4" t="s">
        <v>0</v>
      </c>
      <c r="W5" s="90">
        <v>45786.091315891201</v>
      </c>
      <c r="X5" s="87"/>
      <c r="Y5" s="87"/>
    </row>
    <row r="6" spans="2:26" x14ac:dyDescent="0.25">
      <c r="B6" s="91" t="s">
        <v>0</v>
      </c>
      <c r="C6" s="87"/>
      <c r="D6" s="91" t="s">
        <v>0</v>
      </c>
      <c r="E6" s="87"/>
      <c r="F6" s="1" t="s">
        <v>0</v>
      </c>
      <c r="G6" s="1" t="s">
        <v>0</v>
      </c>
      <c r="H6" s="91" t="s">
        <v>4</v>
      </c>
      <c r="I6" s="87"/>
      <c r="J6" s="87"/>
      <c r="K6" s="92" t="s">
        <v>5</v>
      </c>
      <c r="L6" s="87"/>
      <c r="M6" s="87"/>
      <c r="N6" s="92" t="s">
        <v>6</v>
      </c>
      <c r="O6" s="87"/>
      <c r="P6" s="87"/>
      <c r="Q6" s="4" t="s">
        <v>0</v>
      </c>
      <c r="R6" s="4" t="s">
        <v>0</v>
      </c>
      <c r="S6" s="4" t="s">
        <v>0</v>
      </c>
      <c r="T6" s="4" t="s">
        <v>0</v>
      </c>
      <c r="U6" s="4" t="s">
        <v>0</v>
      </c>
      <c r="V6" s="4" t="s">
        <v>0</v>
      </c>
      <c r="W6" s="93" t="s">
        <v>0</v>
      </c>
      <c r="X6" s="87"/>
      <c r="Y6" s="87"/>
    </row>
    <row r="7" spans="2:26" x14ac:dyDescent="0.25">
      <c r="B7" s="91" t="s">
        <v>0</v>
      </c>
      <c r="C7" s="87"/>
      <c r="D7" s="91" t="s">
        <v>0</v>
      </c>
      <c r="E7" s="87"/>
      <c r="F7" s="1" t="s">
        <v>0</v>
      </c>
      <c r="G7" s="1" t="s">
        <v>0</v>
      </c>
      <c r="H7" s="94" t="s">
        <v>7</v>
      </c>
      <c r="I7" s="87"/>
      <c r="J7" s="87"/>
      <c r="K7" s="95" t="s">
        <v>8</v>
      </c>
      <c r="L7" s="87"/>
      <c r="M7" s="87"/>
      <c r="N7" s="95" t="s">
        <v>9</v>
      </c>
      <c r="O7" s="87"/>
      <c r="P7" s="87"/>
      <c r="Q7" s="95" t="s">
        <v>10</v>
      </c>
      <c r="R7" s="87"/>
      <c r="S7" s="87"/>
      <c r="T7" s="95" t="s">
        <v>11</v>
      </c>
      <c r="U7" s="87"/>
      <c r="V7" s="87"/>
      <c r="W7" s="93" t="s">
        <v>0</v>
      </c>
      <c r="X7" s="87"/>
      <c r="Y7" s="87"/>
    </row>
    <row r="8" spans="2:26" x14ac:dyDescent="0.25">
      <c r="B8" s="91" t="s">
        <v>0</v>
      </c>
      <c r="C8" s="87"/>
      <c r="D8" s="91" t="s">
        <v>0</v>
      </c>
      <c r="E8" s="87"/>
      <c r="F8" s="1" t="s">
        <v>0</v>
      </c>
      <c r="G8" s="1" t="s">
        <v>0</v>
      </c>
      <c r="H8" s="99">
        <v>93.01</v>
      </c>
      <c r="I8" s="87"/>
      <c r="J8" s="87"/>
      <c r="K8" s="92">
        <v>1531.79</v>
      </c>
      <c r="L8" s="87"/>
      <c r="M8" s="87"/>
      <c r="N8" s="92">
        <v>0</v>
      </c>
      <c r="O8" s="87"/>
      <c r="P8" s="87"/>
      <c r="Q8" s="92">
        <v>93.01</v>
      </c>
      <c r="R8" s="87"/>
      <c r="S8" s="87"/>
      <c r="T8" s="100">
        <v>0</v>
      </c>
      <c r="U8" s="87"/>
      <c r="V8" s="87"/>
      <c r="W8" s="93" t="s">
        <v>0</v>
      </c>
      <c r="X8" s="87"/>
      <c r="Y8" s="87"/>
    </row>
    <row r="9" spans="2:26" ht="43.15" customHeight="1" x14ac:dyDescent="0.25">
      <c r="B9" s="96" t="s">
        <v>474</v>
      </c>
      <c r="C9" s="87"/>
      <c r="D9" s="87"/>
      <c r="E9" s="87"/>
      <c r="F9" s="87"/>
      <c r="G9" s="87"/>
      <c r="H9" s="87"/>
      <c r="I9" s="87"/>
      <c r="J9" s="12" t="s">
        <v>0</v>
      </c>
      <c r="K9" s="13" t="s">
        <v>0</v>
      </c>
      <c r="L9" s="13" t="s">
        <v>0</v>
      </c>
      <c r="M9" s="13" t="s">
        <v>0</v>
      </c>
      <c r="N9" s="13" t="s">
        <v>0</v>
      </c>
      <c r="O9" s="13" t="s">
        <v>0</v>
      </c>
      <c r="P9" s="13" t="s">
        <v>0</v>
      </c>
      <c r="Q9" s="13" t="s">
        <v>0</v>
      </c>
      <c r="R9" s="13" t="s">
        <v>0</v>
      </c>
      <c r="S9" s="13" t="s">
        <v>0</v>
      </c>
      <c r="T9" s="13" t="s">
        <v>0</v>
      </c>
      <c r="U9" s="13" t="s">
        <v>0</v>
      </c>
      <c r="V9" s="13" t="s">
        <v>0</v>
      </c>
      <c r="W9" s="87"/>
      <c r="X9" s="87"/>
      <c r="Y9" s="87"/>
      <c r="Z9" s="87"/>
    </row>
    <row r="10" spans="2:26" x14ac:dyDescent="0.25">
      <c r="B10" s="97" t="s">
        <v>12</v>
      </c>
      <c r="C10" s="87"/>
      <c r="D10" s="87"/>
      <c r="E10" s="87"/>
      <c r="F10" s="87"/>
      <c r="G10" s="87"/>
      <c r="H10" s="13" t="s">
        <v>0</v>
      </c>
      <c r="I10" s="13" t="s">
        <v>0</v>
      </c>
      <c r="J10" s="13" t="s">
        <v>0</v>
      </c>
      <c r="K10" s="13" t="s">
        <v>0</v>
      </c>
      <c r="L10" s="13" t="s">
        <v>0</v>
      </c>
      <c r="M10" s="13" t="s">
        <v>0</v>
      </c>
      <c r="N10" s="13" t="s">
        <v>0</v>
      </c>
      <c r="O10" s="13" t="s">
        <v>0</v>
      </c>
      <c r="P10" s="13" t="s">
        <v>0</v>
      </c>
      <c r="Q10" s="13" t="s">
        <v>0</v>
      </c>
      <c r="R10" s="13" t="s">
        <v>0</v>
      </c>
      <c r="S10" s="13" t="s">
        <v>0</v>
      </c>
      <c r="T10" s="13" t="s">
        <v>0</v>
      </c>
      <c r="U10" s="13" t="s">
        <v>0</v>
      </c>
      <c r="V10" s="13" t="s">
        <v>0</v>
      </c>
      <c r="W10" s="98" t="s">
        <v>0</v>
      </c>
      <c r="X10" s="87"/>
      <c r="Y10" s="87"/>
    </row>
    <row r="11" spans="2:26" x14ac:dyDescent="0.25">
      <c r="B11" s="101" t="s">
        <v>0</v>
      </c>
      <c r="C11" s="87"/>
      <c r="D11" s="87"/>
      <c r="E11" s="87"/>
      <c r="F11" s="87"/>
      <c r="G11" s="87"/>
      <c r="H11" s="87"/>
      <c r="I11" s="87"/>
      <c r="J11" s="13" t="s">
        <v>0</v>
      </c>
      <c r="K11" s="13" t="s">
        <v>0</v>
      </c>
      <c r="L11" s="13" t="s">
        <v>0</v>
      </c>
      <c r="M11" s="13" t="s">
        <v>0</v>
      </c>
      <c r="N11" s="13" t="s">
        <v>0</v>
      </c>
      <c r="O11" s="13" t="s">
        <v>0</v>
      </c>
      <c r="P11" s="13" t="s">
        <v>0</v>
      </c>
      <c r="Q11" s="13" t="s">
        <v>0</v>
      </c>
      <c r="R11" s="13" t="s">
        <v>0</v>
      </c>
      <c r="S11" s="13" t="s">
        <v>0</v>
      </c>
      <c r="T11" s="13" t="s">
        <v>0</v>
      </c>
      <c r="U11" s="13" t="s">
        <v>0</v>
      </c>
      <c r="V11" s="13" t="s">
        <v>0</v>
      </c>
      <c r="W11" s="98" t="s">
        <v>0</v>
      </c>
      <c r="X11" s="87"/>
      <c r="Y11" s="87"/>
    </row>
    <row r="12" spans="2:26" x14ac:dyDescent="0.25">
      <c r="B12" s="94" t="s">
        <v>13</v>
      </c>
      <c r="C12" s="87"/>
      <c r="D12" s="102" t="s">
        <v>14</v>
      </c>
      <c r="E12" s="87"/>
      <c r="F12" s="14" t="s">
        <v>15</v>
      </c>
      <c r="G12" s="14" t="s">
        <v>16</v>
      </c>
      <c r="H12" s="14" t="s">
        <v>17</v>
      </c>
      <c r="I12" s="14" t="s">
        <v>18</v>
      </c>
      <c r="J12" s="14" t="s">
        <v>19</v>
      </c>
      <c r="K12" s="14" t="s">
        <v>20</v>
      </c>
      <c r="L12" s="15" t="s">
        <v>27</v>
      </c>
      <c r="M12" s="15" t="s">
        <v>28</v>
      </c>
      <c r="N12" s="15" t="s">
        <v>30</v>
      </c>
      <c r="O12" s="14" t="s">
        <v>31</v>
      </c>
      <c r="P12" s="14" t="s">
        <v>0</v>
      </c>
      <c r="Q12" s="14" t="s">
        <v>0</v>
      </c>
      <c r="R12" s="14" t="s">
        <v>0</v>
      </c>
      <c r="S12" s="15" t="s">
        <v>0</v>
      </c>
      <c r="T12" s="15" t="s">
        <v>0</v>
      </c>
      <c r="U12" s="15" t="s">
        <v>0</v>
      </c>
      <c r="V12" s="15" t="s">
        <v>0</v>
      </c>
      <c r="W12" s="102" t="s">
        <v>0</v>
      </c>
      <c r="X12" s="87"/>
      <c r="Y12" s="87"/>
    </row>
    <row r="13" spans="2:26" x14ac:dyDescent="0.25">
      <c r="B13" s="85">
        <v>561654650</v>
      </c>
      <c r="C13" s="84"/>
      <c r="D13" s="104" t="s">
        <v>36</v>
      </c>
      <c r="E13" s="84"/>
      <c r="F13" s="16" t="s">
        <v>475</v>
      </c>
      <c r="G13" s="18">
        <v>0.41389999999999999</v>
      </c>
      <c r="H13" s="19">
        <v>45446.375348333298</v>
      </c>
      <c r="I13" s="18">
        <v>33.545000000000002</v>
      </c>
      <c r="J13" s="19">
        <v>45453.663600370397</v>
      </c>
      <c r="K13" s="18">
        <v>32.604999999999997</v>
      </c>
      <c r="L13" s="20">
        <v>0</v>
      </c>
      <c r="M13" s="20">
        <v>0</v>
      </c>
      <c r="N13" s="27">
        <v>-0.73</v>
      </c>
      <c r="O13" s="85" t="s">
        <v>476</v>
      </c>
      <c r="P13" s="84"/>
      <c r="Q13" s="84"/>
      <c r="R13" s="84"/>
      <c r="S13" s="84"/>
      <c r="T13" s="20" t="s">
        <v>0</v>
      </c>
      <c r="U13" s="20" t="s">
        <v>0</v>
      </c>
      <c r="V13" s="27" t="s">
        <v>0</v>
      </c>
      <c r="W13" s="85" t="s">
        <v>0</v>
      </c>
      <c r="X13" s="84"/>
      <c r="Y13" s="84"/>
    </row>
    <row r="14" spans="2:26" x14ac:dyDescent="0.25">
      <c r="B14" s="83">
        <v>561850164</v>
      </c>
      <c r="C14" s="84"/>
      <c r="D14" s="105" t="s">
        <v>477</v>
      </c>
      <c r="E14" s="84"/>
      <c r="F14" s="22" t="s">
        <v>475</v>
      </c>
      <c r="G14" s="23">
        <v>0.01</v>
      </c>
      <c r="H14" s="24">
        <v>45453.9055522454</v>
      </c>
      <c r="I14" s="23">
        <v>38900</v>
      </c>
      <c r="J14" s="24">
        <v>45453.909724108802</v>
      </c>
      <c r="K14" s="23">
        <v>38869</v>
      </c>
      <c r="L14" s="25">
        <v>0</v>
      </c>
      <c r="M14" s="25">
        <v>0</v>
      </c>
      <c r="N14" s="26">
        <v>-1.55</v>
      </c>
      <c r="O14" s="83" t="s">
        <v>476</v>
      </c>
      <c r="P14" s="84"/>
      <c r="Q14" s="84"/>
      <c r="R14" s="84"/>
      <c r="S14" s="84"/>
      <c r="T14" s="25" t="s">
        <v>0</v>
      </c>
      <c r="U14" s="25" t="s">
        <v>0</v>
      </c>
      <c r="V14" s="26" t="s">
        <v>0</v>
      </c>
      <c r="W14" s="83" t="s">
        <v>0</v>
      </c>
      <c r="X14" s="84"/>
      <c r="Y14" s="84"/>
    </row>
    <row r="15" spans="2:26" x14ac:dyDescent="0.25">
      <c r="B15" s="85">
        <v>565713106</v>
      </c>
      <c r="C15" s="84"/>
      <c r="D15" s="104" t="s">
        <v>508</v>
      </c>
      <c r="E15" s="84"/>
      <c r="F15" s="16" t="s">
        <v>475</v>
      </c>
      <c r="G15" s="18">
        <v>0.123</v>
      </c>
      <c r="H15" s="19">
        <v>45460.6458710648</v>
      </c>
      <c r="I15" s="18">
        <v>1.65</v>
      </c>
      <c r="J15" s="19">
        <v>45460.7384752199</v>
      </c>
      <c r="K15" s="18">
        <v>165.24</v>
      </c>
      <c r="L15" s="20">
        <v>0</v>
      </c>
      <c r="M15" s="20">
        <v>0</v>
      </c>
      <c r="N15" s="21">
        <v>0</v>
      </c>
      <c r="O15" s="85" t="s">
        <v>476</v>
      </c>
      <c r="P15" s="84"/>
      <c r="Q15" s="84"/>
      <c r="R15" s="84"/>
      <c r="S15" s="84"/>
      <c r="T15" s="20" t="s">
        <v>0</v>
      </c>
      <c r="U15" s="20" t="s">
        <v>0</v>
      </c>
      <c r="V15" s="21" t="s">
        <v>0</v>
      </c>
      <c r="W15" s="85" t="s">
        <v>0</v>
      </c>
      <c r="X15" s="84"/>
      <c r="Y15" s="84"/>
    </row>
    <row r="16" spans="2:26" x14ac:dyDescent="0.25">
      <c r="B16" s="83">
        <v>565713108</v>
      </c>
      <c r="C16" s="84"/>
      <c r="D16" s="105" t="s">
        <v>508</v>
      </c>
      <c r="E16" s="84"/>
      <c r="F16" s="22" t="s">
        <v>475</v>
      </c>
      <c r="G16" s="23">
        <v>0</v>
      </c>
      <c r="H16" s="24">
        <v>45460.6458710648</v>
      </c>
      <c r="I16" s="23">
        <v>1.65</v>
      </c>
      <c r="J16" s="24">
        <v>45460</v>
      </c>
      <c r="K16" s="23">
        <v>165.24</v>
      </c>
      <c r="L16" s="25">
        <v>0</v>
      </c>
      <c r="M16" s="25">
        <v>0</v>
      </c>
      <c r="N16" s="28">
        <v>0</v>
      </c>
      <c r="O16" s="83" t="s">
        <v>476</v>
      </c>
      <c r="P16" s="84"/>
      <c r="Q16" s="84"/>
      <c r="R16" s="84"/>
      <c r="S16" s="84"/>
      <c r="T16" s="25" t="s">
        <v>0</v>
      </c>
      <c r="U16" s="25" t="s">
        <v>0</v>
      </c>
      <c r="V16" s="28" t="s">
        <v>0</v>
      </c>
      <c r="W16" s="83" t="s">
        <v>0</v>
      </c>
      <c r="X16" s="84"/>
      <c r="Y16" s="84"/>
    </row>
    <row r="17" spans="2:25" x14ac:dyDescent="0.25">
      <c r="B17" s="85">
        <v>565825453</v>
      </c>
      <c r="C17" s="84"/>
      <c r="D17" s="104" t="s">
        <v>509</v>
      </c>
      <c r="E17" s="84"/>
      <c r="F17" s="16" t="s">
        <v>475</v>
      </c>
      <c r="G17" s="18">
        <v>1</v>
      </c>
      <c r="H17" s="19">
        <v>45446.904104432899</v>
      </c>
      <c r="I17" s="18">
        <v>13.37</v>
      </c>
      <c r="J17" s="19">
        <v>45460.885034907398</v>
      </c>
      <c r="K17" s="18">
        <v>12.62</v>
      </c>
      <c r="L17" s="20">
        <v>0</v>
      </c>
      <c r="M17" s="20">
        <v>0</v>
      </c>
      <c r="N17" s="27">
        <v>-0.75</v>
      </c>
      <c r="O17" s="85" t="s">
        <v>476</v>
      </c>
      <c r="P17" s="84"/>
      <c r="Q17" s="84"/>
      <c r="R17" s="84"/>
      <c r="S17" s="84"/>
      <c r="T17" s="20" t="s">
        <v>0</v>
      </c>
      <c r="U17" s="20" t="s">
        <v>0</v>
      </c>
      <c r="V17" s="27" t="s">
        <v>0</v>
      </c>
      <c r="W17" s="85" t="s">
        <v>0</v>
      </c>
      <c r="X17" s="84"/>
      <c r="Y17" s="84"/>
    </row>
    <row r="18" spans="2:25" x14ac:dyDescent="0.25">
      <c r="B18" s="83">
        <v>568018581</v>
      </c>
      <c r="C18" s="84"/>
      <c r="D18" s="105" t="s">
        <v>507</v>
      </c>
      <c r="E18" s="84"/>
      <c r="F18" s="22" t="s">
        <v>475</v>
      </c>
      <c r="G18" s="23">
        <v>0.12</v>
      </c>
      <c r="H18" s="24">
        <v>45452.644099756901</v>
      </c>
      <c r="I18" s="23">
        <v>118.42</v>
      </c>
      <c r="J18" s="24">
        <v>45464.645868564803</v>
      </c>
      <c r="K18" s="23">
        <v>126.75</v>
      </c>
      <c r="L18" s="25">
        <v>0</v>
      </c>
      <c r="M18" s="25">
        <v>0</v>
      </c>
      <c r="N18" s="28">
        <v>1</v>
      </c>
      <c r="O18" s="83" t="s">
        <v>478</v>
      </c>
      <c r="P18" s="84"/>
      <c r="Q18" s="84"/>
      <c r="R18" s="84"/>
      <c r="S18" s="84"/>
      <c r="T18" s="25" t="s">
        <v>0</v>
      </c>
      <c r="U18" s="25" t="s">
        <v>0</v>
      </c>
      <c r="V18" s="28" t="s">
        <v>0</v>
      </c>
      <c r="W18" s="83" t="s">
        <v>0</v>
      </c>
      <c r="X18" s="84"/>
      <c r="Y18" s="84"/>
    </row>
    <row r="19" spans="2:25" x14ac:dyDescent="0.25">
      <c r="B19" s="85">
        <v>568018754</v>
      </c>
      <c r="C19" s="84"/>
      <c r="D19" s="104" t="s">
        <v>510</v>
      </c>
      <c r="E19" s="84"/>
      <c r="F19" s="16" t="s">
        <v>475</v>
      </c>
      <c r="G19" s="18">
        <v>9.7500000000000003E-2</v>
      </c>
      <c r="H19" s="19">
        <v>45446.893660821799</v>
      </c>
      <c r="I19" s="18">
        <v>205.08</v>
      </c>
      <c r="J19" s="19">
        <v>45464.645868657397</v>
      </c>
      <c r="K19" s="18">
        <v>211.24</v>
      </c>
      <c r="L19" s="20">
        <v>0</v>
      </c>
      <c r="M19" s="20">
        <v>0</v>
      </c>
      <c r="N19" s="21">
        <v>0.6</v>
      </c>
      <c r="O19" s="85" t="s">
        <v>476</v>
      </c>
      <c r="P19" s="84"/>
      <c r="Q19" s="84"/>
      <c r="R19" s="84"/>
      <c r="S19" s="84"/>
      <c r="T19" s="20" t="s">
        <v>0</v>
      </c>
      <c r="U19" s="20" t="s">
        <v>0</v>
      </c>
      <c r="V19" s="21" t="s">
        <v>0</v>
      </c>
      <c r="W19" s="85" t="s">
        <v>0</v>
      </c>
      <c r="X19" s="84"/>
      <c r="Y19" s="84"/>
    </row>
    <row r="20" spans="2:25" x14ac:dyDescent="0.25">
      <c r="B20" s="83">
        <v>568018921</v>
      </c>
      <c r="C20" s="84"/>
      <c r="D20" s="105" t="s">
        <v>507</v>
      </c>
      <c r="E20" s="84"/>
      <c r="F20" s="22" t="s">
        <v>475</v>
      </c>
      <c r="G20" s="23">
        <v>5.0999999999999997E-2</v>
      </c>
      <c r="H20" s="24">
        <v>45452.644099756901</v>
      </c>
      <c r="I20" s="23">
        <v>118.42</v>
      </c>
      <c r="J20" s="24">
        <v>45464.645869490698</v>
      </c>
      <c r="K20" s="23">
        <v>126.76</v>
      </c>
      <c r="L20" s="25">
        <v>0</v>
      </c>
      <c r="M20" s="25">
        <v>0</v>
      </c>
      <c r="N20" s="28">
        <v>0.42</v>
      </c>
      <c r="O20" s="83" t="s">
        <v>478</v>
      </c>
      <c r="P20" s="84"/>
      <c r="Q20" s="84"/>
      <c r="R20" s="84"/>
      <c r="S20" s="84"/>
      <c r="T20" s="25" t="s">
        <v>0</v>
      </c>
      <c r="U20" s="25" t="s">
        <v>0</v>
      </c>
      <c r="V20" s="28" t="s">
        <v>0</v>
      </c>
      <c r="W20" s="83" t="s">
        <v>0</v>
      </c>
      <c r="X20" s="84"/>
      <c r="Y20" s="84"/>
    </row>
    <row r="21" spans="2:25" x14ac:dyDescent="0.25">
      <c r="B21" s="85">
        <v>568057989</v>
      </c>
      <c r="C21" s="84"/>
      <c r="D21" s="104" t="s">
        <v>511</v>
      </c>
      <c r="E21" s="84"/>
      <c r="F21" s="16" t="s">
        <v>475</v>
      </c>
      <c r="G21" s="18">
        <v>1.15E-2</v>
      </c>
      <c r="H21" s="19">
        <v>45460.685576574098</v>
      </c>
      <c r="I21" s="18">
        <v>1797.13</v>
      </c>
      <c r="J21" s="19">
        <v>45464.6598266898</v>
      </c>
      <c r="K21" s="18">
        <v>1686.26</v>
      </c>
      <c r="L21" s="20">
        <v>0</v>
      </c>
      <c r="M21" s="20">
        <v>0</v>
      </c>
      <c r="N21" s="27">
        <v>-1.28</v>
      </c>
      <c r="O21" s="85" t="s">
        <v>476</v>
      </c>
      <c r="P21" s="84"/>
      <c r="Q21" s="84"/>
      <c r="R21" s="84"/>
      <c r="S21" s="84"/>
      <c r="T21" s="20" t="s">
        <v>0</v>
      </c>
      <c r="U21" s="20" t="s">
        <v>0</v>
      </c>
      <c r="V21" s="27" t="s">
        <v>0</v>
      </c>
      <c r="W21" s="85" t="s">
        <v>0</v>
      </c>
      <c r="X21" s="84"/>
      <c r="Y21" s="84"/>
    </row>
    <row r="22" spans="2:25" x14ac:dyDescent="0.25">
      <c r="B22" s="83">
        <v>568079573</v>
      </c>
      <c r="C22" s="84"/>
      <c r="D22" s="105" t="s">
        <v>512</v>
      </c>
      <c r="E22" s="84"/>
      <c r="F22" s="22" t="s">
        <v>475</v>
      </c>
      <c r="G22" s="23">
        <v>0.28060000000000002</v>
      </c>
      <c r="H22" s="24">
        <v>45464.661507395802</v>
      </c>
      <c r="I22" s="23">
        <v>71.61</v>
      </c>
      <c r="J22" s="24">
        <v>45464.6672536806</v>
      </c>
      <c r="K22" s="23">
        <v>70.959999999999994</v>
      </c>
      <c r="L22" s="25">
        <v>0</v>
      </c>
      <c r="M22" s="25">
        <v>0</v>
      </c>
      <c r="N22" s="26">
        <v>-0.18</v>
      </c>
      <c r="O22" s="83" t="s">
        <v>476</v>
      </c>
      <c r="P22" s="84"/>
      <c r="Q22" s="84"/>
      <c r="R22" s="84"/>
      <c r="S22" s="84"/>
      <c r="T22" s="25" t="s">
        <v>0</v>
      </c>
      <c r="U22" s="25" t="s">
        <v>0</v>
      </c>
      <c r="V22" s="26" t="s">
        <v>0</v>
      </c>
      <c r="W22" s="83" t="s">
        <v>0</v>
      </c>
      <c r="X22" s="84"/>
      <c r="Y22" s="84"/>
    </row>
    <row r="23" spans="2:25" x14ac:dyDescent="0.25">
      <c r="B23" s="85">
        <v>575788975</v>
      </c>
      <c r="C23" s="84"/>
      <c r="D23" s="104" t="s">
        <v>513</v>
      </c>
      <c r="E23" s="84"/>
      <c r="F23" s="16" t="s">
        <v>475</v>
      </c>
      <c r="G23" s="18">
        <v>0.13220000000000001</v>
      </c>
      <c r="H23" s="19">
        <v>45446.645868911997</v>
      </c>
      <c r="I23" s="18">
        <v>155.59</v>
      </c>
      <c r="J23" s="19">
        <v>45478.651864305597</v>
      </c>
      <c r="K23" s="18">
        <v>183.6</v>
      </c>
      <c r="L23" s="20">
        <v>0</v>
      </c>
      <c r="M23" s="20">
        <v>0</v>
      </c>
      <c r="N23" s="21">
        <v>3.7</v>
      </c>
      <c r="O23" s="85" t="s">
        <v>476</v>
      </c>
      <c r="P23" s="84"/>
      <c r="Q23" s="84"/>
      <c r="R23" s="84"/>
      <c r="S23" s="84"/>
      <c r="T23" s="20" t="s">
        <v>0</v>
      </c>
      <c r="U23" s="20" t="s">
        <v>0</v>
      </c>
      <c r="V23" s="21" t="s">
        <v>0</v>
      </c>
      <c r="W23" s="85" t="s">
        <v>0</v>
      </c>
      <c r="X23" s="84"/>
      <c r="Y23" s="84"/>
    </row>
    <row r="24" spans="2:25" x14ac:dyDescent="0.25">
      <c r="B24" s="83">
        <v>576566234</v>
      </c>
      <c r="C24" s="84"/>
      <c r="D24" s="105" t="s">
        <v>514</v>
      </c>
      <c r="E24" s="84"/>
      <c r="F24" s="22" t="s">
        <v>475</v>
      </c>
      <c r="G24" s="23">
        <v>0.14879999999999999</v>
      </c>
      <c r="H24" s="24">
        <v>45449.867608506902</v>
      </c>
      <c r="I24" s="23">
        <v>67.2</v>
      </c>
      <c r="J24" s="24">
        <v>45481.657728981503</v>
      </c>
      <c r="K24" s="23">
        <v>69.650000000000006</v>
      </c>
      <c r="L24" s="25">
        <v>0</v>
      </c>
      <c r="M24" s="25">
        <v>0</v>
      </c>
      <c r="N24" s="28">
        <v>0.36</v>
      </c>
      <c r="O24" s="83" t="s">
        <v>476</v>
      </c>
      <c r="P24" s="84"/>
      <c r="Q24" s="84"/>
      <c r="R24" s="84"/>
      <c r="S24" s="84"/>
      <c r="T24" s="25" t="s">
        <v>0</v>
      </c>
      <c r="U24" s="25" t="s">
        <v>0</v>
      </c>
      <c r="V24" s="28" t="s">
        <v>0</v>
      </c>
      <c r="W24" s="83" t="s">
        <v>0</v>
      </c>
      <c r="X24" s="84"/>
      <c r="Y24" s="84"/>
    </row>
    <row r="25" spans="2:25" x14ac:dyDescent="0.25">
      <c r="B25" s="85">
        <v>576589618</v>
      </c>
      <c r="C25" s="84"/>
      <c r="D25" s="104" t="s">
        <v>515</v>
      </c>
      <c r="E25" s="84"/>
      <c r="F25" s="16" t="s">
        <v>475</v>
      </c>
      <c r="G25" s="18">
        <v>0.20200000000000001</v>
      </c>
      <c r="H25" s="19">
        <v>45464.673817129602</v>
      </c>
      <c r="I25" s="18">
        <v>100.78</v>
      </c>
      <c r="J25" s="19">
        <v>45481.670219722197</v>
      </c>
      <c r="K25" s="18">
        <v>100.83</v>
      </c>
      <c r="L25" s="20">
        <v>0</v>
      </c>
      <c r="M25" s="20">
        <v>0</v>
      </c>
      <c r="N25" s="21">
        <v>0.01</v>
      </c>
      <c r="O25" s="85" t="s">
        <v>476</v>
      </c>
      <c r="P25" s="84"/>
      <c r="Q25" s="84"/>
      <c r="R25" s="84"/>
      <c r="S25" s="84"/>
      <c r="T25" s="20" t="s">
        <v>0</v>
      </c>
      <c r="U25" s="20" t="s">
        <v>0</v>
      </c>
      <c r="V25" s="21" t="s">
        <v>0</v>
      </c>
      <c r="W25" s="85" t="s">
        <v>0</v>
      </c>
      <c r="X25" s="84"/>
      <c r="Y25" s="84"/>
    </row>
    <row r="26" spans="2:25" x14ac:dyDescent="0.25">
      <c r="B26" s="83">
        <v>576713073</v>
      </c>
      <c r="C26" s="84"/>
      <c r="D26" s="105" t="s">
        <v>516</v>
      </c>
      <c r="E26" s="84"/>
      <c r="F26" s="22" t="s">
        <v>475</v>
      </c>
      <c r="G26" s="23">
        <v>0.2742</v>
      </c>
      <c r="H26" s="24">
        <v>45464.660972338002</v>
      </c>
      <c r="I26" s="23">
        <v>72.930000000000007</v>
      </c>
      <c r="J26" s="24">
        <v>45481.779039421301</v>
      </c>
      <c r="K26" s="23">
        <v>72.290000000000006</v>
      </c>
      <c r="L26" s="25">
        <v>0</v>
      </c>
      <c r="M26" s="25">
        <v>0</v>
      </c>
      <c r="N26" s="26">
        <v>-0.18</v>
      </c>
      <c r="O26" s="83" t="s">
        <v>476</v>
      </c>
      <c r="P26" s="84"/>
      <c r="Q26" s="84"/>
      <c r="R26" s="84"/>
      <c r="S26" s="84"/>
      <c r="T26" s="25" t="s">
        <v>0</v>
      </c>
      <c r="U26" s="25" t="s">
        <v>0</v>
      </c>
      <c r="V26" s="26" t="s">
        <v>0</v>
      </c>
      <c r="W26" s="83" t="s">
        <v>0</v>
      </c>
      <c r="X26" s="84"/>
      <c r="Y26" s="84"/>
    </row>
    <row r="27" spans="2:25" x14ac:dyDescent="0.25">
      <c r="B27" s="85">
        <v>576730639</v>
      </c>
      <c r="C27" s="84"/>
      <c r="D27" s="104" t="s">
        <v>513</v>
      </c>
      <c r="E27" s="84"/>
      <c r="F27" s="16" t="s">
        <v>475</v>
      </c>
      <c r="G27" s="18">
        <v>0.109</v>
      </c>
      <c r="H27" s="19">
        <v>45478.678155138899</v>
      </c>
      <c r="I27" s="18">
        <v>183</v>
      </c>
      <c r="J27" s="19">
        <v>45481.812054536997</v>
      </c>
      <c r="K27" s="18">
        <v>186.5</v>
      </c>
      <c r="L27" s="20">
        <v>0</v>
      </c>
      <c r="M27" s="20">
        <v>0</v>
      </c>
      <c r="N27" s="21">
        <v>0.39</v>
      </c>
      <c r="O27" s="85" t="s">
        <v>476</v>
      </c>
      <c r="P27" s="84"/>
      <c r="Q27" s="84"/>
      <c r="R27" s="84"/>
      <c r="S27" s="84"/>
      <c r="T27" s="20" t="s">
        <v>0</v>
      </c>
      <c r="U27" s="20" t="s">
        <v>0</v>
      </c>
      <c r="V27" s="21" t="s">
        <v>0</v>
      </c>
      <c r="W27" s="85" t="s">
        <v>0</v>
      </c>
      <c r="X27" s="84"/>
      <c r="Y27" s="84"/>
    </row>
    <row r="28" spans="2:25" x14ac:dyDescent="0.25">
      <c r="B28" s="83">
        <v>576738618</v>
      </c>
      <c r="C28" s="84"/>
      <c r="D28" s="105" t="s">
        <v>517</v>
      </c>
      <c r="E28" s="84"/>
      <c r="F28" s="22" t="s">
        <v>475</v>
      </c>
      <c r="G28" s="23">
        <v>0.1052</v>
      </c>
      <c r="H28" s="24">
        <v>45478.655819363397</v>
      </c>
      <c r="I28" s="23">
        <v>188.48</v>
      </c>
      <c r="J28" s="24">
        <v>45481.826316944404</v>
      </c>
      <c r="K28" s="23">
        <v>189.21</v>
      </c>
      <c r="L28" s="25">
        <v>0</v>
      </c>
      <c r="M28" s="25">
        <v>0</v>
      </c>
      <c r="N28" s="28">
        <v>7.0000000000000007E-2</v>
      </c>
      <c r="O28" s="83" t="s">
        <v>476</v>
      </c>
      <c r="P28" s="84"/>
      <c r="Q28" s="84"/>
      <c r="R28" s="84"/>
      <c r="S28" s="84"/>
      <c r="T28" s="25" t="s">
        <v>0</v>
      </c>
      <c r="U28" s="25" t="s">
        <v>0</v>
      </c>
      <c r="V28" s="28" t="s">
        <v>0</v>
      </c>
      <c r="W28" s="83" t="s">
        <v>0</v>
      </c>
      <c r="X28" s="84"/>
      <c r="Y28" s="84"/>
    </row>
    <row r="29" spans="2:25" x14ac:dyDescent="0.25">
      <c r="B29" s="85">
        <v>577298781</v>
      </c>
      <c r="C29" s="84"/>
      <c r="D29" s="104" t="s">
        <v>518</v>
      </c>
      <c r="E29" s="84"/>
      <c r="F29" s="16" t="s">
        <v>475</v>
      </c>
      <c r="G29" s="18">
        <v>1</v>
      </c>
      <c r="H29" s="19">
        <v>45460.646119108802</v>
      </c>
      <c r="I29" s="18">
        <v>22.89</v>
      </c>
      <c r="J29" s="19">
        <v>45482.713253599497</v>
      </c>
      <c r="K29" s="18">
        <v>18.62</v>
      </c>
      <c r="L29" s="20">
        <v>0</v>
      </c>
      <c r="M29" s="20">
        <v>0</v>
      </c>
      <c r="N29" s="27">
        <v>-4.2699999999999996</v>
      </c>
      <c r="O29" s="85" t="s">
        <v>476</v>
      </c>
      <c r="P29" s="84"/>
      <c r="Q29" s="84"/>
      <c r="R29" s="84"/>
      <c r="S29" s="84"/>
      <c r="T29" s="20" t="s">
        <v>0</v>
      </c>
      <c r="U29" s="20" t="s">
        <v>0</v>
      </c>
      <c r="V29" s="27" t="s">
        <v>0</v>
      </c>
      <c r="W29" s="85" t="s">
        <v>0</v>
      </c>
      <c r="X29" s="84"/>
      <c r="Y29" s="84"/>
    </row>
    <row r="30" spans="2:25" x14ac:dyDescent="0.25">
      <c r="B30" s="83">
        <v>577321581</v>
      </c>
      <c r="C30" s="84"/>
      <c r="D30" s="105" t="s">
        <v>513</v>
      </c>
      <c r="E30" s="84"/>
      <c r="F30" s="22" t="s">
        <v>475</v>
      </c>
      <c r="G30" s="23">
        <v>1.4E-3</v>
      </c>
      <c r="H30" s="24">
        <v>45478.678155138899</v>
      </c>
      <c r="I30" s="23">
        <v>183</v>
      </c>
      <c r="J30" s="24">
        <v>45482.729964201397</v>
      </c>
      <c r="K30" s="23">
        <v>182.97</v>
      </c>
      <c r="L30" s="25">
        <v>0</v>
      </c>
      <c r="M30" s="25">
        <v>0</v>
      </c>
      <c r="N30" s="28">
        <v>0</v>
      </c>
      <c r="O30" s="83" t="s">
        <v>476</v>
      </c>
      <c r="P30" s="84"/>
      <c r="Q30" s="84"/>
      <c r="R30" s="84"/>
      <c r="S30" s="84"/>
      <c r="T30" s="25" t="s">
        <v>0</v>
      </c>
      <c r="U30" s="25" t="s">
        <v>0</v>
      </c>
      <c r="V30" s="28" t="s">
        <v>0</v>
      </c>
      <c r="W30" s="83" t="s">
        <v>0</v>
      </c>
      <c r="X30" s="84"/>
      <c r="Y30" s="84"/>
    </row>
    <row r="31" spans="2:25" x14ac:dyDescent="0.25">
      <c r="B31" s="85">
        <v>577321583</v>
      </c>
      <c r="C31" s="84"/>
      <c r="D31" s="104" t="s">
        <v>513</v>
      </c>
      <c r="E31" s="84"/>
      <c r="F31" s="16" t="s">
        <v>475</v>
      </c>
      <c r="G31" s="18">
        <v>0.1077</v>
      </c>
      <c r="H31" s="19">
        <v>45481.8312823495</v>
      </c>
      <c r="I31" s="18">
        <v>186.7</v>
      </c>
      <c r="J31" s="19">
        <v>45482.729964201397</v>
      </c>
      <c r="K31" s="18">
        <v>182.97</v>
      </c>
      <c r="L31" s="20">
        <v>0</v>
      </c>
      <c r="M31" s="20">
        <v>0</v>
      </c>
      <c r="N31" s="27">
        <v>-0.39</v>
      </c>
      <c r="O31" s="85" t="s">
        <v>476</v>
      </c>
      <c r="P31" s="84"/>
      <c r="Q31" s="84"/>
      <c r="R31" s="84"/>
      <c r="S31" s="84"/>
      <c r="T31" s="20" t="s">
        <v>0</v>
      </c>
      <c r="U31" s="20" t="s">
        <v>0</v>
      </c>
      <c r="V31" s="27" t="s">
        <v>0</v>
      </c>
      <c r="W31" s="85" t="s">
        <v>0</v>
      </c>
      <c r="X31" s="84"/>
      <c r="Y31" s="84"/>
    </row>
    <row r="32" spans="2:25" x14ac:dyDescent="0.25">
      <c r="B32" s="83">
        <v>577413102</v>
      </c>
      <c r="C32" s="84"/>
      <c r="D32" s="105" t="s">
        <v>507</v>
      </c>
      <c r="E32" s="84"/>
      <c r="F32" s="22" t="s">
        <v>475</v>
      </c>
      <c r="G32" s="23">
        <v>7.7100000000000002E-2</v>
      </c>
      <c r="H32" s="24">
        <v>45481.658016250003</v>
      </c>
      <c r="I32" s="23">
        <v>129.47999999999999</v>
      </c>
      <c r="J32" s="24">
        <v>45482.864655659701</v>
      </c>
      <c r="K32" s="23">
        <v>130.75</v>
      </c>
      <c r="L32" s="25">
        <v>0</v>
      </c>
      <c r="M32" s="25">
        <v>0</v>
      </c>
      <c r="N32" s="28">
        <v>0.09</v>
      </c>
      <c r="O32" s="83" t="s">
        <v>476</v>
      </c>
      <c r="P32" s="84"/>
      <c r="Q32" s="84"/>
      <c r="R32" s="84"/>
      <c r="S32" s="84"/>
      <c r="T32" s="25" t="s">
        <v>0</v>
      </c>
      <c r="U32" s="25" t="s">
        <v>0</v>
      </c>
      <c r="V32" s="28" t="s">
        <v>0</v>
      </c>
      <c r="W32" s="83" t="s">
        <v>0</v>
      </c>
      <c r="X32" s="84"/>
      <c r="Y32" s="84"/>
    </row>
    <row r="33" spans="2:25" x14ac:dyDescent="0.25">
      <c r="B33" s="85">
        <v>577431928</v>
      </c>
      <c r="C33" s="84"/>
      <c r="D33" s="104" t="s">
        <v>507</v>
      </c>
      <c r="E33" s="84"/>
      <c r="F33" s="16" t="s">
        <v>475</v>
      </c>
      <c r="G33" s="18">
        <v>1E-4</v>
      </c>
      <c r="H33" s="19">
        <v>45481.658016250003</v>
      </c>
      <c r="I33" s="18">
        <v>129.47999999999999</v>
      </c>
      <c r="J33" s="19">
        <v>45482.915005057897</v>
      </c>
      <c r="K33" s="18">
        <v>131.24</v>
      </c>
      <c r="L33" s="20">
        <v>0</v>
      </c>
      <c r="M33" s="20">
        <v>0</v>
      </c>
      <c r="N33" s="21">
        <v>0</v>
      </c>
      <c r="O33" s="85" t="s">
        <v>476</v>
      </c>
      <c r="P33" s="84"/>
      <c r="Q33" s="84"/>
      <c r="R33" s="84"/>
      <c r="S33" s="84"/>
      <c r="T33" s="20" t="s">
        <v>0</v>
      </c>
      <c r="U33" s="20" t="s">
        <v>0</v>
      </c>
      <c r="V33" s="21" t="s">
        <v>0</v>
      </c>
      <c r="W33" s="85" t="s">
        <v>0</v>
      </c>
      <c r="X33" s="84"/>
      <c r="Y33" s="84"/>
    </row>
    <row r="34" spans="2:25" x14ac:dyDescent="0.25">
      <c r="B34" s="83">
        <v>577431994</v>
      </c>
      <c r="C34" s="84"/>
      <c r="D34" s="105" t="s">
        <v>513</v>
      </c>
      <c r="E34" s="84"/>
      <c r="F34" s="22" t="s">
        <v>475</v>
      </c>
      <c r="G34" s="23">
        <v>1.1000000000000001E-3</v>
      </c>
      <c r="H34" s="24">
        <v>45481.8312823495</v>
      </c>
      <c r="I34" s="23">
        <v>186.7</v>
      </c>
      <c r="J34" s="24">
        <v>45482.915064537003</v>
      </c>
      <c r="K34" s="23">
        <v>184.46</v>
      </c>
      <c r="L34" s="25">
        <v>0</v>
      </c>
      <c r="M34" s="25">
        <v>0</v>
      </c>
      <c r="N34" s="26">
        <v>-0.01</v>
      </c>
      <c r="O34" s="83" t="s">
        <v>476</v>
      </c>
      <c r="P34" s="84"/>
      <c r="Q34" s="84"/>
      <c r="R34" s="84"/>
      <c r="S34" s="84"/>
      <c r="T34" s="25" t="s">
        <v>0</v>
      </c>
      <c r="U34" s="25" t="s">
        <v>0</v>
      </c>
      <c r="V34" s="26" t="s">
        <v>0</v>
      </c>
      <c r="W34" s="83" t="s">
        <v>0</v>
      </c>
      <c r="X34" s="84"/>
      <c r="Y34" s="84"/>
    </row>
    <row r="35" spans="2:25" x14ac:dyDescent="0.25">
      <c r="B35" s="85">
        <v>578026598</v>
      </c>
      <c r="C35" s="84"/>
      <c r="D35" s="104" t="s">
        <v>519</v>
      </c>
      <c r="E35" s="84"/>
      <c r="F35" s="16" t="s">
        <v>475</v>
      </c>
      <c r="G35" s="18">
        <v>0.22800000000000001</v>
      </c>
      <c r="H35" s="19">
        <v>45464.661390706002</v>
      </c>
      <c r="I35" s="18">
        <v>88.67</v>
      </c>
      <c r="J35" s="19">
        <v>45483.778784374997</v>
      </c>
      <c r="K35" s="18">
        <v>87.81</v>
      </c>
      <c r="L35" s="20">
        <v>0</v>
      </c>
      <c r="M35" s="20">
        <v>0</v>
      </c>
      <c r="N35" s="27">
        <v>-0.2</v>
      </c>
      <c r="O35" s="85" t="s">
        <v>476</v>
      </c>
      <c r="P35" s="84"/>
      <c r="Q35" s="84"/>
      <c r="R35" s="84"/>
      <c r="S35" s="84"/>
      <c r="T35" s="20" t="s">
        <v>0</v>
      </c>
      <c r="U35" s="20" t="s">
        <v>0</v>
      </c>
      <c r="V35" s="27" t="s">
        <v>0</v>
      </c>
      <c r="W35" s="85" t="s">
        <v>0</v>
      </c>
      <c r="X35" s="84"/>
      <c r="Y35" s="84"/>
    </row>
    <row r="36" spans="2:25" x14ac:dyDescent="0.25">
      <c r="B36" s="83">
        <v>578026789</v>
      </c>
      <c r="C36" s="84"/>
      <c r="D36" s="105" t="s">
        <v>519</v>
      </c>
      <c r="E36" s="84"/>
      <c r="F36" s="22" t="s">
        <v>475</v>
      </c>
      <c r="G36" s="23">
        <v>1E-4</v>
      </c>
      <c r="H36" s="24">
        <v>45464.661390706002</v>
      </c>
      <c r="I36" s="23">
        <v>88.67</v>
      </c>
      <c r="J36" s="24">
        <v>45483.778972719898</v>
      </c>
      <c r="K36" s="23">
        <v>87.82</v>
      </c>
      <c r="L36" s="25">
        <v>0</v>
      </c>
      <c r="M36" s="25">
        <v>0</v>
      </c>
      <c r="N36" s="28">
        <v>0</v>
      </c>
      <c r="O36" s="83" t="s">
        <v>476</v>
      </c>
      <c r="P36" s="84"/>
      <c r="Q36" s="84"/>
      <c r="R36" s="84"/>
      <c r="S36" s="84"/>
      <c r="T36" s="25" t="s">
        <v>0</v>
      </c>
      <c r="U36" s="25" t="s">
        <v>0</v>
      </c>
      <c r="V36" s="28" t="s">
        <v>0</v>
      </c>
      <c r="W36" s="83" t="s">
        <v>0</v>
      </c>
      <c r="X36" s="84"/>
      <c r="Y36" s="84"/>
    </row>
    <row r="37" spans="2:25" x14ac:dyDescent="0.25">
      <c r="B37" s="85">
        <v>578026861</v>
      </c>
      <c r="C37" s="84"/>
      <c r="D37" s="104" t="s">
        <v>517</v>
      </c>
      <c r="E37" s="84"/>
      <c r="F37" s="16" t="s">
        <v>475</v>
      </c>
      <c r="G37" s="18">
        <v>2.5999999999999999E-3</v>
      </c>
      <c r="H37" s="19">
        <v>45478.655819363397</v>
      </c>
      <c r="I37" s="18">
        <v>188.48</v>
      </c>
      <c r="J37" s="19">
        <v>45483.779087152798</v>
      </c>
      <c r="K37" s="18">
        <v>190.3</v>
      </c>
      <c r="L37" s="20">
        <v>0</v>
      </c>
      <c r="M37" s="20">
        <v>0</v>
      </c>
      <c r="N37" s="21">
        <v>0</v>
      </c>
      <c r="O37" s="85" t="s">
        <v>476</v>
      </c>
      <c r="P37" s="84"/>
      <c r="Q37" s="84"/>
      <c r="R37" s="84"/>
      <c r="S37" s="84"/>
      <c r="T37" s="20" t="s">
        <v>0</v>
      </c>
      <c r="U37" s="20" t="s">
        <v>0</v>
      </c>
      <c r="V37" s="21" t="s">
        <v>0</v>
      </c>
      <c r="W37" s="85" t="s">
        <v>0</v>
      </c>
      <c r="X37" s="84"/>
      <c r="Y37" s="84"/>
    </row>
    <row r="38" spans="2:25" x14ac:dyDescent="0.25">
      <c r="B38" s="83">
        <v>578670221</v>
      </c>
      <c r="C38" s="84"/>
      <c r="D38" s="105" t="s">
        <v>520</v>
      </c>
      <c r="E38" s="84"/>
      <c r="F38" s="22" t="s">
        <v>475</v>
      </c>
      <c r="G38" s="23">
        <v>0.48280000000000001</v>
      </c>
      <c r="H38" s="24">
        <v>45481.711071863399</v>
      </c>
      <c r="I38" s="23">
        <v>41.87</v>
      </c>
      <c r="J38" s="24">
        <v>45484.667682557898</v>
      </c>
      <c r="K38" s="23">
        <v>42.35</v>
      </c>
      <c r="L38" s="25">
        <v>0</v>
      </c>
      <c r="M38" s="25">
        <v>0</v>
      </c>
      <c r="N38" s="28">
        <v>0.23</v>
      </c>
      <c r="O38" s="83" t="s">
        <v>476</v>
      </c>
      <c r="P38" s="84"/>
      <c r="Q38" s="84"/>
      <c r="R38" s="84"/>
      <c r="S38" s="84"/>
      <c r="T38" s="25" t="s">
        <v>0</v>
      </c>
      <c r="U38" s="25" t="s">
        <v>0</v>
      </c>
      <c r="V38" s="28" t="s">
        <v>0</v>
      </c>
      <c r="W38" s="83" t="s">
        <v>0</v>
      </c>
      <c r="X38" s="84"/>
      <c r="Y38" s="84"/>
    </row>
    <row r="39" spans="2:25" x14ac:dyDescent="0.25">
      <c r="B39" s="85">
        <v>578670583</v>
      </c>
      <c r="C39" s="84"/>
      <c r="D39" s="104" t="s">
        <v>520</v>
      </c>
      <c r="E39" s="84"/>
      <c r="F39" s="16" t="s">
        <v>475</v>
      </c>
      <c r="G39" s="18">
        <v>1.2999999999999999E-3</v>
      </c>
      <c r="H39" s="19">
        <v>45481.711071863399</v>
      </c>
      <c r="I39" s="18">
        <v>41.87</v>
      </c>
      <c r="J39" s="19">
        <v>45484.667815578701</v>
      </c>
      <c r="K39" s="18">
        <v>42.35</v>
      </c>
      <c r="L39" s="20">
        <v>0</v>
      </c>
      <c r="M39" s="20">
        <v>0</v>
      </c>
      <c r="N39" s="21">
        <v>0.01</v>
      </c>
      <c r="O39" s="85" t="s">
        <v>476</v>
      </c>
      <c r="P39" s="84"/>
      <c r="Q39" s="84"/>
      <c r="R39" s="84"/>
      <c r="S39" s="84"/>
      <c r="T39" s="20" t="s">
        <v>0</v>
      </c>
      <c r="U39" s="20" t="s">
        <v>0</v>
      </c>
      <c r="V39" s="21" t="s">
        <v>0</v>
      </c>
      <c r="W39" s="85" t="s">
        <v>0</v>
      </c>
      <c r="X39" s="84"/>
      <c r="Y39" s="84"/>
    </row>
    <row r="40" spans="2:25" x14ac:dyDescent="0.25">
      <c r="B40" s="83">
        <v>578694140</v>
      </c>
      <c r="C40" s="84"/>
      <c r="D40" s="105" t="s">
        <v>521</v>
      </c>
      <c r="E40" s="84"/>
      <c r="F40" s="22" t="s">
        <v>475</v>
      </c>
      <c r="G40" s="23">
        <v>2.3400000000000001E-2</v>
      </c>
      <c r="H40" s="24">
        <v>45453.913343703702</v>
      </c>
      <c r="I40" s="23">
        <v>427.17</v>
      </c>
      <c r="J40" s="24">
        <v>45484.6783462616</v>
      </c>
      <c r="K40" s="23">
        <v>458.18</v>
      </c>
      <c r="L40" s="25">
        <v>0</v>
      </c>
      <c r="M40" s="25">
        <v>0</v>
      </c>
      <c r="N40" s="28">
        <v>0.72</v>
      </c>
      <c r="O40" s="83" t="s">
        <v>476</v>
      </c>
      <c r="P40" s="84"/>
      <c r="Q40" s="84"/>
      <c r="R40" s="84"/>
      <c r="S40" s="84"/>
      <c r="T40" s="25" t="s">
        <v>0</v>
      </c>
      <c r="U40" s="25" t="s">
        <v>0</v>
      </c>
      <c r="V40" s="28" t="s">
        <v>0</v>
      </c>
      <c r="W40" s="83" t="s">
        <v>0</v>
      </c>
      <c r="X40" s="84"/>
      <c r="Y40" s="84"/>
    </row>
    <row r="41" spans="2:25" x14ac:dyDescent="0.25">
      <c r="B41" s="85">
        <v>595464014</v>
      </c>
      <c r="C41" s="84"/>
      <c r="D41" s="104" t="s">
        <v>522</v>
      </c>
      <c r="E41" s="84"/>
      <c r="F41" s="16" t="s">
        <v>475</v>
      </c>
      <c r="G41" s="18">
        <v>4.8099999999999997E-2</v>
      </c>
      <c r="H41" s="19">
        <v>45511.7233718403</v>
      </c>
      <c r="I41" s="18">
        <v>311.85000000000002</v>
      </c>
      <c r="J41" s="19">
        <v>45511.859633599503</v>
      </c>
      <c r="K41" s="18">
        <v>308</v>
      </c>
      <c r="L41" s="20">
        <v>0</v>
      </c>
      <c r="M41" s="20">
        <v>0</v>
      </c>
      <c r="N41" s="27">
        <v>-0.19</v>
      </c>
      <c r="O41" s="85" t="s">
        <v>476</v>
      </c>
      <c r="P41" s="84"/>
      <c r="Q41" s="84"/>
      <c r="R41" s="84"/>
      <c r="S41" s="84"/>
      <c r="T41" s="20" t="s">
        <v>0</v>
      </c>
      <c r="U41" s="20" t="s">
        <v>0</v>
      </c>
      <c r="V41" s="27" t="s">
        <v>0</v>
      </c>
      <c r="W41" s="85" t="s">
        <v>0</v>
      </c>
      <c r="X41" s="84"/>
      <c r="Y41" s="84"/>
    </row>
    <row r="42" spans="2:25" x14ac:dyDescent="0.25">
      <c r="B42" s="83">
        <v>617756754</v>
      </c>
      <c r="C42" s="84"/>
      <c r="D42" s="105" t="s">
        <v>523</v>
      </c>
      <c r="E42" s="84"/>
      <c r="F42" s="22" t="s">
        <v>475</v>
      </c>
      <c r="G42" s="23">
        <v>5.7500000000000002E-2</v>
      </c>
      <c r="H42" s="24">
        <v>45511.722712303199</v>
      </c>
      <c r="I42" s="23">
        <v>260.8</v>
      </c>
      <c r="J42" s="24">
        <v>45551.9050948148</v>
      </c>
      <c r="K42" s="23">
        <v>290.19</v>
      </c>
      <c r="L42" s="25">
        <v>0</v>
      </c>
      <c r="M42" s="25">
        <v>0</v>
      </c>
      <c r="N42" s="28">
        <v>1.69</v>
      </c>
      <c r="O42" s="83" t="s">
        <v>476</v>
      </c>
      <c r="P42" s="84"/>
      <c r="Q42" s="84"/>
      <c r="R42" s="84"/>
      <c r="S42" s="84"/>
      <c r="T42" s="25" t="s">
        <v>0</v>
      </c>
      <c r="U42" s="25" t="s">
        <v>0</v>
      </c>
      <c r="V42" s="28" t="s">
        <v>0</v>
      </c>
      <c r="W42" s="83" t="s">
        <v>0</v>
      </c>
      <c r="X42" s="84"/>
      <c r="Y42" s="84"/>
    </row>
    <row r="43" spans="2:25" x14ac:dyDescent="0.25">
      <c r="B43" s="85">
        <v>622028220</v>
      </c>
      <c r="C43" s="84"/>
      <c r="D43" s="104" t="s">
        <v>524</v>
      </c>
      <c r="E43" s="84"/>
      <c r="F43" s="16" t="s">
        <v>475</v>
      </c>
      <c r="G43" s="18">
        <v>7.7799999999999994E-2</v>
      </c>
      <c r="H43" s="19">
        <v>45481.779346087998</v>
      </c>
      <c r="I43" s="18">
        <v>244.47</v>
      </c>
      <c r="J43" s="19">
        <v>45559.650510312502</v>
      </c>
      <c r="K43" s="18">
        <v>196.86</v>
      </c>
      <c r="L43" s="20">
        <v>0</v>
      </c>
      <c r="M43" s="20">
        <v>0</v>
      </c>
      <c r="N43" s="27">
        <v>-3.7</v>
      </c>
      <c r="O43" s="85" t="s">
        <v>476</v>
      </c>
      <c r="P43" s="84"/>
      <c r="Q43" s="84"/>
      <c r="R43" s="84"/>
      <c r="S43" s="84"/>
      <c r="T43" s="20" t="s">
        <v>0</v>
      </c>
      <c r="U43" s="20" t="s">
        <v>0</v>
      </c>
      <c r="V43" s="27" t="s">
        <v>0</v>
      </c>
      <c r="W43" s="85" t="s">
        <v>0</v>
      </c>
      <c r="X43" s="84"/>
      <c r="Y43" s="84"/>
    </row>
    <row r="44" spans="2:25" x14ac:dyDescent="0.25">
      <c r="B44" s="83">
        <v>622029304</v>
      </c>
      <c r="C44" s="84"/>
      <c r="D44" s="105" t="s">
        <v>524</v>
      </c>
      <c r="E44" s="84"/>
      <c r="F44" s="22" t="s">
        <v>475</v>
      </c>
      <c r="G44" s="23">
        <v>5.1000000000000004E-3</v>
      </c>
      <c r="H44" s="24">
        <v>45481.779346087998</v>
      </c>
      <c r="I44" s="23">
        <v>244.47</v>
      </c>
      <c r="J44" s="24">
        <v>45559.651056307899</v>
      </c>
      <c r="K44" s="23">
        <v>196.91</v>
      </c>
      <c r="L44" s="25">
        <v>0</v>
      </c>
      <c r="M44" s="25">
        <v>0</v>
      </c>
      <c r="N44" s="26">
        <v>-0.25</v>
      </c>
      <c r="O44" s="83" t="s">
        <v>476</v>
      </c>
      <c r="P44" s="84"/>
      <c r="Q44" s="84"/>
      <c r="R44" s="84"/>
      <c r="S44" s="84"/>
      <c r="T44" s="25" t="s">
        <v>0</v>
      </c>
      <c r="U44" s="25" t="s">
        <v>0</v>
      </c>
      <c r="V44" s="26" t="s">
        <v>0</v>
      </c>
      <c r="W44" s="83" t="s">
        <v>0</v>
      </c>
      <c r="X44" s="84"/>
      <c r="Y44" s="84"/>
    </row>
    <row r="45" spans="2:25" x14ac:dyDescent="0.25">
      <c r="B45" s="85">
        <v>623020975</v>
      </c>
      <c r="C45" s="84"/>
      <c r="D45" s="104" t="s">
        <v>517</v>
      </c>
      <c r="E45" s="84"/>
      <c r="F45" s="16" t="s">
        <v>475</v>
      </c>
      <c r="G45" s="18">
        <v>0.13100000000000001</v>
      </c>
      <c r="H45" s="19">
        <v>45483.787147615702</v>
      </c>
      <c r="I45" s="18">
        <v>190.71</v>
      </c>
      <c r="J45" s="19">
        <v>45560.820298055602</v>
      </c>
      <c r="K45" s="18">
        <v>161.87</v>
      </c>
      <c r="L45" s="20">
        <v>0</v>
      </c>
      <c r="M45" s="20">
        <v>0</v>
      </c>
      <c r="N45" s="27">
        <v>-3.78</v>
      </c>
      <c r="O45" s="85" t="s">
        <v>476</v>
      </c>
      <c r="P45" s="84"/>
      <c r="Q45" s="84"/>
      <c r="R45" s="84"/>
      <c r="S45" s="84"/>
      <c r="T45" s="20" t="s">
        <v>0</v>
      </c>
      <c r="U45" s="20" t="s">
        <v>0</v>
      </c>
      <c r="V45" s="27" t="s">
        <v>0</v>
      </c>
      <c r="W45" s="85" t="s">
        <v>0</v>
      </c>
      <c r="X45" s="84"/>
      <c r="Y45" s="84"/>
    </row>
    <row r="46" spans="2:25" x14ac:dyDescent="0.25">
      <c r="B46" s="83">
        <v>643423005</v>
      </c>
      <c r="C46" s="84"/>
      <c r="D46" s="105" t="s">
        <v>41</v>
      </c>
      <c r="E46" s="84"/>
      <c r="F46" s="22" t="s">
        <v>475</v>
      </c>
      <c r="G46" s="23">
        <v>0.02</v>
      </c>
      <c r="H46" s="24">
        <v>45590.728430844902</v>
      </c>
      <c r="I46" s="23">
        <v>19.873100000000001</v>
      </c>
      <c r="J46" s="24">
        <v>45590.730380983798</v>
      </c>
      <c r="K46" s="23">
        <v>19.883500000000002</v>
      </c>
      <c r="L46" s="25">
        <v>0</v>
      </c>
      <c r="M46" s="25">
        <v>0</v>
      </c>
      <c r="N46" s="26">
        <v>-1.05</v>
      </c>
      <c r="O46" s="83" t="s">
        <v>476</v>
      </c>
      <c r="P46" s="84"/>
      <c r="Q46" s="84"/>
      <c r="R46" s="84"/>
      <c r="S46" s="84"/>
      <c r="T46" s="25" t="s">
        <v>0</v>
      </c>
      <c r="U46" s="25" t="s">
        <v>0</v>
      </c>
      <c r="V46" s="26" t="s">
        <v>0</v>
      </c>
      <c r="W46" s="83" t="s">
        <v>0</v>
      </c>
      <c r="X46" s="84"/>
      <c r="Y46" s="84"/>
    </row>
    <row r="47" spans="2:25" x14ac:dyDescent="0.25">
      <c r="B47" s="85">
        <v>643423645</v>
      </c>
      <c r="C47" s="84"/>
      <c r="D47" s="104" t="s">
        <v>41</v>
      </c>
      <c r="E47" s="84"/>
      <c r="F47" s="16" t="s">
        <v>475</v>
      </c>
      <c r="G47" s="18">
        <v>0.02</v>
      </c>
      <c r="H47" s="19">
        <v>45590.223272291703</v>
      </c>
      <c r="I47" s="18">
        <v>19.8369</v>
      </c>
      <c r="J47" s="19">
        <v>45590.730707164403</v>
      </c>
      <c r="K47" s="18">
        <v>19.876100000000001</v>
      </c>
      <c r="L47" s="20">
        <v>0</v>
      </c>
      <c r="M47" s="20">
        <v>0</v>
      </c>
      <c r="N47" s="21">
        <v>3.94</v>
      </c>
      <c r="O47" s="85" t="s">
        <v>476</v>
      </c>
      <c r="P47" s="84"/>
      <c r="Q47" s="84"/>
      <c r="R47" s="84"/>
      <c r="S47" s="84"/>
      <c r="T47" s="20" t="s">
        <v>0</v>
      </c>
      <c r="U47" s="20" t="s">
        <v>0</v>
      </c>
      <c r="V47" s="21" t="s">
        <v>0</v>
      </c>
      <c r="W47" s="85" t="s">
        <v>0</v>
      </c>
      <c r="X47" s="84"/>
      <c r="Y47" s="84"/>
    </row>
    <row r="48" spans="2:25" x14ac:dyDescent="0.25">
      <c r="B48" s="83">
        <v>645678853</v>
      </c>
      <c r="C48" s="84"/>
      <c r="D48" s="105" t="s">
        <v>41</v>
      </c>
      <c r="E48" s="84"/>
      <c r="F48" s="22" t="s">
        <v>475</v>
      </c>
      <c r="G48" s="23">
        <v>0.01</v>
      </c>
      <c r="H48" s="24">
        <v>45594.791179050902</v>
      </c>
      <c r="I48" s="23">
        <v>20.066299999999998</v>
      </c>
      <c r="J48" s="24">
        <v>45595.556388460602</v>
      </c>
      <c r="K48" s="23">
        <v>20.140499999999999</v>
      </c>
      <c r="L48" s="25">
        <v>0</v>
      </c>
      <c r="M48" s="25">
        <v>-0.22</v>
      </c>
      <c r="N48" s="28">
        <v>3.68</v>
      </c>
      <c r="O48" s="83" t="s">
        <v>476</v>
      </c>
      <c r="P48" s="84"/>
      <c r="Q48" s="84"/>
      <c r="R48" s="84"/>
      <c r="S48" s="84"/>
      <c r="T48" s="25" t="s">
        <v>0</v>
      </c>
      <c r="U48" s="25" t="s">
        <v>0</v>
      </c>
      <c r="V48" s="28" t="s">
        <v>0</v>
      </c>
      <c r="W48" s="83" t="s">
        <v>0</v>
      </c>
      <c r="X48" s="84"/>
      <c r="Y48" s="84"/>
    </row>
    <row r="49" spans="2:25" x14ac:dyDescent="0.25">
      <c r="B49" s="85">
        <v>646078662</v>
      </c>
      <c r="C49" s="84"/>
      <c r="D49" s="104" t="s">
        <v>41</v>
      </c>
      <c r="E49" s="84"/>
      <c r="F49" s="16" t="s">
        <v>475</v>
      </c>
      <c r="G49" s="18">
        <v>0.01</v>
      </c>
      <c r="H49" s="19">
        <v>45595.881864490701</v>
      </c>
      <c r="I49" s="18">
        <v>20.159700000000001</v>
      </c>
      <c r="J49" s="19">
        <v>45595.945838101798</v>
      </c>
      <c r="K49" s="18">
        <v>20.191099999999999</v>
      </c>
      <c r="L49" s="20">
        <v>0</v>
      </c>
      <c r="M49" s="20">
        <v>0</v>
      </c>
      <c r="N49" s="27">
        <v>-1.56</v>
      </c>
      <c r="O49" s="85" t="s">
        <v>476</v>
      </c>
      <c r="P49" s="84"/>
      <c r="Q49" s="84"/>
      <c r="R49" s="84"/>
      <c r="S49" s="84"/>
      <c r="T49" s="20" t="s">
        <v>0</v>
      </c>
      <c r="U49" s="20" t="s">
        <v>0</v>
      </c>
      <c r="V49" s="27" t="s">
        <v>0</v>
      </c>
      <c r="W49" s="85" t="s">
        <v>0</v>
      </c>
      <c r="X49" s="84"/>
      <c r="Y49" s="84"/>
    </row>
    <row r="50" spans="2:25" x14ac:dyDescent="0.25">
      <c r="B50" s="83">
        <v>647068636</v>
      </c>
      <c r="C50" s="84"/>
      <c r="D50" s="105" t="s">
        <v>479</v>
      </c>
      <c r="E50" s="84"/>
      <c r="F50" s="22" t="s">
        <v>475</v>
      </c>
      <c r="G50" s="23">
        <v>0.01</v>
      </c>
      <c r="H50" s="24">
        <v>45597.132397187503</v>
      </c>
      <c r="I50" s="23">
        <v>2748.04</v>
      </c>
      <c r="J50" s="24">
        <v>45597.133386805603</v>
      </c>
      <c r="K50" s="23">
        <v>2747.79</v>
      </c>
      <c r="L50" s="25">
        <v>0</v>
      </c>
      <c r="M50" s="25">
        <v>0</v>
      </c>
      <c r="N50" s="28">
        <v>0.25</v>
      </c>
      <c r="O50" s="83" t="s">
        <v>476</v>
      </c>
      <c r="P50" s="84"/>
      <c r="Q50" s="84"/>
      <c r="R50" s="84"/>
      <c r="S50" s="84"/>
      <c r="T50" s="25" t="s">
        <v>0</v>
      </c>
      <c r="U50" s="25" t="s">
        <v>0</v>
      </c>
      <c r="V50" s="28" t="s">
        <v>0</v>
      </c>
      <c r="W50" s="83" t="s">
        <v>0</v>
      </c>
      <c r="X50" s="84"/>
      <c r="Y50" s="84"/>
    </row>
    <row r="51" spans="2:25" x14ac:dyDescent="0.25">
      <c r="B51" s="85">
        <v>647070712</v>
      </c>
      <c r="C51" s="84"/>
      <c r="D51" s="104" t="s">
        <v>479</v>
      </c>
      <c r="E51" s="84"/>
      <c r="F51" s="16" t="s">
        <v>475</v>
      </c>
      <c r="G51" s="18">
        <v>0.01</v>
      </c>
      <c r="H51" s="19">
        <v>45597.135418888902</v>
      </c>
      <c r="I51" s="18">
        <v>2747.23</v>
      </c>
      <c r="J51" s="19">
        <v>45597.138743588002</v>
      </c>
      <c r="K51" s="18">
        <v>2747.25</v>
      </c>
      <c r="L51" s="20">
        <v>0</v>
      </c>
      <c r="M51" s="20">
        <v>0</v>
      </c>
      <c r="N51" s="21">
        <v>0.02</v>
      </c>
      <c r="O51" s="85" t="s">
        <v>476</v>
      </c>
      <c r="P51" s="84"/>
      <c r="Q51" s="84"/>
      <c r="R51" s="84"/>
      <c r="S51" s="84"/>
      <c r="T51" s="20" t="s">
        <v>0</v>
      </c>
      <c r="U51" s="20" t="s">
        <v>0</v>
      </c>
      <c r="V51" s="21" t="s">
        <v>0</v>
      </c>
      <c r="W51" s="85" t="s">
        <v>0</v>
      </c>
      <c r="X51" s="84"/>
      <c r="Y51" s="84"/>
    </row>
    <row r="52" spans="2:25" x14ac:dyDescent="0.25">
      <c r="B52" s="83">
        <v>647071946</v>
      </c>
      <c r="C52" s="84"/>
      <c r="D52" s="105" t="s">
        <v>479</v>
      </c>
      <c r="E52" s="84"/>
      <c r="F52" s="22" t="s">
        <v>475</v>
      </c>
      <c r="G52" s="23">
        <v>0.01</v>
      </c>
      <c r="H52" s="24">
        <v>45597.140248020798</v>
      </c>
      <c r="I52" s="23">
        <v>2747.11</v>
      </c>
      <c r="J52" s="24">
        <v>45597.145487002301</v>
      </c>
      <c r="K52" s="23">
        <v>2747.77</v>
      </c>
      <c r="L52" s="25">
        <v>0</v>
      </c>
      <c r="M52" s="25">
        <v>0</v>
      </c>
      <c r="N52" s="26">
        <v>-0.66</v>
      </c>
      <c r="O52" s="83" t="s">
        <v>476</v>
      </c>
      <c r="P52" s="84"/>
      <c r="Q52" s="84"/>
      <c r="R52" s="84"/>
      <c r="S52" s="84"/>
      <c r="T52" s="25" t="s">
        <v>0</v>
      </c>
      <c r="U52" s="25" t="s">
        <v>0</v>
      </c>
      <c r="V52" s="26" t="s">
        <v>0</v>
      </c>
      <c r="W52" s="83" t="s">
        <v>0</v>
      </c>
      <c r="X52" s="84"/>
      <c r="Y52" s="84"/>
    </row>
    <row r="53" spans="2:25" x14ac:dyDescent="0.25">
      <c r="B53" s="85">
        <v>647072694</v>
      </c>
      <c r="C53" s="84"/>
      <c r="D53" s="104" t="s">
        <v>479</v>
      </c>
      <c r="E53" s="84"/>
      <c r="F53" s="16" t="s">
        <v>475</v>
      </c>
      <c r="G53" s="18">
        <v>0.01</v>
      </c>
      <c r="H53" s="19">
        <v>45597.145563645798</v>
      </c>
      <c r="I53" s="18">
        <v>2748.12</v>
      </c>
      <c r="J53" s="19">
        <v>45597.149368101898</v>
      </c>
      <c r="K53" s="18">
        <v>2746.29</v>
      </c>
      <c r="L53" s="20">
        <v>0</v>
      </c>
      <c r="M53" s="20">
        <v>0</v>
      </c>
      <c r="N53" s="27">
        <v>-1.83</v>
      </c>
      <c r="O53" s="85" t="s">
        <v>476</v>
      </c>
      <c r="P53" s="84"/>
      <c r="Q53" s="84"/>
      <c r="R53" s="84"/>
      <c r="S53" s="84"/>
      <c r="T53" s="20" t="s">
        <v>0</v>
      </c>
      <c r="U53" s="20" t="s">
        <v>0</v>
      </c>
      <c r="V53" s="27" t="s">
        <v>0</v>
      </c>
      <c r="W53" s="85" t="s">
        <v>0</v>
      </c>
      <c r="X53" s="84"/>
      <c r="Y53" s="84"/>
    </row>
    <row r="54" spans="2:25" x14ac:dyDescent="0.25">
      <c r="B54" s="83">
        <v>647072891</v>
      </c>
      <c r="C54" s="84"/>
      <c r="D54" s="105" t="s">
        <v>479</v>
      </c>
      <c r="E54" s="84"/>
      <c r="F54" s="22" t="s">
        <v>475</v>
      </c>
      <c r="G54" s="23">
        <v>0.01</v>
      </c>
      <c r="H54" s="24">
        <v>45597.149493750003</v>
      </c>
      <c r="I54" s="23">
        <v>2746.13</v>
      </c>
      <c r="J54" s="24">
        <v>45597.1507529398</v>
      </c>
      <c r="K54" s="23">
        <v>2747.4</v>
      </c>
      <c r="L54" s="25">
        <v>0</v>
      </c>
      <c r="M54" s="25">
        <v>0</v>
      </c>
      <c r="N54" s="26">
        <v>-1.27</v>
      </c>
      <c r="O54" s="83" t="s">
        <v>476</v>
      </c>
      <c r="P54" s="84"/>
      <c r="Q54" s="84"/>
      <c r="R54" s="84"/>
      <c r="S54" s="84"/>
      <c r="T54" s="25" t="s">
        <v>0</v>
      </c>
      <c r="U54" s="25" t="s">
        <v>0</v>
      </c>
      <c r="V54" s="26" t="s">
        <v>0</v>
      </c>
      <c r="W54" s="83" t="s">
        <v>0</v>
      </c>
      <c r="X54" s="84"/>
      <c r="Y54" s="84"/>
    </row>
    <row r="55" spans="2:25" x14ac:dyDescent="0.25">
      <c r="B55" s="85">
        <v>647076126</v>
      </c>
      <c r="C55" s="84"/>
      <c r="D55" s="104" t="s">
        <v>479</v>
      </c>
      <c r="E55" s="84"/>
      <c r="F55" s="16" t="s">
        <v>475</v>
      </c>
      <c r="G55" s="18">
        <v>0.01</v>
      </c>
      <c r="H55" s="19">
        <v>45597.163851886602</v>
      </c>
      <c r="I55" s="18">
        <v>2748.03</v>
      </c>
      <c r="J55" s="19">
        <v>45597.167569143501</v>
      </c>
      <c r="K55" s="18">
        <v>2748.36</v>
      </c>
      <c r="L55" s="20">
        <v>0</v>
      </c>
      <c r="M55" s="20">
        <v>0</v>
      </c>
      <c r="N55" s="21">
        <v>0.33</v>
      </c>
      <c r="O55" s="85" t="s">
        <v>476</v>
      </c>
      <c r="P55" s="84"/>
      <c r="Q55" s="84"/>
      <c r="R55" s="84"/>
      <c r="S55" s="84"/>
      <c r="T55" s="20" t="s">
        <v>0</v>
      </c>
      <c r="U55" s="20" t="s">
        <v>0</v>
      </c>
      <c r="V55" s="21" t="s">
        <v>0</v>
      </c>
      <c r="W55" s="85" t="s">
        <v>0</v>
      </c>
      <c r="X55" s="84"/>
      <c r="Y55" s="84"/>
    </row>
    <row r="56" spans="2:25" x14ac:dyDescent="0.25">
      <c r="B56" s="83">
        <v>647080286</v>
      </c>
      <c r="C56" s="84"/>
      <c r="D56" s="105" t="s">
        <v>479</v>
      </c>
      <c r="E56" s="84"/>
      <c r="F56" s="22" t="s">
        <v>475</v>
      </c>
      <c r="G56" s="23">
        <v>0.01</v>
      </c>
      <c r="H56" s="24">
        <v>45597.184160023098</v>
      </c>
      <c r="I56" s="23">
        <v>2749.48</v>
      </c>
      <c r="J56" s="24">
        <v>45597.189719340298</v>
      </c>
      <c r="K56" s="23">
        <v>2749.54</v>
      </c>
      <c r="L56" s="25">
        <v>0</v>
      </c>
      <c r="M56" s="25">
        <v>0</v>
      </c>
      <c r="N56" s="28">
        <v>0.06</v>
      </c>
      <c r="O56" s="83" t="s">
        <v>476</v>
      </c>
      <c r="P56" s="84"/>
      <c r="Q56" s="84"/>
      <c r="R56" s="84"/>
      <c r="S56" s="84"/>
      <c r="T56" s="25" t="s">
        <v>0</v>
      </c>
      <c r="U56" s="25" t="s">
        <v>0</v>
      </c>
      <c r="V56" s="28" t="s">
        <v>0</v>
      </c>
      <c r="W56" s="83" t="s">
        <v>0</v>
      </c>
      <c r="X56" s="84"/>
      <c r="Y56" s="84"/>
    </row>
    <row r="57" spans="2:25" x14ac:dyDescent="0.25">
      <c r="B57" s="85">
        <v>647462354</v>
      </c>
      <c r="C57" s="84"/>
      <c r="D57" s="104" t="s">
        <v>479</v>
      </c>
      <c r="E57" s="84"/>
      <c r="F57" s="16" t="s">
        <v>475</v>
      </c>
      <c r="G57" s="18">
        <v>0.01</v>
      </c>
      <c r="H57" s="19">
        <v>45597.238111597202</v>
      </c>
      <c r="I57" s="18">
        <v>2751.84</v>
      </c>
      <c r="J57" s="19">
        <v>45597.562548159702</v>
      </c>
      <c r="K57" s="18">
        <v>2756.23</v>
      </c>
      <c r="L57" s="20">
        <v>0</v>
      </c>
      <c r="M57" s="20">
        <v>0</v>
      </c>
      <c r="N57" s="21">
        <v>4.3899999999999997</v>
      </c>
      <c r="O57" s="85" t="s">
        <v>476</v>
      </c>
      <c r="P57" s="84"/>
      <c r="Q57" s="84"/>
      <c r="R57" s="84"/>
      <c r="S57" s="84"/>
      <c r="T57" s="20" t="s">
        <v>0</v>
      </c>
      <c r="U57" s="20" t="s">
        <v>0</v>
      </c>
      <c r="V57" s="21" t="s">
        <v>0</v>
      </c>
      <c r="W57" s="85" t="s">
        <v>0</v>
      </c>
      <c r="X57" s="84"/>
      <c r="Y57" s="84"/>
    </row>
    <row r="58" spans="2:25" x14ac:dyDescent="0.25">
      <c r="B58" s="83">
        <v>647724830</v>
      </c>
      <c r="C58" s="84"/>
      <c r="D58" s="105" t="s">
        <v>41</v>
      </c>
      <c r="E58" s="84"/>
      <c r="F58" s="22" t="s">
        <v>475</v>
      </c>
      <c r="G58" s="23">
        <v>0.01</v>
      </c>
      <c r="H58" s="24">
        <v>45596.558121296301</v>
      </c>
      <c r="I58" s="23">
        <v>20.0901</v>
      </c>
      <c r="J58" s="24">
        <v>45597.730771990697</v>
      </c>
      <c r="K58" s="23">
        <v>20.077500000000001</v>
      </c>
      <c r="L58" s="25">
        <v>0</v>
      </c>
      <c r="M58" s="25">
        <v>-0.22</v>
      </c>
      <c r="N58" s="26">
        <v>-0.63</v>
      </c>
      <c r="O58" s="83" t="s">
        <v>476</v>
      </c>
      <c r="P58" s="84"/>
      <c r="Q58" s="84"/>
      <c r="R58" s="84"/>
      <c r="S58" s="84"/>
      <c r="T58" s="25" t="s">
        <v>0</v>
      </c>
      <c r="U58" s="25" t="s">
        <v>0</v>
      </c>
      <c r="V58" s="26" t="s">
        <v>0</v>
      </c>
      <c r="W58" s="83" t="s">
        <v>0</v>
      </c>
      <c r="X58" s="84"/>
      <c r="Y58" s="84"/>
    </row>
    <row r="59" spans="2:25" x14ac:dyDescent="0.25">
      <c r="B59" s="85">
        <v>647724835</v>
      </c>
      <c r="C59" s="84"/>
      <c r="D59" s="104" t="s">
        <v>41</v>
      </c>
      <c r="E59" s="84"/>
      <c r="F59" s="16" t="s">
        <v>475</v>
      </c>
      <c r="G59" s="18">
        <v>0.01</v>
      </c>
      <c r="H59" s="19">
        <v>45597.596389050901</v>
      </c>
      <c r="I59" s="18">
        <v>19.9771</v>
      </c>
      <c r="J59" s="19">
        <v>45597.730772708303</v>
      </c>
      <c r="K59" s="18">
        <v>20.077500000000001</v>
      </c>
      <c r="L59" s="20">
        <v>0</v>
      </c>
      <c r="M59" s="20">
        <v>0</v>
      </c>
      <c r="N59" s="21">
        <v>5</v>
      </c>
      <c r="O59" s="85" t="s">
        <v>476</v>
      </c>
      <c r="P59" s="84"/>
      <c r="Q59" s="84"/>
      <c r="R59" s="84"/>
      <c r="S59" s="84"/>
      <c r="T59" s="20" t="s">
        <v>0</v>
      </c>
      <c r="U59" s="20" t="s">
        <v>0</v>
      </c>
      <c r="V59" s="21" t="s">
        <v>0</v>
      </c>
      <c r="W59" s="85" t="s">
        <v>0</v>
      </c>
      <c r="X59" s="84"/>
      <c r="Y59" s="84"/>
    </row>
    <row r="60" spans="2:25" x14ac:dyDescent="0.25">
      <c r="B60" s="83">
        <v>647724904</v>
      </c>
      <c r="C60" s="84"/>
      <c r="D60" s="105" t="s">
        <v>41</v>
      </c>
      <c r="E60" s="84"/>
      <c r="F60" s="22" t="s">
        <v>475</v>
      </c>
      <c r="G60" s="23">
        <v>0.01</v>
      </c>
      <c r="H60" s="24">
        <v>45597.730387268501</v>
      </c>
      <c r="I60" s="23">
        <v>20.077999999999999</v>
      </c>
      <c r="J60" s="24">
        <v>45597.7308907755</v>
      </c>
      <c r="K60" s="23">
        <v>20.082000000000001</v>
      </c>
      <c r="L60" s="25">
        <v>0</v>
      </c>
      <c r="M60" s="25">
        <v>0</v>
      </c>
      <c r="N60" s="26">
        <v>-0.2</v>
      </c>
      <c r="O60" s="83" t="s">
        <v>476</v>
      </c>
      <c r="P60" s="84"/>
      <c r="Q60" s="84"/>
      <c r="R60" s="84"/>
      <c r="S60" s="84"/>
      <c r="T60" s="25" t="s">
        <v>0</v>
      </c>
      <c r="U60" s="25" t="s">
        <v>0</v>
      </c>
      <c r="V60" s="26" t="s">
        <v>0</v>
      </c>
      <c r="W60" s="83" t="s">
        <v>0</v>
      </c>
      <c r="X60" s="84"/>
      <c r="Y60" s="84"/>
    </row>
    <row r="61" spans="2:25" x14ac:dyDescent="0.25">
      <c r="B61" s="85">
        <v>648737875</v>
      </c>
      <c r="C61" s="84"/>
      <c r="D61" s="104" t="s">
        <v>45</v>
      </c>
      <c r="E61" s="84"/>
      <c r="F61" s="16" t="s">
        <v>475</v>
      </c>
      <c r="G61" s="18">
        <v>0.01</v>
      </c>
      <c r="H61" s="19">
        <v>45597.7055271875</v>
      </c>
      <c r="I61" s="18">
        <v>20.079999999999998</v>
      </c>
      <c r="J61" s="19">
        <v>45600.683922395801</v>
      </c>
      <c r="K61" s="18">
        <v>19.63</v>
      </c>
      <c r="L61" s="20">
        <v>0</v>
      </c>
      <c r="M61" s="20">
        <v>-0.63</v>
      </c>
      <c r="N61" s="27">
        <v>-18</v>
      </c>
      <c r="O61" s="85" t="s">
        <v>476</v>
      </c>
      <c r="P61" s="84"/>
      <c r="Q61" s="84"/>
      <c r="R61" s="84"/>
      <c r="S61" s="84"/>
      <c r="T61" s="20" t="s">
        <v>0</v>
      </c>
      <c r="U61" s="20" t="s">
        <v>0</v>
      </c>
      <c r="V61" s="27" t="s">
        <v>0</v>
      </c>
      <c r="W61" s="85" t="s">
        <v>0</v>
      </c>
      <c r="X61" s="84"/>
      <c r="Y61" s="84"/>
    </row>
    <row r="62" spans="2:25" x14ac:dyDescent="0.25">
      <c r="B62" s="83">
        <v>652707392</v>
      </c>
      <c r="C62" s="84"/>
      <c r="D62" s="105" t="s">
        <v>507</v>
      </c>
      <c r="E62" s="84"/>
      <c r="F62" s="22" t="s">
        <v>475</v>
      </c>
      <c r="G62" s="23">
        <v>0.15210000000000001</v>
      </c>
      <c r="H62" s="24">
        <v>45482.915812719897</v>
      </c>
      <c r="I62" s="23">
        <v>131.38</v>
      </c>
      <c r="J62" s="24">
        <v>45603.871583113403</v>
      </c>
      <c r="K62" s="23">
        <v>148.18</v>
      </c>
      <c r="L62" s="25">
        <v>0</v>
      </c>
      <c r="M62" s="25">
        <v>0</v>
      </c>
      <c r="N62" s="28">
        <v>2.56</v>
      </c>
      <c r="O62" s="83" t="s">
        <v>476</v>
      </c>
      <c r="P62" s="84"/>
      <c r="Q62" s="84"/>
      <c r="R62" s="84"/>
      <c r="S62" s="84"/>
      <c r="T62" s="25" t="s">
        <v>0</v>
      </c>
      <c r="U62" s="25" t="s">
        <v>0</v>
      </c>
      <c r="V62" s="28" t="s">
        <v>0</v>
      </c>
      <c r="W62" s="83" t="s">
        <v>0</v>
      </c>
      <c r="X62" s="84"/>
      <c r="Y62" s="84"/>
    </row>
    <row r="63" spans="2:25" x14ac:dyDescent="0.25">
      <c r="B63" s="85">
        <v>653168652</v>
      </c>
      <c r="C63" s="84"/>
      <c r="D63" s="104" t="s">
        <v>41</v>
      </c>
      <c r="E63" s="84"/>
      <c r="F63" s="16" t="s">
        <v>475</v>
      </c>
      <c r="G63" s="18">
        <v>0.01</v>
      </c>
      <c r="H63" s="19">
        <v>45604.131454016198</v>
      </c>
      <c r="I63" s="18">
        <v>19.830200000000001</v>
      </c>
      <c r="J63" s="19">
        <v>45604.562801168999</v>
      </c>
      <c r="K63" s="18">
        <v>19.9681</v>
      </c>
      <c r="L63" s="20">
        <v>0</v>
      </c>
      <c r="M63" s="20">
        <v>0</v>
      </c>
      <c r="N63" s="21">
        <v>6.9</v>
      </c>
      <c r="O63" s="85" t="s">
        <v>476</v>
      </c>
      <c r="P63" s="84"/>
      <c r="Q63" s="84"/>
      <c r="R63" s="84"/>
      <c r="S63" s="84"/>
      <c r="T63" s="20" t="s">
        <v>0</v>
      </c>
      <c r="U63" s="20" t="s">
        <v>0</v>
      </c>
      <c r="V63" s="21" t="s">
        <v>0</v>
      </c>
      <c r="W63" s="85" t="s">
        <v>0</v>
      </c>
      <c r="X63" s="84"/>
      <c r="Y63" s="84"/>
    </row>
    <row r="64" spans="2:25" x14ac:dyDescent="0.25">
      <c r="B64" s="83">
        <v>653175365</v>
      </c>
      <c r="C64" s="84"/>
      <c r="D64" s="105" t="s">
        <v>41</v>
      </c>
      <c r="E64" s="84"/>
      <c r="F64" s="22" t="s">
        <v>475</v>
      </c>
      <c r="G64" s="23">
        <v>0.01</v>
      </c>
      <c r="H64" s="24">
        <v>45604.556079212998</v>
      </c>
      <c r="I64" s="23">
        <v>19.978400000000001</v>
      </c>
      <c r="J64" s="24">
        <v>45604.570835081002</v>
      </c>
      <c r="K64" s="23">
        <v>19.9497</v>
      </c>
      <c r="L64" s="25">
        <v>0</v>
      </c>
      <c r="M64" s="25">
        <v>0</v>
      </c>
      <c r="N64" s="26">
        <v>-1.44</v>
      </c>
      <c r="O64" s="83" t="s">
        <v>476</v>
      </c>
      <c r="P64" s="84"/>
      <c r="Q64" s="84"/>
      <c r="R64" s="84"/>
      <c r="S64" s="84"/>
      <c r="T64" s="25" t="s">
        <v>0</v>
      </c>
      <c r="U64" s="25" t="s">
        <v>0</v>
      </c>
      <c r="V64" s="26" t="s">
        <v>0</v>
      </c>
      <c r="W64" s="83" t="s">
        <v>0</v>
      </c>
      <c r="X64" s="84"/>
      <c r="Y64" s="84"/>
    </row>
    <row r="65" spans="2:25" x14ac:dyDescent="0.25">
      <c r="B65" s="85">
        <v>653429116</v>
      </c>
      <c r="C65" s="84"/>
      <c r="D65" s="104" t="s">
        <v>41</v>
      </c>
      <c r="E65" s="84"/>
      <c r="F65" s="16" t="s">
        <v>475</v>
      </c>
      <c r="G65" s="18">
        <v>0.01</v>
      </c>
      <c r="H65" s="19">
        <v>45604.669181481499</v>
      </c>
      <c r="I65" s="18">
        <v>20.0428</v>
      </c>
      <c r="J65" s="19">
        <v>45604.719143078699</v>
      </c>
      <c r="K65" s="18">
        <v>20.098800000000001</v>
      </c>
      <c r="L65" s="20">
        <v>0</v>
      </c>
      <c r="M65" s="20">
        <v>0</v>
      </c>
      <c r="N65" s="21">
        <v>2.79</v>
      </c>
      <c r="O65" s="85" t="s">
        <v>476</v>
      </c>
      <c r="P65" s="84"/>
      <c r="Q65" s="84"/>
      <c r="R65" s="84"/>
      <c r="S65" s="84"/>
      <c r="T65" s="20" t="s">
        <v>0</v>
      </c>
      <c r="U65" s="20" t="s">
        <v>0</v>
      </c>
      <c r="V65" s="21" t="s">
        <v>0</v>
      </c>
      <c r="W65" s="85" t="s">
        <v>0</v>
      </c>
      <c r="X65" s="84"/>
      <c r="Y65" s="84"/>
    </row>
    <row r="66" spans="2:25" x14ac:dyDescent="0.25">
      <c r="B66" s="83">
        <v>653433262</v>
      </c>
      <c r="C66" s="84"/>
      <c r="D66" s="105" t="s">
        <v>41</v>
      </c>
      <c r="E66" s="84"/>
      <c r="F66" s="22" t="s">
        <v>475</v>
      </c>
      <c r="G66" s="23">
        <v>0.01</v>
      </c>
      <c r="H66" s="24">
        <v>45604.720327002302</v>
      </c>
      <c r="I66" s="23">
        <v>20.091200000000001</v>
      </c>
      <c r="J66" s="24">
        <v>45604.722638495397</v>
      </c>
      <c r="K66" s="23">
        <v>20.110099999999999</v>
      </c>
      <c r="L66" s="25">
        <v>0</v>
      </c>
      <c r="M66" s="25">
        <v>0</v>
      </c>
      <c r="N66" s="26">
        <v>-0.94</v>
      </c>
      <c r="O66" s="83" t="s">
        <v>476</v>
      </c>
      <c r="P66" s="84"/>
      <c r="Q66" s="84"/>
      <c r="R66" s="84"/>
      <c r="S66" s="84"/>
      <c r="T66" s="25" t="s">
        <v>0</v>
      </c>
      <c r="U66" s="25" t="s">
        <v>0</v>
      </c>
      <c r="V66" s="26" t="s">
        <v>0</v>
      </c>
      <c r="W66" s="83" t="s">
        <v>0</v>
      </c>
      <c r="X66" s="84"/>
      <c r="Y66" s="84"/>
    </row>
    <row r="67" spans="2:25" x14ac:dyDescent="0.25">
      <c r="B67" s="85">
        <v>654800962</v>
      </c>
      <c r="C67" s="84"/>
      <c r="D67" s="104" t="s">
        <v>48</v>
      </c>
      <c r="E67" s="84"/>
      <c r="F67" s="16" t="s">
        <v>475</v>
      </c>
      <c r="G67" s="18">
        <v>0.01</v>
      </c>
      <c r="H67" s="19">
        <v>45608.246003171298</v>
      </c>
      <c r="I67" s="18">
        <v>153.589</v>
      </c>
      <c r="J67" s="19">
        <v>45608.2504488657</v>
      </c>
      <c r="K67" s="18">
        <v>153.46799999999999</v>
      </c>
      <c r="L67" s="20">
        <v>0</v>
      </c>
      <c r="M67" s="20">
        <v>0</v>
      </c>
      <c r="N67" s="27">
        <v>-0.79</v>
      </c>
      <c r="O67" s="85" t="s">
        <v>476</v>
      </c>
      <c r="P67" s="84"/>
      <c r="Q67" s="84"/>
      <c r="R67" s="84"/>
      <c r="S67" s="84"/>
      <c r="T67" s="20" t="s">
        <v>0</v>
      </c>
      <c r="U67" s="20" t="s">
        <v>0</v>
      </c>
      <c r="V67" s="27" t="s">
        <v>0</v>
      </c>
      <c r="W67" s="85" t="s">
        <v>0</v>
      </c>
      <c r="X67" s="84"/>
      <c r="Y67" s="84"/>
    </row>
    <row r="68" spans="2:25" x14ac:dyDescent="0.25">
      <c r="B68" s="83">
        <v>654801447</v>
      </c>
      <c r="C68" s="84"/>
      <c r="D68" s="105" t="s">
        <v>48</v>
      </c>
      <c r="E68" s="84"/>
      <c r="F68" s="22" t="s">
        <v>475</v>
      </c>
      <c r="G68" s="23">
        <v>0.01</v>
      </c>
      <c r="H68" s="24">
        <v>45608.250154178197</v>
      </c>
      <c r="I68" s="23">
        <v>153.483</v>
      </c>
      <c r="J68" s="24">
        <v>45608.252076388897</v>
      </c>
      <c r="K68" s="23">
        <v>153.458</v>
      </c>
      <c r="L68" s="25">
        <v>0</v>
      </c>
      <c r="M68" s="25">
        <v>0</v>
      </c>
      <c r="N68" s="28">
        <v>0.16</v>
      </c>
      <c r="O68" s="83" t="s">
        <v>476</v>
      </c>
      <c r="P68" s="84"/>
      <c r="Q68" s="84"/>
      <c r="R68" s="84"/>
      <c r="S68" s="84"/>
      <c r="T68" s="25" t="s">
        <v>0</v>
      </c>
      <c r="U68" s="25" t="s">
        <v>0</v>
      </c>
      <c r="V68" s="28" t="s">
        <v>0</v>
      </c>
      <c r="W68" s="83" t="s">
        <v>0</v>
      </c>
      <c r="X68" s="84"/>
      <c r="Y68" s="84"/>
    </row>
    <row r="69" spans="2:25" x14ac:dyDescent="0.25">
      <c r="B69" s="85">
        <v>654802429</v>
      </c>
      <c r="C69" s="84"/>
      <c r="D69" s="104" t="s">
        <v>48</v>
      </c>
      <c r="E69" s="84"/>
      <c r="F69" s="16" t="s">
        <v>475</v>
      </c>
      <c r="G69" s="18">
        <v>0.01</v>
      </c>
      <c r="H69" s="19">
        <v>45608.254444016202</v>
      </c>
      <c r="I69" s="18">
        <v>153.44499999999999</v>
      </c>
      <c r="J69" s="19">
        <v>45608.2566656134</v>
      </c>
      <c r="K69" s="18">
        <v>153.50200000000001</v>
      </c>
      <c r="L69" s="20">
        <v>0</v>
      </c>
      <c r="M69" s="20">
        <v>0</v>
      </c>
      <c r="N69" s="27">
        <v>-0.37</v>
      </c>
      <c r="O69" s="85" t="s">
        <v>476</v>
      </c>
      <c r="P69" s="84"/>
      <c r="Q69" s="84"/>
      <c r="R69" s="84"/>
      <c r="S69" s="84"/>
      <c r="T69" s="20" t="s">
        <v>0</v>
      </c>
      <c r="U69" s="20" t="s">
        <v>0</v>
      </c>
      <c r="V69" s="27" t="s">
        <v>0</v>
      </c>
      <c r="W69" s="85" t="s">
        <v>0</v>
      </c>
      <c r="X69" s="84"/>
      <c r="Y69" s="84"/>
    </row>
    <row r="70" spans="2:25" x14ac:dyDescent="0.25">
      <c r="B70" s="83">
        <v>654850443</v>
      </c>
      <c r="C70" s="84"/>
      <c r="D70" s="105" t="s">
        <v>41</v>
      </c>
      <c r="E70" s="84"/>
      <c r="F70" s="22" t="s">
        <v>475</v>
      </c>
      <c r="G70" s="23">
        <v>0.02</v>
      </c>
      <c r="H70" s="24">
        <v>45608.198286377301</v>
      </c>
      <c r="I70" s="23">
        <v>20.411999999999999</v>
      </c>
      <c r="J70" s="24">
        <v>45608.3438027546</v>
      </c>
      <c r="K70" s="23">
        <v>20.4421</v>
      </c>
      <c r="L70" s="25">
        <v>0</v>
      </c>
      <c r="M70" s="25">
        <v>0</v>
      </c>
      <c r="N70" s="28">
        <v>2.94</v>
      </c>
      <c r="O70" s="83" t="s">
        <v>476</v>
      </c>
      <c r="P70" s="84"/>
      <c r="Q70" s="84"/>
      <c r="R70" s="84"/>
      <c r="S70" s="84"/>
      <c r="T70" s="25" t="s">
        <v>0</v>
      </c>
      <c r="U70" s="25" t="s">
        <v>0</v>
      </c>
      <c r="V70" s="28" t="s">
        <v>0</v>
      </c>
      <c r="W70" s="83" t="s">
        <v>0</v>
      </c>
      <c r="X70" s="84"/>
      <c r="Y70" s="84"/>
    </row>
    <row r="71" spans="2:25" x14ac:dyDescent="0.25">
      <c r="B71" s="85">
        <v>654851068</v>
      </c>
      <c r="C71" s="84"/>
      <c r="D71" s="104" t="s">
        <v>41</v>
      </c>
      <c r="E71" s="84"/>
      <c r="F71" s="16" t="s">
        <v>475</v>
      </c>
      <c r="G71" s="18">
        <v>0.01</v>
      </c>
      <c r="H71" s="19">
        <v>45608.344496493097</v>
      </c>
      <c r="I71" s="18">
        <v>20.4344</v>
      </c>
      <c r="J71" s="19">
        <v>45608.344909085601</v>
      </c>
      <c r="K71" s="18">
        <v>20.450700000000001</v>
      </c>
      <c r="L71" s="20">
        <v>0</v>
      </c>
      <c r="M71" s="20">
        <v>0</v>
      </c>
      <c r="N71" s="27">
        <v>-0.8</v>
      </c>
      <c r="O71" s="85" t="s">
        <v>476</v>
      </c>
      <c r="P71" s="84"/>
      <c r="Q71" s="84"/>
      <c r="R71" s="84"/>
      <c r="S71" s="84"/>
      <c r="T71" s="20" t="s">
        <v>0</v>
      </c>
      <c r="U71" s="20" t="s">
        <v>0</v>
      </c>
      <c r="V71" s="27" t="s">
        <v>0</v>
      </c>
      <c r="W71" s="85" t="s">
        <v>0</v>
      </c>
      <c r="X71" s="84"/>
      <c r="Y71" s="84"/>
    </row>
    <row r="72" spans="2:25" x14ac:dyDescent="0.25">
      <c r="B72" s="83">
        <v>654859242</v>
      </c>
      <c r="C72" s="84"/>
      <c r="D72" s="105" t="s">
        <v>41</v>
      </c>
      <c r="E72" s="84"/>
      <c r="F72" s="22" t="s">
        <v>475</v>
      </c>
      <c r="G72" s="23">
        <v>0.01</v>
      </c>
      <c r="H72" s="24">
        <v>45608.345713993098</v>
      </c>
      <c r="I72" s="23">
        <v>20.455400000000001</v>
      </c>
      <c r="J72" s="24">
        <v>45608.351803530102</v>
      </c>
      <c r="K72" s="23">
        <v>20.45</v>
      </c>
      <c r="L72" s="25">
        <v>0</v>
      </c>
      <c r="M72" s="25">
        <v>0</v>
      </c>
      <c r="N72" s="26">
        <v>-0.26</v>
      </c>
      <c r="O72" s="83" t="s">
        <v>476</v>
      </c>
      <c r="P72" s="84"/>
      <c r="Q72" s="84"/>
      <c r="R72" s="84"/>
      <c r="S72" s="84"/>
      <c r="T72" s="25" t="s">
        <v>0</v>
      </c>
      <c r="U72" s="25" t="s">
        <v>0</v>
      </c>
      <c r="V72" s="26" t="s">
        <v>0</v>
      </c>
      <c r="W72" s="83" t="s">
        <v>0</v>
      </c>
      <c r="X72" s="84"/>
      <c r="Y72" s="84"/>
    </row>
    <row r="73" spans="2:25" x14ac:dyDescent="0.25">
      <c r="B73" s="85">
        <v>654861769</v>
      </c>
      <c r="C73" s="84"/>
      <c r="D73" s="104" t="s">
        <v>41</v>
      </c>
      <c r="E73" s="84"/>
      <c r="F73" s="16" t="s">
        <v>475</v>
      </c>
      <c r="G73" s="18">
        <v>0.02</v>
      </c>
      <c r="H73" s="19">
        <v>45608.350114016197</v>
      </c>
      <c r="I73" s="18">
        <v>20.450299999999999</v>
      </c>
      <c r="J73" s="19">
        <v>45608.354797557899</v>
      </c>
      <c r="K73" s="18">
        <v>20.438199999999998</v>
      </c>
      <c r="L73" s="20">
        <v>0</v>
      </c>
      <c r="M73" s="20">
        <v>0</v>
      </c>
      <c r="N73" s="27">
        <v>-1.18</v>
      </c>
      <c r="O73" s="85" t="s">
        <v>476</v>
      </c>
      <c r="P73" s="84"/>
      <c r="Q73" s="84"/>
      <c r="R73" s="84"/>
      <c r="S73" s="84"/>
      <c r="T73" s="20" t="s">
        <v>0</v>
      </c>
      <c r="U73" s="20" t="s">
        <v>0</v>
      </c>
      <c r="V73" s="27" t="s">
        <v>0</v>
      </c>
      <c r="W73" s="85" t="s">
        <v>0</v>
      </c>
      <c r="X73" s="84"/>
      <c r="Y73" s="84"/>
    </row>
    <row r="74" spans="2:25" x14ac:dyDescent="0.25">
      <c r="B74" s="83">
        <v>655597544</v>
      </c>
      <c r="C74" s="84"/>
      <c r="D74" s="105" t="s">
        <v>41</v>
      </c>
      <c r="E74" s="84"/>
      <c r="F74" s="22" t="s">
        <v>475</v>
      </c>
      <c r="G74" s="23">
        <v>0.02</v>
      </c>
      <c r="H74" s="24">
        <v>45608.757115243097</v>
      </c>
      <c r="I74" s="23">
        <v>20.626100000000001</v>
      </c>
      <c r="J74" s="24">
        <v>45608.765304849498</v>
      </c>
      <c r="K74" s="23">
        <v>20.629899999999999</v>
      </c>
      <c r="L74" s="25">
        <v>0</v>
      </c>
      <c r="M74" s="25">
        <v>0</v>
      </c>
      <c r="N74" s="28">
        <v>0.37</v>
      </c>
      <c r="O74" s="83" t="s">
        <v>476</v>
      </c>
      <c r="P74" s="84"/>
      <c r="Q74" s="84"/>
      <c r="R74" s="84"/>
      <c r="S74" s="84"/>
      <c r="T74" s="25" t="s">
        <v>0</v>
      </c>
      <c r="U74" s="25" t="s">
        <v>0</v>
      </c>
      <c r="V74" s="28" t="s">
        <v>0</v>
      </c>
      <c r="W74" s="83" t="s">
        <v>0</v>
      </c>
      <c r="X74" s="84"/>
      <c r="Y74" s="84"/>
    </row>
    <row r="75" spans="2:25" x14ac:dyDescent="0.25">
      <c r="B75" s="85">
        <v>655600989</v>
      </c>
      <c r="C75" s="84"/>
      <c r="D75" s="104" t="s">
        <v>48</v>
      </c>
      <c r="E75" s="84"/>
      <c r="F75" s="16" t="s">
        <v>475</v>
      </c>
      <c r="G75" s="18">
        <v>0.01</v>
      </c>
      <c r="H75" s="19">
        <v>45608.766520648103</v>
      </c>
      <c r="I75" s="18">
        <v>154.85300000000001</v>
      </c>
      <c r="J75" s="19">
        <v>45608.767960810197</v>
      </c>
      <c r="K75" s="18">
        <v>154.87299999999999</v>
      </c>
      <c r="L75" s="20">
        <v>0</v>
      </c>
      <c r="M75" s="20">
        <v>0</v>
      </c>
      <c r="N75" s="21">
        <v>0.13</v>
      </c>
      <c r="O75" s="85" t="s">
        <v>476</v>
      </c>
      <c r="P75" s="84"/>
      <c r="Q75" s="84"/>
      <c r="R75" s="84"/>
      <c r="S75" s="84"/>
      <c r="T75" s="20" t="s">
        <v>0</v>
      </c>
      <c r="U75" s="20" t="s">
        <v>0</v>
      </c>
      <c r="V75" s="21" t="s">
        <v>0</v>
      </c>
      <c r="W75" s="85" t="s">
        <v>0</v>
      </c>
      <c r="X75" s="84"/>
      <c r="Y75" s="84"/>
    </row>
    <row r="76" spans="2:25" x14ac:dyDescent="0.25">
      <c r="B76" s="83">
        <v>656196484</v>
      </c>
      <c r="C76" s="84"/>
      <c r="D76" s="105" t="s">
        <v>41</v>
      </c>
      <c r="E76" s="84"/>
      <c r="F76" s="22" t="s">
        <v>475</v>
      </c>
      <c r="G76" s="23">
        <v>0.01</v>
      </c>
      <c r="H76" s="24">
        <v>45609.6156938079</v>
      </c>
      <c r="I76" s="23">
        <v>20.507000000000001</v>
      </c>
      <c r="J76" s="24">
        <v>45609.638893032403</v>
      </c>
      <c r="K76" s="23">
        <v>20.553100000000001</v>
      </c>
      <c r="L76" s="25">
        <v>0</v>
      </c>
      <c r="M76" s="25">
        <v>0</v>
      </c>
      <c r="N76" s="28">
        <v>2.2400000000000002</v>
      </c>
      <c r="O76" s="83" t="s">
        <v>476</v>
      </c>
      <c r="P76" s="84"/>
      <c r="Q76" s="84"/>
      <c r="R76" s="84"/>
      <c r="S76" s="84"/>
      <c r="T76" s="25" t="s">
        <v>0</v>
      </c>
      <c r="U76" s="25" t="s">
        <v>0</v>
      </c>
      <c r="V76" s="28" t="s">
        <v>0</v>
      </c>
      <c r="W76" s="83" t="s">
        <v>0</v>
      </c>
      <c r="X76" s="84"/>
      <c r="Y76" s="84"/>
    </row>
    <row r="77" spans="2:25" x14ac:dyDescent="0.25">
      <c r="B77" s="85">
        <v>657684815</v>
      </c>
      <c r="C77" s="84"/>
      <c r="D77" s="104" t="s">
        <v>41</v>
      </c>
      <c r="E77" s="84"/>
      <c r="F77" s="16" t="s">
        <v>475</v>
      </c>
      <c r="G77" s="18">
        <v>0.02</v>
      </c>
      <c r="H77" s="19">
        <v>45610.8699964931</v>
      </c>
      <c r="I77" s="18">
        <v>20.431100000000001</v>
      </c>
      <c r="J77" s="19">
        <v>45610.8808466435</v>
      </c>
      <c r="K77" s="18">
        <v>20.4923</v>
      </c>
      <c r="L77" s="20">
        <v>0</v>
      </c>
      <c r="M77" s="20">
        <v>0</v>
      </c>
      <c r="N77" s="21">
        <v>5.97</v>
      </c>
      <c r="O77" s="85" t="s">
        <v>476</v>
      </c>
      <c r="P77" s="84"/>
      <c r="Q77" s="84"/>
      <c r="R77" s="84"/>
      <c r="S77" s="84"/>
      <c r="T77" s="20" t="s">
        <v>0</v>
      </c>
      <c r="U77" s="20" t="s">
        <v>0</v>
      </c>
      <c r="V77" s="21" t="s">
        <v>0</v>
      </c>
      <c r="W77" s="85" t="s">
        <v>0</v>
      </c>
      <c r="X77" s="84"/>
      <c r="Y77" s="84"/>
    </row>
    <row r="78" spans="2:25" x14ac:dyDescent="0.25">
      <c r="B78" s="83">
        <v>660182366</v>
      </c>
      <c r="C78" s="84"/>
      <c r="D78" s="105" t="s">
        <v>41</v>
      </c>
      <c r="E78" s="84"/>
      <c r="F78" s="22" t="s">
        <v>475</v>
      </c>
      <c r="G78" s="23">
        <v>0.02</v>
      </c>
      <c r="H78" s="24">
        <v>45614.836894606502</v>
      </c>
      <c r="I78" s="23">
        <v>20.237100000000002</v>
      </c>
      <c r="J78" s="24">
        <v>45615.4382285069</v>
      </c>
      <c r="K78" s="23">
        <v>20.318100000000001</v>
      </c>
      <c r="L78" s="25">
        <v>0</v>
      </c>
      <c r="M78" s="25">
        <v>-0.45</v>
      </c>
      <c r="N78" s="28">
        <v>7.97</v>
      </c>
      <c r="O78" s="83" t="s">
        <v>476</v>
      </c>
      <c r="P78" s="84"/>
      <c r="Q78" s="84"/>
      <c r="R78" s="84"/>
      <c r="S78" s="84"/>
      <c r="T78" s="25" t="s">
        <v>0</v>
      </c>
      <c r="U78" s="25" t="s">
        <v>0</v>
      </c>
      <c r="V78" s="28" t="s">
        <v>0</v>
      </c>
      <c r="W78" s="83" t="s">
        <v>0</v>
      </c>
      <c r="X78" s="84"/>
      <c r="Y78" s="84"/>
    </row>
    <row r="79" spans="2:25" x14ac:dyDescent="0.25">
      <c r="B79" s="85">
        <v>660370123</v>
      </c>
      <c r="C79" s="84"/>
      <c r="D79" s="104" t="s">
        <v>41</v>
      </c>
      <c r="E79" s="84"/>
      <c r="F79" s="16" t="s">
        <v>475</v>
      </c>
      <c r="G79" s="18">
        <v>0.02</v>
      </c>
      <c r="H79" s="19">
        <v>45615.561599756897</v>
      </c>
      <c r="I79" s="18">
        <v>20.262899999999998</v>
      </c>
      <c r="J79" s="19">
        <v>45615.585096307899</v>
      </c>
      <c r="K79" s="18">
        <v>20.288699999999999</v>
      </c>
      <c r="L79" s="20">
        <v>0</v>
      </c>
      <c r="M79" s="20">
        <v>0</v>
      </c>
      <c r="N79" s="21">
        <v>2.54</v>
      </c>
      <c r="O79" s="85" t="s">
        <v>476</v>
      </c>
      <c r="P79" s="84"/>
      <c r="Q79" s="84"/>
      <c r="R79" s="84"/>
      <c r="S79" s="84"/>
      <c r="T79" s="20" t="s">
        <v>0</v>
      </c>
      <c r="U79" s="20" t="s">
        <v>0</v>
      </c>
      <c r="V79" s="21" t="s">
        <v>0</v>
      </c>
      <c r="W79" s="85" t="s">
        <v>0</v>
      </c>
      <c r="X79" s="84"/>
      <c r="Y79" s="84"/>
    </row>
    <row r="80" spans="2:25" x14ac:dyDescent="0.25">
      <c r="B80" s="83">
        <v>666045644</v>
      </c>
      <c r="C80" s="84"/>
      <c r="D80" s="105" t="s">
        <v>41</v>
      </c>
      <c r="E80" s="84"/>
      <c r="F80" s="22" t="s">
        <v>475</v>
      </c>
      <c r="G80" s="23">
        <v>0.01</v>
      </c>
      <c r="H80" s="24">
        <v>45623.535272407396</v>
      </c>
      <c r="I80" s="23">
        <v>20.708400000000001</v>
      </c>
      <c r="J80" s="24">
        <v>45623.575487731498</v>
      </c>
      <c r="K80" s="23">
        <v>20.7775</v>
      </c>
      <c r="L80" s="25">
        <v>0</v>
      </c>
      <c r="M80" s="25">
        <v>0</v>
      </c>
      <c r="N80" s="26">
        <v>-3.33</v>
      </c>
      <c r="O80" s="83" t="s">
        <v>476</v>
      </c>
      <c r="P80" s="84"/>
      <c r="Q80" s="84"/>
      <c r="R80" s="84"/>
      <c r="S80" s="84"/>
      <c r="T80" s="25" t="s">
        <v>0</v>
      </c>
      <c r="U80" s="25" t="s">
        <v>0</v>
      </c>
      <c r="V80" s="26" t="s">
        <v>0</v>
      </c>
      <c r="W80" s="83" t="s">
        <v>0</v>
      </c>
      <c r="X80" s="84"/>
      <c r="Y80" s="84"/>
    </row>
    <row r="81" spans="2:25" x14ac:dyDescent="0.25">
      <c r="B81" s="85">
        <v>666045860</v>
      </c>
      <c r="C81" s="84"/>
      <c r="D81" s="104" t="s">
        <v>41</v>
      </c>
      <c r="E81" s="84"/>
      <c r="F81" s="16" t="s">
        <v>475</v>
      </c>
      <c r="G81" s="18">
        <v>0.01</v>
      </c>
      <c r="H81" s="19">
        <v>45623.575165729198</v>
      </c>
      <c r="I81" s="18">
        <v>20.742599999999999</v>
      </c>
      <c r="J81" s="19">
        <v>45623.575741330998</v>
      </c>
      <c r="K81" s="18">
        <v>20.776399999999999</v>
      </c>
      <c r="L81" s="20">
        <v>0</v>
      </c>
      <c r="M81" s="20">
        <v>0</v>
      </c>
      <c r="N81" s="27">
        <v>-1.63</v>
      </c>
      <c r="O81" s="85" t="s">
        <v>476</v>
      </c>
      <c r="P81" s="84"/>
      <c r="Q81" s="84"/>
      <c r="R81" s="84"/>
      <c r="S81" s="84"/>
      <c r="T81" s="20" t="s">
        <v>0</v>
      </c>
      <c r="U81" s="20" t="s">
        <v>0</v>
      </c>
      <c r="V81" s="27" t="s">
        <v>0</v>
      </c>
      <c r="W81" s="85" t="s">
        <v>0</v>
      </c>
      <c r="X81" s="84"/>
      <c r="Y81" s="84"/>
    </row>
    <row r="82" spans="2:25" x14ac:dyDescent="0.25">
      <c r="B82" s="83">
        <v>666890881</v>
      </c>
      <c r="C82" s="84"/>
      <c r="D82" s="105" t="s">
        <v>41</v>
      </c>
      <c r="E82" s="84"/>
      <c r="F82" s="22" t="s">
        <v>475</v>
      </c>
      <c r="G82" s="23">
        <v>0.02</v>
      </c>
      <c r="H82" s="24">
        <v>45624.550736249999</v>
      </c>
      <c r="I82" s="23">
        <v>20.327300000000001</v>
      </c>
      <c r="J82" s="24">
        <v>45624.719147083299</v>
      </c>
      <c r="K82" s="23">
        <v>20.4312</v>
      </c>
      <c r="L82" s="25">
        <v>0</v>
      </c>
      <c r="M82" s="25">
        <v>0</v>
      </c>
      <c r="N82" s="28">
        <v>10.17</v>
      </c>
      <c r="O82" s="83" t="s">
        <v>476</v>
      </c>
      <c r="P82" s="84"/>
      <c r="Q82" s="84"/>
      <c r="R82" s="84"/>
      <c r="S82" s="84"/>
      <c r="T82" s="25" t="s">
        <v>0</v>
      </c>
      <c r="U82" s="25" t="s">
        <v>0</v>
      </c>
      <c r="V82" s="28" t="s">
        <v>0</v>
      </c>
      <c r="W82" s="83" t="s">
        <v>0</v>
      </c>
      <c r="X82" s="84"/>
      <c r="Y82" s="84"/>
    </row>
    <row r="83" spans="2:25" x14ac:dyDescent="0.25">
      <c r="B83" s="85">
        <v>672045605</v>
      </c>
      <c r="C83" s="84"/>
      <c r="D83" s="104" t="s">
        <v>41</v>
      </c>
      <c r="E83" s="84"/>
      <c r="F83" s="16" t="s">
        <v>475</v>
      </c>
      <c r="G83" s="18">
        <v>0.02</v>
      </c>
      <c r="H83" s="19">
        <v>45631.250272013902</v>
      </c>
      <c r="I83" s="18">
        <v>20.309899999999999</v>
      </c>
      <c r="J83" s="19">
        <v>45631.625815312502</v>
      </c>
      <c r="K83" s="18">
        <v>20.239100000000001</v>
      </c>
      <c r="L83" s="20">
        <v>0</v>
      </c>
      <c r="M83" s="20">
        <v>0</v>
      </c>
      <c r="N83" s="27">
        <v>-6.99</v>
      </c>
      <c r="O83" s="85" t="s">
        <v>476</v>
      </c>
      <c r="P83" s="84"/>
      <c r="Q83" s="84"/>
      <c r="R83" s="84"/>
      <c r="S83" s="84"/>
      <c r="T83" s="20" t="s">
        <v>0</v>
      </c>
      <c r="U83" s="20" t="s">
        <v>0</v>
      </c>
      <c r="V83" s="27" t="s">
        <v>0</v>
      </c>
      <c r="W83" s="85" t="s">
        <v>0</v>
      </c>
      <c r="X83" s="84"/>
      <c r="Y83" s="84"/>
    </row>
    <row r="84" spans="2:25" x14ac:dyDescent="0.25">
      <c r="B84" s="83">
        <v>683238772</v>
      </c>
      <c r="C84" s="84"/>
      <c r="D84" s="105" t="s">
        <v>52</v>
      </c>
      <c r="E84" s="84"/>
      <c r="F84" s="22" t="s">
        <v>475</v>
      </c>
      <c r="G84" s="23">
        <v>1.9E-2</v>
      </c>
      <c r="H84" s="24">
        <v>45562.693518182903</v>
      </c>
      <c r="I84" s="23">
        <v>700.8</v>
      </c>
      <c r="J84" s="24">
        <v>45646.605736550897</v>
      </c>
      <c r="K84" s="23">
        <v>623.79999999999995</v>
      </c>
      <c r="L84" s="25">
        <v>0</v>
      </c>
      <c r="M84" s="25">
        <v>0</v>
      </c>
      <c r="N84" s="26">
        <v>-2.69</v>
      </c>
      <c r="O84" s="83" t="s">
        <v>476</v>
      </c>
      <c r="P84" s="84"/>
      <c r="Q84" s="84"/>
      <c r="R84" s="84"/>
      <c r="S84" s="84"/>
      <c r="T84" s="25" t="s">
        <v>0</v>
      </c>
      <c r="U84" s="25" t="s">
        <v>0</v>
      </c>
      <c r="V84" s="26" t="s">
        <v>0</v>
      </c>
      <c r="W84" s="83" t="s">
        <v>0</v>
      </c>
      <c r="X84" s="84"/>
      <c r="Y84" s="84"/>
    </row>
    <row r="85" spans="2:25" x14ac:dyDescent="0.25">
      <c r="B85" s="85">
        <v>683238774</v>
      </c>
      <c r="C85" s="84"/>
      <c r="D85" s="104" t="s">
        <v>52</v>
      </c>
      <c r="E85" s="84"/>
      <c r="F85" s="16" t="s">
        <v>475</v>
      </c>
      <c r="G85" s="18">
        <v>2.1299999999999999E-2</v>
      </c>
      <c r="H85" s="19">
        <v>45579.700884675898</v>
      </c>
      <c r="I85" s="18">
        <v>640.29999999999995</v>
      </c>
      <c r="J85" s="19">
        <v>45646.605736550897</v>
      </c>
      <c r="K85" s="18">
        <v>623.79999999999995</v>
      </c>
      <c r="L85" s="20">
        <v>0</v>
      </c>
      <c r="M85" s="20">
        <v>0</v>
      </c>
      <c r="N85" s="27">
        <v>-1.19</v>
      </c>
      <c r="O85" s="85" t="s">
        <v>476</v>
      </c>
      <c r="P85" s="84"/>
      <c r="Q85" s="84"/>
      <c r="R85" s="84"/>
      <c r="S85" s="84"/>
      <c r="T85" s="20" t="s">
        <v>0</v>
      </c>
      <c r="U85" s="20" t="s">
        <v>0</v>
      </c>
      <c r="V85" s="27" t="s">
        <v>0</v>
      </c>
      <c r="W85" s="85" t="s">
        <v>0</v>
      </c>
      <c r="X85" s="84"/>
      <c r="Y85" s="84"/>
    </row>
    <row r="86" spans="2:25" x14ac:dyDescent="0.25">
      <c r="B86" s="83">
        <v>683439715</v>
      </c>
      <c r="C86" s="84"/>
      <c r="D86" s="105" t="s">
        <v>41</v>
      </c>
      <c r="E86" s="84"/>
      <c r="F86" s="22" t="s">
        <v>475</v>
      </c>
      <c r="G86" s="23">
        <v>0.02</v>
      </c>
      <c r="H86" s="24">
        <v>45646.606479675902</v>
      </c>
      <c r="I86" s="23">
        <v>20.205400000000001</v>
      </c>
      <c r="J86" s="24">
        <v>45646.696485624998</v>
      </c>
      <c r="K86" s="23">
        <v>20.1035</v>
      </c>
      <c r="L86" s="25">
        <v>0</v>
      </c>
      <c r="M86" s="25">
        <v>0</v>
      </c>
      <c r="N86" s="26">
        <v>-10.130000000000001</v>
      </c>
      <c r="O86" s="83" t="s">
        <v>476</v>
      </c>
      <c r="P86" s="84"/>
      <c r="Q86" s="84"/>
      <c r="R86" s="84"/>
      <c r="S86" s="84"/>
      <c r="T86" s="25" t="s">
        <v>0</v>
      </c>
      <c r="U86" s="25" t="s">
        <v>0</v>
      </c>
      <c r="V86" s="26" t="s">
        <v>0</v>
      </c>
      <c r="W86" s="83" t="s">
        <v>0</v>
      </c>
      <c r="X86" s="84"/>
      <c r="Y86" s="84"/>
    </row>
    <row r="87" spans="2:25" x14ac:dyDescent="0.25">
      <c r="B87" s="85">
        <v>683461430</v>
      </c>
      <c r="C87" s="84"/>
      <c r="D87" s="104" t="s">
        <v>41</v>
      </c>
      <c r="E87" s="84"/>
      <c r="F87" s="16" t="s">
        <v>475</v>
      </c>
      <c r="G87" s="18">
        <v>0.01</v>
      </c>
      <c r="H87" s="19">
        <v>45646.639881527801</v>
      </c>
      <c r="I87" s="18">
        <v>20.172999999999998</v>
      </c>
      <c r="J87" s="19">
        <v>45646.705824282399</v>
      </c>
      <c r="K87" s="18">
        <v>20.094899999999999</v>
      </c>
      <c r="L87" s="20">
        <v>0</v>
      </c>
      <c r="M87" s="20">
        <v>0</v>
      </c>
      <c r="N87" s="27">
        <v>-3.88</v>
      </c>
      <c r="O87" s="85" t="s">
        <v>476</v>
      </c>
      <c r="P87" s="84"/>
      <c r="Q87" s="84"/>
      <c r="R87" s="84"/>
      <c r="S87" s="84"/>
      <c r="T87" s="20" t="s">
        <v>0</v>
      </c>
      <c r="U87" s="20" t="s">
        <v>0</v>
      </c>
      <c r="V87" s="27" t="s">
        <v>0</v>
      </c>
      <c r="W87" s="85" t="s">
        <v>0</v>
      </c>
      <c r="X87" s="84"/>
      <c r="Y87" s="84"/>
    </row>
    <row r="88" spans="2:25" x14ac:dyDescent="0.25">
      <c r="B88" s="83">
        <v>684315075</v>
      </c>
      <c r="C88" s="84"/>
      <c r="D88" s="105" t="s">
        <v>41</v>
      </c>
      <c r="E88" s="84"/>
      <c r="F88" s="22" t="s">
        <v>475</v>
      </c>
      <c r="G88" s="23">
        <v>0.02</v>
      </c>
      <c r="H88" s="24">
        <v>45649.401330208297</v>
      </c>
      <c r="I88" s="23">
        <v>20.093499999999999</v>
      </c>
      <c r="J88" s="24">
        <v>45649.568247303199</v>
      </c>
      <c r="K88" s="23">
        <v>20.1707</v>
      </c>
      <c r="L88" s="25">
        <v>0</v>
      </c>
      <c r="M88" s="25">
        <v>0</v>
      </c>
      <c r="N88" s="28">
        <v>7.65</v>
      </c>
      <c r="O88" s="83" t="s">
        <v>476</v>
      </c>
      <c r="P88" s="84"/>
      <c r="Q88" s="84"/>
      <c r="R88" s="84"/>
      <c r="S88" s="84"/>
      <c r="T88" s="25" t="s">
        <v>0</v>
      </c>
      <c r="U88" s="25" t="s">
        <v>0</v>
      </c>
      <c r="V88" s="28" t="s">
        <v>0</v>
      </c>
      <c r="W88" s="83" t="s">
        <v>0</v>
      </c>
      <c r="X88" s="84"/>
      <c r="Y88" s="84"/>
    </row>
    <row r="89" spans="2:25" x14ac:dyDescent="0.25">
      <c r="B89" s="85">
        <v>684388073</v>
      </c>
      <c r="C89" s="84"/>
      <c r="D89" s="104" t="s">
        <v>41</v>
      </c>
      <c r="E89" s="84"/>
      <c r="F89" s="16" t="s">
        <v>475</v>
      </c>
      <c r="G89" s="18">
        <v>0.01</v>
      </c>
      <c r="H89" s="19">
        <v>45649.631146099498</v>
      </c>
      <c r="I89" s="18">
        <v>20.177199999999999</v>
      </c>
      <c r="J89" s="19">
        <v>45649.632004652798</v>
      </c>
      <c r="K89" s="18">
        <v>20.167100000000001</v>
      </c>
      <c r="L89" s="20">
        <v>0</v>
      </c>
      <c r="M89" s="20">
        <v>0</v>
      </c>
      <c r="N89" s="27">
        <v>-0.5</v>
      </c>
      <c r="O89" s="85" t="s">
        <v>476</v>
      </c>
      <c r="P89" s="84"/>
      <c r="Q89" s="84"/>
      <c r="R89" s="84"/>
      <c r="S89" s="84"/>
      <c r="T89" s="20" t="s">
        <v>0</v>
      </c>
      <c r="U89" s="20" t="s">
        <v>0</v>
      </c>
      <c r="V89" s="27" t="s">
        <v>0</v>
      </c>
      <c r="W89" s="85" t="s">
        <v>0</v>
      </c>
      <c r="X89" s="84"/>
      <c r="Y89" s="84"/>
    </row>
    <row r="90" spans="2:25" x14ac:dyDescent="0.25">
      <c r="B90" s="83">
        <v>684881764</v>
      </c>
      <c r="C90" s="84"/>
      <c r="D90" s="105" t="s">
        <v>41</v>
      </c>
      <c r="E90" s="84"/>
      <c r="F90" s="22" t="s">
        <v>475</v>
      </c>
      <c r="G90" s="23">
        <v>0.02</v>
      </c>
      <c r="H90" s="24">
        <v>45650.4879052662</v>
      </c>
      <c r="I90" s="23">
        <v>20.1462</v>
      </c>
      <c r="J90" s="24">
        <v>45650.580256111098</v>
      </c>
      <c r="K90" s="23">
        <v>20.162700000000001</v>
      </c>
      <c r="L90" s="25">
        <v>0</v>
      </c>
      <c r="M90" s="25">
        <v>0</v>
      </c>
      <c r="N90" s="28">
        <v>1.64</v>
      </c>
      <c r="O90" s="83" t="s">
        <v>476</v>
      </c>
      <c r="P90" s="84"/>
      <c r="Q90" s="84"/>
      <c r="R90" s="84"/>
      <c r="S90" s="84"/>
      <c r="T90" s="25" t="s">
        <v>0</v>
      </c>
      <c r="U90" s="25" t="s">
        <v>0</v>
      </c>
      <c r="V90" s="28" t="s">
        <v>0</v>
      </c>
      <c r="W90" s="83" t="s">
        <v>0</v>
      </c>
      <c r="X90" s="84"/>
      <c r="Y90" s="84"/>
    </row>
    <row r="91" spans="2:25" x14ac:dyDescent="0.25">
      <c r="B91" s="85">
        <v>692400722</v>
      </c>
      <c r="C91" s="84"/>
      <c r="D91" s="104" t="s">
        <v>525</v>
      </c>
      <c r="E91" s="84"/>
      <c r="F91" s="16" t="s">
        <v>475</v>
      </c>
      <c r="G91" s="18">
        <v>2.64E-2</v>
      </c>
      <c r="H91" s="19">
        <v>45583.645885949103</v>
      </c>
      <c r="I91" s="18">
        <v>718.5</v>
      </c>
      <c r="J91" s="19">
        <v>45663.670457581</v>
      </c>
      <c r="K91" s="18">
        <v>757.79</v>
      </c>
      <c r="L91" s="20">
        <v>0</v>
      </c>
      <c r="M91" s="20">
        <v>0</v>
      </c>
      <c r="N91" s="21">
        <v>1.04</v>
      </c>
      <c r="O91" s="85" t="s">
        <v>476</v>
      </c>
      <c r="P91" s="84"/>
      <c r="Q91" s="84"/>
      <c r="R91" s="84"/>
      <c r="S91" s="84"/>
      <c r="T91" s="20" t="s">
        <v>0</v>
      </c>
      <c r="U91" s="20" t="s">
        <v>0</v>
      </c>
      <c r="V91" s="21" t="s">
        <v>0</v>
      </c>
      <c r="W91" s="85" t="s">
        <v>0</v>
      </c>
      <c r="X91" s="84"/>
      <c r="Y91" s="84"/>
    </row>
    <row r="92" spans="2:25" x14ac:dyDescent="0.25">
      <c r="B92" s="83">
        <v>692401140</v>
      </c>
      <c r="C92" s="84"/>
      <c r="D92" s="105" t="s">
        <v>525</v>
      </c>
      <c r="E92" s="84"/>
      <c r="F92" s="22" t="s">
        <v>475</v>
      </c>
      <c r="G92" s="23">
        <v>2.0999999999999999E-3</v>
      </c>
      <c r="H92" s="24">
        <v>45583.645885949103</v>
      </c>
      <c r="I92" s="23">
        <v>718.5</v>
      </c>
      <c r="J92" s="24">
        <v>45663.670597824101</v>
      </c>
      <c r="K92" s="23">
        <v>758.27</v>
      </c>
      <c r="L92" s="25">
        <v>0</v>
      </c>
      <c r="M92" s="25">
        <v>0</v>
      </c>
      <c r="N92" s="28">
        <v>0.08</v>
      </c>
      <c r="O92" s="83" t="s">
        <v>476</v>
      </c>
      <c r="P92" s="84"/>
      <c r="Q92" s="84"/>
      <c r="R92" s="84"/>
      <c r="S92" s="84"/>
      <c r="T92" s="25" t="s">
        <v>0</v>
      </c>
      <c r="U92" s="25" t="s">
        <v>0</v>
      </c>
      <c r="V92" s="28" t="s">
        <v>0</v>
      </c>
      <c r="W92" s="83" t="s">
        <v>0</v>
      </c>
      <c r="X92" s="84"/>
      <c r="Y92" s="84"/>
    </row>
    <row r="93" spans="2:25" x14ac:dyDescent="0.25">
      <c r="B93" s="85">
        <v>696180073</v>
      </c>
      <c r="C93" s="84"/>
      <c r="D93" s="104" t="s">
        <v>526</v>
      </c>
      <c r="E93" s="84"/>
      <c r="F93" s="16" t="s">
        <v>475</v>
      </c>
      <c r="G93" s="18">
        <v>1</v>
      </c>
      <c r="H93" s="19">
        <v>45597.850469016201</v>
      </c>
      <c r="I93" s="18">
        <v>10.92</v>
      </c>
      <c r="J93" s="19">
        <v>45667.681267789398</v>
      </c>
      <c r="K93" s="18">
        <v>6.52</v>
      </c>
      <c r="L93" s="20">
        <v>0</v>
      </c>
      <c r="M93" s="20">
        <v>0</v>
      </c>
      <c r="N93" s="27">
        <v>-4.4000000000000004</v>
      </c>
      <c r="O93" s="85" t="s">
        <v>476</v>
      </c>
      <c r="P93" s="84"/>
      <c r="Q93" s="84"/>
      <c r="R93" s="84"/>
      <c r="S93" s="84"/>
      <c r="T93" s="20" t="s">
        <v>0</v>
      </c>
      <c r="U93" s="20" t="s">
        <v>0</v>
      </c>
      <c r="V93" s="27" t="s">
        <v>0</v>
      </c>
      <c r="W93" s="85" t="s">
        <v>0</v>
      </c>
      <c r="X93" s="84"/>
      <c r="Y93" s="84"/>
    </row>
    <row r="94" spans="2:25" x14ac:dyDescent="0.25">
      <c r="B94" s="83">
        <v>703481728</v>
      </c>
      <c r="C94" s="84"/>
      <c r="D94" s="105" t="s">
        <v>517</v>
      </c>
      <c r="E94" s="84"/>
      <c r="F94" s="22" t="s">
        <v>475</v>
      </c>
      <c r="G94" s="23">
        <v>0.1195</v>
      </c>
      <c r="H94" s="24">
        <v>45621.856398958298</v>
      </c>
      <c r="I94" s="23">
        <v>167.24</v>
      </c>
      <c r="J94" s="24">
        <v>45678.706464988398</v>
      </c>
      <c r="K94" s="23">
        <v>198.83</v>
      </c>
      <c r="L94" s="25">
        <v>0</v>
      </c>
      <c r="M94" s="25">
        <v>0</v>
      </c>
      <c r="N94" s="28">
        <v>3.77</v>
      </c>
      <c r="O94" s="83" t="s">
        <v>476</v>
      </c>
      <c r="P94" s="84"/>
      <c r="Q94" s="84"/>
      <c r="R94" s="84"/>
      <c r="S94" s="84"/>
      <c r="T94" s="25" t="s">
        <v>0</v>
      </c>
      <c r="U94" s="25" t="s">
        <v>0</v>
      </c>
      <c r="V94" s="28" t="s">
        <v>0</v>
      </c>
      <c r="W94" s="83" t="s">
        <v>0</v>
      </c>
      <c r="X94" s="84"/>
      <c r="Y94" s="84"/>
    </row>
    <row r="95" spans="2:25" x14ac:dyDescent="0.25">
      <c r="B95" s="85">
        <v>705165194</v>
      </c>
      <c r="C95" s="84"/>
      <c r="D95" s="104" t="s">
        <v>510</v>
      </c>
      <c r="E95" s="84"/>
      <c r="F95" s="16" t="s">
        <v>475</v>
      </c>
      <c r="G95" s="18">
        <v>0.12479999999999999</v>
      </c>
      <c r="H95" s="19">
        <v>45476.645868854197</v>
      </c>
      <c r="I95" s="18">
        <v>202.58</v>
      </c>
      <c r="J95" s="19">
        <v>45680.725839178202</v>
      </c>
      <c r="K95" s="18">
        <v>172.09</v>
      </c>
      <c r="L95" s="20">
        <v>0</v>
      </c>
      <c r="M95" s="20">
        <v>0</v>
      </c>
      <c r="N95" s="27">
        <v>-3.8</v>
      </c>
      <c r="O95" s="85" t="s">
        <v>476</v>
      </c>
      <c r="P95" s="84"/>
      <c r="Q95" s="84"/>
      <c r="R95" s="84"/>
      <c r="S95" s="84"/>
      <c r="T95" s="20" t="s">
        <v>0</v>
      </c>
      <c r="U95" s="20" t="s">
        <v>0</v>
      </c>
      <c r="V95" s="27" t="s">
        <v>0</v>
      </c>
      <c r="W95" s="85" t="s">
        <v>0</v>
      </c>
      <c r="X95" s="84"/>
      <c r="Y95" s="84"/>
    </row>
    <row r="96" spans="2:25" x14ac:dyDescent="0.25">
      <c r="B96" s="83">
        <v>705165196</v>
      </c>
      <c r="C96" s="84"/>
      <c r="D96" s="105" t="s">
        <v>510</v>
      </c>
      <c r="E96" s="84"/>
      <c r="F96" s="22" t="s">
        <v>475</v>
      </c>
      <c r="G96" s="23">
        <v>6.8000000000000005E-2</v>
      </c>
      <c r="H96" s="24">
        <v>45544.650700092599</v>
      </c>
      <c r="I96" s="23">
        <v>161.58000000000001</v>
      </c>
      <c r="J96" s="24">
        <v>45680.725839178202</v>
      </c>
      <c r="K96" s="23">
        <v>172.09</v>
      </c>
      <c r="L96" s="25">
        <v>0</v>
      </c>
      <c r="M96" s="25">
        <v>0</v>
      </c>
      <c r="N96" s="28">
        <v>0.71</v>
      </c>
      <c r="O96" s="83" t="s">
        <v>476</v>
      </c>
      <c r="P96" s="84"/>
      <c r="Q96" s="84"/>
      <c r="R96" s="84"/>
      <c r="S96" s="84"/>
      <c r="T96" s="25" t="s">
        <v>0</v>
      </c>
      <c r="U96" s="25" t="s">
        <v>0</v>
      </c>
      <c r="V96" s="28" t="s">
        <v>0</v>
      </c>
      <c r="W96" s="83" t="s">
        <v>0</v>
      </c>
      <c r="X96" s="84"/>
      <c r="Y96" s="84"/>
    </row>
    <row r="97" spans="2:25" x14ac:dyDescent="0.25">
      <c r="B97" s="85">
        <v>708517289</v>
      </c>
      <c r="C97" s="84"/>
      <c r="D97" s="104" t="s">
        <v>523</v>
      </c>
      <c r="E97" s="84"/>
      <c r="F97" s="16" t="s">
        <v>475</v>
      </c>
      <c r="G97" s="18">
        <v>7.1900000000000006E-2</v>
      </c>
      <c r="H97" s="19">
        <v>45559.652128807902</v>
      </c>
      <c r="I97" s="18">
        <v>277.82</v>
      </c>
      <c r="J97" s="19">
        <v>45685.837923599502</v>
      </c>
      <c r="K97" s="18">
        <v>336.69</v>
      </c>
      <c r="L97" s="20">
        <v>0</v>
      </c>
      <c r="M97" s="20">
        <v>0</v>
      </c>
      <c r="N97" s="21">
        <v>4.2300000000000004</v>
      </c>
      <c r="O97" s="85" t="s">
        <v>476</v>
      </c>
      <c r="P97" s="84"/>
      <c r="Q97" s="84"/>
      <c r="R97" s="84"/>
      <c r="S97" s="84"/>
      <c r="T97" s="20" t="s">
        <v>0</v>
      </c>
      <c r="U97" s="20" t="s">
        <v>0</v>
      </c>
      <c r="V97" s="21" t="s">
        <v>0</v>
      </c>
      <c r="W97" s="85" t="s">
        <v>0</v>
      </c>
      <c r="X97" s="84"/>
      <c r="Y97" s="84"/>
    </row>
    <row r="98" spans="2:25" x14ac:dyDescent="0.25">
      <c r="B98" s="83">
        <v>708517291</v>
      </c>
      <c r="C98" s="84"/>
      <c r="D98" s="105" t="s">
        <v>523</v>
      </c>
      <c r="E98" s="84"/>
      <c r="F98" s="22" t="s">
        <v>475</v>
      </c>
      <c r="G98" s="23">
        <v>7.4200000000000002E-2</v>
      </c>
      <c r="H98" s="24">
        <v>45560.820411446803</v>
      </c>
      <c r="I98" s="23">
        <v>269.23</v>
      </c>
      <c r="J98" s="24">
        <v>45685.837923599502</v>
      </c>
      <c r="K98" s="23">
        <v>336.69</v>
      </c>
      <c r="L98" s="25">
        <v>0</v>
      </c>
      <c r="M98" s="25">
        <v>0</v>
      </c>
      <c r="N98" s="28">
        <v>5</v>
      </c>
      <c r="O98" s="83" t="s">
        <v>476</v>
      </c>
      <c r="P98" s="84"/>
      <c r="Q98" s="84"/>
      <c r="R98" s="84"/>
      <c r="S98" s="84"/>
      <c r="T98" s="25" t="s">
        <v>0</v>
      </c>
      <c r="U98" s="25" t="s">
        <v>0</v>
      </c>
      <c r="V98" s="28" t="s">
        <v>0</v>
      </c>
      <c r="W98" s="83" t="s">
        <v>0</v>
      </c>
      <c r="X98" s="84"/>
      <c r="Y98" s="84"/>
    </row>
    <row r="99" spans="2:25" x14ac:dyDescent="0.25">
      <c r="B99" s="85">
        <v>708517293</v>
      </c>
      <c r="C99" s="84"/>
      <c r="D99" s="104" t="s">
        <v>523</v>
      </c>
      <c r="E99" s="84"/>
      <c r="F99" s="16" t="s">
        <v>475</v>
      </c>
      <c r="G99" s="18">
        <v>4.7699999999999999E-2</v>
      </c>
      <c r="H99" s="19">
        <v>45663.731009409697</v>
      </c>
      <c r="I99" s="18">
        <v>313.98</v>
      </c>
      <c r="J99" s="19">
        <v>45685.837923599502</v>
      </c>
      <c r="K99" s="18">
        <v>336.69</v>
      </c>
      <c r="L99" s="20">
        <v>0</v>
      </c>
      <c r="M99" s="20">
        <v>0</v>
      </c>
      <c r="N99" s="21">
        <v>1.08</v>
      </c>
      <c r="O99" s="85" t="s">
        <v>476</v>
      </c>
      <c r="P99" s="84"/>
      <c r="Q99" s="84"/>
      <c r="R99" s="84"/>
      <c r="S99" s="84"/>
      <c r="T99" s="20" t="s">
        <v>0</v>
      </c>
      <c r="U99" s="20" t="s">
        <v>0</v>
      </c>
      <c r="V99" s="21" t="s">
        <v>0</v>
      </c>
      <c r="W99" s="85" t="s">
        <v>0</v>
      </c>
      <c r="X99" s="84"/>
      <c r="Y99" s="84"/>
    </row>
    <row r="100" spans="2:25" x14ac:dyDescent="0.25">
      <c r="B100" s="83">
        <v>718132555</v>
      </c>
      <c r="C100" s="84"/>
      <c r="D100" s="105" t="s">
        <v>527</v>
      </c>
      <c r="E100" s="84"/>
      <c r="F100" s="22" t="s">
        <v>475</v>
      </c>
      <c r="G100" s="23">
        <v>0.1047</v>
      </c>
      <c r="H100" s="24">
        <v>45580.705995497701</v>
      </c>
      <c r="I100" s="23">
        <v>133.61000000000001</v>
      </c>
      <c r="J100" s="24">
        <v>45695.8526642824</v>
      </c>
      <c r="K100" s="23">
        <v>143.18</v>
      </c>
      <c r="L100" s="25">
        <v>0</v>
      </c>
      <c r="M100" s="25">
        <v>0</v>
      </c>
      <c r="N100" s="28">
        <v>1</v>
      </c>
      <c r="O100" s="83" t="s">
        <v>476</v>
      </c>
      <c r="P100" s="84"/>
      <c r="Q100" s="84"/>
      <c r="R100" s="84"/>
      <c r="S100" s="84"/>
      <c r="T100" s="25" t="s">
        <v>0</v>
      </c>
      <c r="U100" s="25" t="s">
        <v>0</v>
      </c>
      <c r="V100" s="28" t="s">
        <v>0</v>
      </c>
      <c r="W100" s="83" t="s">
        <v>0</v>
      </c>
      <c r="X100" s="84"/>
      <c r="Y100" s="84"/>
    </row>
    <row r="101" spans="2:25" x14ac:dyDescent="0.25">
      <c r="B101" s="85">
        <v>718132557</v>
      </c>
      <c r="C101" s="84"/>
      <c r="D101" s="104" t="s">
        <v>527</v>
      </c>
      <c r="E101" s="84"/>
      <c r="F101" s="16" t="s">
        <v>475</v>
      </c>
      <c r="G101" s="18">
        <v>7.5399999999999995E-2</v>
      </c>
      <c r="H101" s="19">
        <v>45597.610408669003</v>
      </c>
      <c r="I101" s="18">
        <v>132.62</v>
      </c>
      <c r="J101" s="19">
        <v>45695.8526642824</v>
      </c>
      <c r="K101" s="18">
        <v>143.18</v>
      </c>
      <c r="L101" s="20">
        <v>0</v>
      </c>
      <c r="M101" s="20">
        <v>0</v>
      </c>
      <c r="N101" s="21">
        <v>0.8</v>
      </c>
      <c r="O101" s="85" t="s">
        <v>476</v>
      </c>
      <c r="P101" s="84"/>
      <c r="Q101" s="84"/>
      <c r="R101" s="84"/>
      <c r="S101" s="84"/>
      <c r="T101" s="20" t="s">
        <v>0</v>
      </c>
      <c r="U101" s="20" t="s">
        <v>0</v>
      </c>
      <c r="V101" s="21" t="s">
        <v>0</v>
      </c>
      <c r="W101" s="85" t="s">
        <v>0</v>
      </c>
      <c r="X101" s="84"/>
      <c r="Y101" s="84"/>
    </row>
    <row r="102" spans="2:25" x14ac:dyDescent="0.25">
      <c r="B102" s="83">
        <v>718132559</v>
      </c>
      <c r="C102" s="84"/>
      <c r="D102" s="105" t="s">
        <v>527</v>
      </c>
      <c r="E102" s="84"/>
      <c r="F102" s="22" t="s">
        <v>475</v>
      </c>
      <c r="G102" s="23">
        <v>7.6300000000000007E-2</v>
      </c>
      <c r="H102" s="24">
        <v>45645.9007678704</v>
      </c>
      <c r="I102" s="23">
        <v>130.51</v>
      </c>
      <c r="J102" s="24">
        <v>45695.8526642824</v>
      </c>
      <c r="K102" s="23">
        <v>143.18</v>
      </c>
      <c r="L102" s="25">
        <v>0</v>
      </c>
      <c r="M102" s="25">
        <v>0</v>
      </c>
      <c r="N102" s="28">
        <v>0.96</v>
      </c>
      <c r="O102" s="83" t="s">
        <v>476</v>
      </c>
      <c r="P102" s="84"/>
      <c r="Q102" s="84"/>
      <c r="R102" s="84"/>
      <c r="S102" s="84"/>
      <c r="T102" s="25" t="s">
        <v>0</v>
      </c>
      <c r="U102" s="25" t="s">
        <v>0</v>
      </c>
      <c r="V102" s="28" t="s">
        <v>0</v>
      </c>
      <c r="W102" s="83" t="s">
        <v>0</v>
      </c>
      <c r="X102" s="84"/>
      <c r="Y102" s="84"/>
    </row>
    <row r="103" spans="2:25" x14ac:dyDescent="0.25">
      <c r="B103" s="85">
        <v>723423556</v>
      </c>
      <c r="C103" s="84"/>
      <c r="D103" s="104" t="s">
        <v>41</v>
      </c>
      <c r="E103" s="84"/>
      <c r="F103" s="16" t="s">
        <v>475</v>
      </c>
      <c r="G103" s="18">
        <v>0.02</v>
      </c>
      <c r="H103" s="19">
        <v>45702.1877421065</v>
      </c>
      <c r="I103" s="18">
        <v>20.425699999999999</v>
      </c>
      <c r="J103" s="19">
        <v>45702.561686435198</v>
      </c>
      <c r="K103" s="18">
        <v>20.365600000000001</v>
      </c>
      <c r="L103" s="20">
        <v>0</v>
      </c>
      <c r="M103" s="20">
        <v>0</v>
      </c>
      <c r="N103" s="27">
        <v>-5.9</v>
      </c>
      <c r="O103" s="85" t="s">
        <v>476</v>
      </c>
      <c r="P103" s="84"/>
      <c r="Q103" s="84"/>
      <c r="R103" s="84"/>
      <c r="S103" s="84"/>
      <c r="T103" s="20" t="s">
        <v>0</v>
      </c>
      <c r="U103" s="20" t="s">
        <v>0</v>
      </c>
      <c r="V103" s="27" t="s">
        <v>0</v>
      </c>
      <c r="W103" s="85" t="s">
        <v>0</v>
      </c>
      <c r="X103" s="84"/>
      <c r="Y103" s="84"/>
    </row>
    <row r="104" spans="2:25" x14ac:dyDescent="0.25">
      <c r="B104" s="83">
        <v>724854002</v>
      </c>
      <c r="C104" s="84"/>
      <c r="D104" s="105" t="s">
        <v>41</v>
      </c>
      <c r="E104" s="84"/>
      <c r="F104" s="22" t="s">
        <v>475</v>
      </c>
      <c r="G104" s="23">
        <v>0.02</v>
      </c>
      <c r="H104" s="24">
        <v>45705.649817997699</v>
      </c>
      <c r="I104" s="23">
        <v>20.323699999999999</v>
      </c>
      <c r="J104" s="24">
        <v>45705.728663414397</v>
      </c>
      <c r="K104" s="23">
        <v>20.273800000000001</v>
      </c>
      <c r="L104" s="25">
        <v>0</v>
      </c>
      <c r="M104" s="25">
        <v>0</v>
      </c>
      <c r="N104" s="26">
        <v>-4.92</v>
      </c>
      <c r="O104" s="83" t="s">
        <v>476</v>
      </c>
      <c r="P104" s="84"/>
      <c r="Q104" s="84"/>
      <c r="R104" s="84"/>
      <c r="S104" s="84"/>
      <c r="T104" s="25" t="s">
        <v>0</v>
      </c>
      <c r="U104" s="25" t="s">
        <v>0</v>
      </c>
      <c r="V104" s="26" t="s">
        <v>0</v>
      </c>
      <c r="W104" s="83" t="s">
        <v>0</v>
      </c>
      <c r="X104" s="84"/>
      <c r="Y104" s="84"/>
    </row>
    <row r="105" spans="2:25" x14ac:dyDescent="0.25">
      <c r="B105" s="85">
        <v>725610339</v>
      </c>
      <c r="C105" s="84"/>
      <c r="D105" s="104" t="s">
        <v>528</v>
      </c>
      <c r="E105" s="84"/>
      <c r="F105" s="16" t="s">
        <v>475</v>
      </c>
      <c r="G105" s="18">
        <v>6.1600000000000002E-2</v>
      </c>
      <c r="H105" s="19">
        <v>45482.713720868102</v>
      </c>
      <c r="I105" s="18">
        <v>227.77</v>
      </c>
      <c r="J105" s="19">
        <v>45706.652748136599</v>
      </c>
      <c r="K105" s="18">
        <v>243.58</v>
      </c>
      <c r="L105" s="20">
        <v>0</v>
      </c>
      <c r="M105" s="20">
        <v>0</v>
      </c>
      <c r="N105" s="21">
        <v>0.97</v>
      </c>
      <c r="O105" s="85" t="s">
        <v>476</v>
      </c>
      <c r="P105" s="84"/>
      <c r="Q105" s="84"/>
      <c r="R105" s="84"/>
      <c r="S105" s="84"/>
      <c r="T105" s="20" t="s">
        <v>0</v>
      </c>
      <c r="U105" s="20" t="s">
        <v>0</v>
      </c>
      <c r="V105" s="21" t="s">
        <v>0</v>
      </c>
      <c r="W105" s="85" t="s">
        <v>0</v>
      </c>
      <c r="X105" s="84"/>
      <c r="Y105" s="84"/>
    </row>
    <row r="106" spans="2:25" x14ac:dyDescent="0.25">
      <c r="B106" s="83">
        <v>725610908</v>
      </c>
      <c r="C106" s="84"/>
      <c r="D106" s="105" t="s">
        <v>528</v>
      </c>
      <c r="E106" s="84"/>
      <c r="F106" s="22" t="s">
        <v>475</v>
      </c>
      <c r="G106" s="23">
        <v>4.1999999999999997E-3</v>
      </c>
      <c r="H106" s="24">
        <v>45482.713720868102</v>
      </c>
      <c r="I106" s="23">
        <v>227.77</v>
      </c>
      <c r="J106" s="24">
        <v>45706.652901539397</v>
      </c>
      <c r="K106" s="23">
        <v>243.45</v>
      </c>
      <c r="L106" s="25">
        <v>0</v>
      </c>
      <c r="M106" s="25">
        <v>0</v>
      </c>
      <c r="N106" s="28">
        <v>0.06</v>
      </c>
      <c r="O106" s="83" t="s">
        <v>476</v>
      </c>
      <c r="P106" s="84"/>
      <c r="Q106" s="84"/>
      <c r="R106" s="84"/>
      <c r="S106" s="84"/>
      <c r="T106" s="25" t="s">
        <v>0</v>
      </c>
      <c r="U106" s="25" t="s">
        <v>0</v>
      </c>
      <c r="V106" s="28" t="s">
        <v>0</v>
      </c>
      <c r="W106" s="83" t="s">
        <v>0</v>
      </c>
      <c r="X106" s="84"/>
      <c r="Y106" s="84"/>
    </row>
    <row r="107" spans="2:25" x14ac:dyDescent="0.25">
      <c r="B107" s="85">
        <v>725610910</v>
      </c>
      <c r="C107" s="84"/>
      <c r="D107" s="104" t="s">
        <v>528</v>
      </c>
      <c r="E107" s="84"/>
      <c r="F107" s="16" t="s">
        <v>475</v>
      </c>
      <c r="G107" s="18">
        <v>6.6500000000000004E-2</v>
      </c>
      <c r="H107" s="19">
        <v>45548.6657375</v>
      </c>
      <c r="I107" s="18">
        <v>222.94</v>
      </c>
      <c r="J107" s="19">
        <v>45706.652901539397</v>
      </c>
      <c r="K107" s="18">
        <v>243.45</v>
      </c>
      <c r="L107" s="20">
        <v>0</v>
      </c>
      <c r="M107" s="20">
        <v>0</v>
      </c>
      <c r="N107" s="21">
        <v>1.36</v>
      </c>
      <c r="O107" s="85" t="s">
        <v>476</v>
      </c>
      <c r="P107" s="84"/>
      <c r="Q107" s="84"/>
      <c r="R107" s="84"/>
      <c r="S107" s="84"/>
      <c r="T107" s="20" t="s">
        <v>0</v>
      </c>
      <c r="U107" s="20" t="s">
        <v>0</v>
      </c>
      <c r="V107" s="21" t="s">
        <v>0</v>
      </c>
      <c r="W107" s="85" t="s">
        <v>0</v>
      </c>
      <c r="X107" s="84"/>
      <c r="Y107" s="84"/>
    </row>
    <row r="108" spans="2:25" x14ac:dyDescent="0.25">
      <c r="B108" s="83">
        <v>725610912</v>
      </c>
      <c r="C108" s="84"/>
      <c r="D108" s="105" t="s">
        <v>528</v>
      </c>
      <c r="E108" s="84"/>
      <c r="F108" s="22" t="s">
        <v>475</v>
      </c>
      <c r="G108" s="23">
        <v>5.5800000000000002E-2</v>
      </c>
      <c r="H108" s="24">
        <v>45582.739968773101</v>
      </c>
      <c r="I108" s="23">
        <v>232.2</v>
      </c>
      <c r="J108" s="24">
        <v>45706.652901539397</v>
      </c>
      <c r="K108" s="23">
        <v>243.45</v>
      </c>
      <c r="L108" s="25">
        <v>0</v>
      </c>
      <c r="M108" s="25">
        <v>0</v>
      </c>
      <c r="N108" s="28">
        <v>0.62</v>
      </c>
      <c r="O108" s="83" t="s">
        <v>476</v>
      </c>
      <c r="P108" s="84"/>
      <c r="Q108" s="84"/>
      <c r="R108" s="84"/>
      <c r="S108" s="84"/>
      <c r="T108" s="25" t="s">
        <v>0</v>
      </c>
      <c r="U108" s="25" t="s">
        <v>0</v>
      </c>
      <c r="V108" s="28" t="s">
        <v>0</v>
      </c>
      <c r="W108" s="83" t="s">
        <v>0</v>
      </c>
      <c r="X108" s="84"/>
      <c r="Y108" s="84"/>
    </row>
    <row r="109" spans="2:25" x14ac:dyDescent="0.25">
      <c r="B109" s="85">
        <v>754634504</v>
      </c>
      <c r="C109" s="84"/>
      <c r="D109" s="104" t="s">
        <v>41</v>
      </c>
      <c r="E109" s="84"/>
      <c r="F109" s="16" t="s">
        <v>475</v>
      </c>
      <c r="G109" s="18">
        <v>0.04</v>
      </c>
      <c r="H109" s="19">
        <v>45736.813421145802</v>
      </c>
      <c r="I109" s="18">
        <v>20.119800000000001</v>
      </c>
      <c r="J109" s="19">
        <v>45737.113377743102</v>
      </c>
      <c r="K109" s="18">
        <v>20.134799999999998</v>
      </c>
      <c r="L109" s="20">
        <v>0</v>
      </c>
      <c r="M109" s="20">
        <v>-0.8</v>
      </c>
      <c r="N109" s="21">
        <v>2.98</v>
      </c>
      <c r="O109" s="85" t="s">
        <v>476</v>
      </c>
      <c r="P109" s="84"/>
      <c r="Q109" s="84"/>
      <c r="R109" s="84"/>
      <c r="S109" s="84"/>
      <c r="T109" s="20" t="s">
        <v>0</v>
      </c>
      <c r="U109" s="20" t="s">
        <v>0</v>
      </c>
      <c r="V109" s="21" t="s">
        <v>0</v>
      </c>
      <c r="W109" s="85" t="s">
        <v>0</v>
      </c>
      <c r="X109" s="84"/>
      <c r="Y109" s="84"/>
    </row>
    <row r="110" spans="2:25" x14ac:dyDescent="0.25">
      <c r="B110" s="83">
        <v>757634903</v>
      </c>
      <c r="C110" s="84"/>
      <c r="D110" s="105" t="s">
        <v>529</v>
      </c>
      <c r="E110" s="84"/>
      <c r="F110" s="22" t="s">
        <v>475</v>
      </c>
      <c r="G110" s="23">
        <v>0.61</v>
      </c>
      <c r="H110" s="24">
        <v>45623.749511006899</v>
      </c>
      <c r="I110" s="23">
        <v>15.3</v>
      </c>
      <c r="J110" s="24">
        <v>45741.871772939798</v>
      </c>
      <c r="K110" s="23">
        <v>20.29</v>
      </c>
      <c r="L110" s="25">
        <v>0</v>
      </c>
      <c r="M110" s="25">
        <v>0</v>
      </c>
      <c r="N110" s="28">
        <v>3.05</v>
      </c>
      <c r="O110" s="83" t="s">
        <v>476</v>
      </c>
      <c r="P110" s="84"/>
      <c r="Q110" s="84"/>
      <c r="R110" s="84"/>
      <c r="S110" s="84"/>
      <c r="T110" s="25" t="s">
        <v>0</v>
      </c>
      <c r="U110" s="25" t="s">
        <v>0</v>
      </c>
      <c r="V110" s="28" t="s">
        <v>0</v>
      </c>
      <c r="W110" s="83" t="s">
        <v>0</v>
      </c>
      <c r="X110" s="84"/>
      <c r="Y110" s="84"/>
    </row>
    <row r="111" spans="2:25" x14ac:dyDescent="0.25">
      <c r="B111" s="85">
        <v>758733044</v>
      </c>
      <c r="C111" s="84"/>
      <c r="D111" s="104" t="s">
        <v>530</v>
      </c>
      <c r="E111" s="84"/>
      <c r="F111" s="16" t="s">
        <v>475</v>
      </c>
      <c r="G111" s="18">
        <v>0.01</v>
      </c>
      <c r="H111" s="19">
        <v>45511.722872141203</v>
      </c>
      <c r="I111" s="18">
        <v>455.4</v>
      </c>
      <c r="J111" s="19">
        <v>45742.775963946799</v>
      </c>
      <c r="K111" s="18">
        <v>547.14</v>
      </c>
      <c r="L111" s="20">
        <v>0</v>
      </c>
      <c r="M111" s="20">
        <v>0</v>
      </c>
      <c r="N111" s="21">
        <v>0.92</v>
      </c>
      <c r="O111" s="85" t="s">
        <v>476</v>
      </c>
      <c r="P111" s="84"/>
      <c r="Q111" s="84"/>
      <c r="R111" s="84"/>
      <c r="S111" s="84"/>
      <c r="T111" s="20" t="s">
        <v>0</v>
      </c>
      <c r="U111" s="20" t="s">
        <v>0</v>
      </c>
      <c r="V111" s="21" t="s">
        <v>0</v>
      </c>
      <c r="W111" s="85" t="s">
        <v>0</v>
      </c>
      <c r="X111" s="84"/>
      <c r="Y111" s="84"/>
    </row>
    <row r="112" spans="2:25" x14ac:dyDescent="0.25">
      <c r="B112" s="83">
        <v>759868722</v>
      </c>
      <c r="C112" s="84"/>
      <c r="D112" s="105" t="s">
        <v>531</v>
      </c>
      <c r="E112" s="84"/>
      <c r="F112" s="22" t="s">
        <v>475</v>
      </c>
      <c r="G112" s="23">
        <v>1.38E-2</v>
      </c>
      <c r="H112" s="24">
        <v>45544.6516350694</v>
      </c>
      <c r="I112" s="23">
        <v>147.47999999999999</v>
      </c>
      <c r="J112" s="24">
        <v>45743.765997777802</v>
      </c>
      <c r="K112" s="23">
        <v>139.86000000000001</v>
      </c>
      <c r="L112" s="25">
        <v>0</v>
      </c>
      <c r="M112" s="25">
        <v>0</v>
      </c>
      <c r="N112" s="26">
        <v>-0.11</v>
      </c>
      <c r="O112" s="83" t="s">
        <v>476</v>
      </c>
      <c r="P112" s="84"/>
      <c r="Q112" s="84"/>
      <c r="R112" s="84"/>
      <c r="S112" s="84"/>
      <c r="T112" s="25" t="s">
        <v>0</v>
      </c>
      <c r="U112" s="25" t="s">
        <v>0</v>
      </c>
      <c r="V112" s="26" t="s">
        <v>0</v>
      </c>
      <c r="W112" s="83" t="s">
        <v>0</v>
      </c>
      <c r="X112" s="84"/>
      <c r="Y112" s="84"/>
    </row>
    <row r="113" spans="2:25" x14ac:dyDescent="0.25">
      <c r="B113" s="85">
        <v>759868932</v>
      </c>
      <c r="C113" s="84"/>
      <c r="D113" s="104" t="s">
        <v>508</v>
      </c>
      <c r="E113" s="84"/>
      <c r="F113" s="16" t="s">
        <v>475</v>
      </c>
      <c r="G113" s="18">
        <v>1.24E-2</v>
      </c>
      <c r="H113" s="19">
        <v>45460.885290370403</v>
      </c>
      <c r="I113" s="18">
        <v>165.93</v>
      </c>
      <c r="J113" s="19">
        <v>45743.766326504599</v>
      </c>
      <c r="K113" s="18">
        <v>149.33000000000001</v>
      </c>
      <c r="L113" s="20">
        <v>0</v>
      </c>
      <c r="M113" s="20">
        <v>0</v>
      </c>
      <c r="N113" s="27">
        <v>-0.21</v>
      </c>
      <c r="O113" s="85" t="s">
        <v>476</v>
      </c>
      <c r="P113" s="84"/>
      <c r="Q113" s="84"/>
      <c r="R113" s="84"/>
      <c r="S113" s="84"/>
      <c r="T113" s="20" t="s">
        <v>0</v>
      </c>
      <c r="U113" s="20" t="s">
        <v>0</v>
      </c>
      <c r="V113" s="27" t="s">
        <v>0</v>
      </c>
      <c r="W113" s="85" t="s">
        <v>0</v>
      </c>
      <c r="X113" s="84"/>
      <c r="Y113" s="84"/>
    </row>
    <row r="114" spans="2:25" x14ac:dyDescent="0.25">
      <c r="B114" s="83">
        <v>759869902</v>
      </c>
      <c r="C114" s="84"/>
      <c r="D114" s="105" t="s">
        <v>532</v>
      </c>
      <c r="E114" s="84"/>
      <c r="F114" s="22" t="s">
        <v>475</v>
      </c>
      <c r="G114" s="23">
        <v>0.2</v>
      </c>
      <c r="H114" s="24">
        <v>45518.844285057901</v>
      </c>
      <c r="I114" s="23">
        <v>51.24</v>
      </c>
      <c r="J114" s="24">
        <v>45743.767690601897</v>
      </c>
      <c r="K114" s="23">
        <v>58.08</v>
      </c>
      <c r="L114" s="25">
        <v>0</v>
      </c>
      <c r="M114" s="25">
        <v>0</v>
      </c>
      <c r="N114" s="28">
        <v>1.37</v>
      </c>
      <c r="O114" s="83" t="s">
        <v>476</v>
      </c>
      <c r="P114" s="84"/>
      <c r="Q114" s="84"/>
      <c r="R114" s="84"/>
      <c r="S114" s="84"/>
      <c r="T114" s="25" t="s">
        <v>0</v>
      </c>
      <c r="U114" s="25" t="s">
        <v>0</v>
      </c>
      <c r="V114" s="28" t="s">
        <v>0</v>
      </c>
      <c r="W114" s="83" t="s">
        <v>0</v>
      </c>
      <c r="X114" s="84"/>
      <c r="Y114" s="84"/>
    </row>
    <row r="115" spans="2:25" x14ac:dyDescent="0.25">
      <c r="B115" s="85">
        <v>772744353</v>
      </c>
      <c r="C115" s="84"/>
      <c r="D115" s="104" t="s">
        <v>533</v>
      </c>
      <c r="E115" s="84"/>
      <c r="F115" s="16" t="s">
        <v>475</v>
      </c>
      <c r="G115" s="18">
        <v>0.27450000000000002</v>
      </c>
      <c r="H115" s="19">
        <v>45685.835611608803</v>
      </c>
      <c r="I115" s="18">
        <v>40.049999999999997</v>
      </c>
      <c r="J115" s="19">
        <v>45754.647631423599</v>
      </c>
      <c r="K115" s="18">
        <v>44.8</v>
      </c>
      <c r="L115" s="20">
        <v>0</v>
      </c>
      <c r="M115" s="20">
        <v>0</v>
      </c>
      <c r="N115" s="21">
        <v>1.31</v>
      </c>
      <c r="O115" s="85" t="s">
        <v>476</v>
      </c>
      <c r="P115" s="84"/>
      <c r="Q115" s="84"/>
      <c r="R115" s="84"/>
      <c r="S115" s="84"/>
      <c r="T115" s="20" t="s">
        <v>0</v>
      </c>
      <c r="U115" s="20" t="s">
        <v>0</v>
      </c>
      <c r="V115" s="21" t="s">
        <v>0</v>
      </c>
      <c r="W115" s="85" t="s">
        <v>0</v>
      </c>
      <c r="X115" s="84"/>
      <c r="Y115" s="84"/>
    </row>
    <row r="116" spans="2:25" x14ac:dyDescent="0.25">
      <c r="B116" s="83">
        <v>772744355</v>
      </c>
      <c r="C116" s="84"/>
      <c r="D116" s="105" t="s">
        <v>533</v>
      </c>
      <c r="E116" s="84"/>
      <c r="F116" s="22" t="s">
        <v>475</v>
      </c>
      <c r="G116" s="23">
        <v>0.24590000000000001</v>
      </c>
      <c r="H116" s="24">
        <v>45692.866729444402</v>
      </c>
      <c r="I116" s="23">
        <v>40.659999999999997</v>
      </c>
      <c r="J116" s="24">
        <v>45754.647631423599</v>
      </c>
      <c r="K116" s="23">
        <v>44.8</v>
      </c>
      <c r="L116" s="25">
        <v>0</v>
      </c>
      <c r="M116" s="25">
        <v>0</v>
      </c>
      <c r="N116" s="28">
        <v>1.02</v>
      </c>
      <c r="O116" s="83" t="s">
        <v>476</v>
      </c>
      <c r="P116" s="84"/>
      <c r="Q116" s="84"/>
      <c r="R116" s="84"/>
      <c r="S116" s="84"/>
      <c r="T116" s="25" t="s">
        <v>0</v>
      </c>
      <c r="U116" s="25" t="s">
        <v>0</v>
      </c>
      <c r="V116" s="28" t="s">
        <v>0</v>
      </c>
      <c r="W116" s="83" t="s">
        <v>0</v>
      </c>
      <c r="X116" s="84"/>
      <c r="Y116" s="84"/>
    </row>
    <row r="117" spans="2:25" x14ac:dyDescent="0.25">
      <c r="B117" s="85">
        <v>772744358</v>
      </c>
      <c r="C117" s="84"/>
      <c r="D117" s="104" t="s">
        <v>533</v>
      </c>
      <c r="E117" s="84"/>
      <c r="F117" s="16" t="s">
        <v>475</v>
      </c>
      <c r="G117" s="18">
        <v>0.17960000000000001</v>
      </c>
      <c r="H117" s="19">
        <v>45708.680226180601</v>
      </c>
      <c r="I117" s="18">
        <v>43</v>
      </c>
      <c r="J117" s="19">
        <v>45754.647631423599</v>
      </c>
      <c r="K117" s="18">
        <v>44.8</v>
      </c>
      <c r="L117" s="20">
        <v>0</v>
      </c>
      <c r="M117" s="20">
        <v>0</v>
      </c>
      <c r="N117" s="21">
        <v>0.33</v>
      </c>
      <c r="O117" s="85" t="s">
        <v>476</v>
      </c>
      <c r="P117" s="84"/>
      <c r="Q117" s="84"/>
      <c r="R117" s="84"/>
      <c r="S117" s="84"/>
      <c r="T117" s="20" t="s">
        <v>0</v>
      </c>
      <c r="U117" s="20" t="s">
        <v>0</v>
      </c>
      <c r="V117" s="21" t="s">
        <v>0</v>
      </c>
      <c r="W117" s="85" t="s">
        <v>0</v>
      </c>
      <c r="X117" s="84"/>
      <c r="Y117" s="84"/>
    </row>
    <row r="118" spans="2:25" x14ac:dyDescent="0.25">
      <c r="B118" s="83">
        <v>772791584</v>
      </c>
      <c r="C118" s="84"/>
      <c r="D118" s="105" t="s">
        <v>480</v>
      </c>
      <c r="E118" s="84"/>
      <c r="F118" s="22" t="s">
        <v>475</v>
      </c>
      <c r="G118" s="23">
        <v>0.01</v>
      </c>
      <c r="H118" s="24">
        <v>45754.651174143502</v>
      </c>
      <c r="I118" s="23">
        <v>4903.7</v>
      </c>
      <c r="J118" s="24">
        <v>45754.652187314801</v>
      </c>
      <c r="K118" s="23">
        <v>4891.1000000000004</v>
      </c>
      <c r="L118" s="25">
        <v>0</v>
      </c>
      <c r="M118" s="25">
        <v>0</v>
      </c>
      <c r="N118" s="28">
        <v>6.3</v>
      </c>
      <c r="O118" s="83" t="s">
        <v>476</v>
      </c>
      <c r="P118" s="84"/>
      <c r="Q118" s="84"/>
      <c r="R118" s="84"/>
      <c r="S118" s="84"/>
      <c r="T118" s="25" t="s">
        <v>0</v>
      </c>
      <c r="U118" s="25" t="s">
        <v>0</v>
      </c>
      <c r="V118" s="28" t="s">
        <v>0</v>
      </c>
      <c r="W118" s="83" t="s">
        <v>0</v>
      </c>
      <c r="X118" s="84"/>
      <c r="Y118" s="84"/>
    </row>
    <row r="119" spans="2:25" x14ac:dyDescent="0.25">
      <c r="B119" s="85">
        <v>776315372</v>
      </c>
      <c r="C119" s="84"/>
      <c r="D119" s="104" t="s">
        <v>480</v>
      </c>
      <c r="E119" s="84"/>
      <c r="F119" s="16" t="s">
        <v>475</v>
      </c>
      <c r="G119" s="18">
        <v>0.01</v>
      </c>
      <c r="H119" s="19">
        <v>45756.648057175902</v>
      </c>
      <c r="I119" s="18">
        <v>5004.7</v>
      </c>
      <c r="J119" s="19">
        <v>45756.649374131899</v>
      </c>
      <c r="K119" s="18">
        <v>5005.2</v>
      </c>
      <c r="L119" s="20">
        <v>0</v>
      </c>
      <c r="M119" s="20">
        <v>0</v>
      </c>
      <c r="N119" s="27">
        <v>-0.25</v>
      </c>
      <c r="O119" s="85" t="s">
        <v>476</v>
      </c>
      <c r="P119" s="84"/>
      <c r="Q119" s="84"/>
      <c r="R119" s="84"/>
      <c r="S119" s="84"/>
      <c r="T119" s="20" t="s">
        <v>0</v>
      </c>
      <c r="U119" s="20" t="s">
        <v>0</v>
      </c>
      <c r="V119" s="27" t="s">
        <v>0</v>
      </c>
      <c r="W119" s="85" t="s">
        <v>0</v>
      </c>
      <c r="X119" s="84"/>
      <c r="Y119" s="84"/>
    </row>
    <row r="120" spans="2:25" x14ac:dyDescent="0.25">
      <c r="B120" s="83">
        <v>776325461</v>
      </c>
      <c r="C120" s="84"/>
      <c r="D120" s="105" t="s">
        <v>480</v>
      </c>
      <c r="E120" s="84"/>
      <c r="F120" s="22" t="s">
        <v>475</v>
      </c>
      <c r="G120" s="23">
        <v>0.01</v>
      </c>
      <c r="H120" s="24">
        <v>45756.651050312503</v>
      </c>
      <c r="I120" s="23">
        <v>4992.2</v>
      </c>
      <c r="J120" s="24">
        <v>45756.651853194402</v>
      </c>
      <c r="K120" s="23">
        <v>5013.3999999999996</v>
      </c>
      <c r="L120" s="25">
        <v>0</v>
      </c>
      <c r="M120" s="25">
        <v>0</v>
      </c>
      <c r="N120" s="26">
        <v>-10.6</v>
      </c>
      <c r="O120" s="83" t="s">
        <v>476</v>
      </c>
      <c r="P120" s="84"/>
      <c r="Q120" s="84"/>
      <c r="R120" s="84"/>
      <c r="S120" s="84"/>
      <c r="T120" s="25" t="s">
        <v>0</v>
      </c>
      <c r="U120" s="25" t="s">
        <v>0</v>
      </c>
      <c r="V120" s="26" t="s">
        <v>0</v>
      </c>
      <c r="W120" s="83" t="s">
        <v>0</v>
      </c>
      <c r="X120" s="84"/>
      <c r="Y120" s="84"/>
    </row>
    <row r="121" spans="2:25" x14ac:dyDescent="0.25">
      <c r="B121" s="85">
        <v>781556656</v>
      </c>
      <c r="C121" s="84"/>
      <c r="D121" s="104" t="s">
        <v>41</v>
      </c>
      <c r="E121" s="84"/>
      <c r="F121" s="16" t="s">
        <v>475</v>
      </c>
      <c r="G121" s="18">
        <v>0.01</v>
      </c>
      <c r="H121" s="19">
        <v>45761.629448703701</v>
      </c>
      <c r="I121" s="18">
        <v>20.122599999999998</v>
      </c>
      <c r="J121" s="19">
        <v>45761.669660995402</v>
      </c>
      <c r="K121" s="18">
        <v>20.047000000000001</v>
      </c>
      <c r="L121" s="20">
        <v>0</v>
      </c>
      <c r="M121" s="20">
        <v>0</v>
      </c>
      <c r="N121" s="27">
        <v>-3.77</v>
      </c>
      <c r="O121" s="85" t="s">
        <v>476</v>
      </c>
      <c r="P121" s="84"/>
      <c r="Q121" s="84"/>
      <c r="R121" s="84"/>
      <c r="S121" s="84"/>
      <c r="T121" s="20" t="s">
        <v>0</v>
      </c>
      <c r="U121" s="20" t="s">
        <v>0</v>
      </c>
      <c r="V121" s="27" t="s">
        <v>0</v>
      </c>
      <c r="W121" s="85" t="s">
        <v>0</v>
      </c>
      <c r="X121" s="84"/>
      <c r="Y121" s="84"/>
    </row>
    <row r="122" spans="2:25" x14ac:dyDescent="0.25">
      <c r="B122" s="83">
        <v>781762912</v>
      </c>
      <c r="C122" s="84"/>
      <c r="D122" s="105" t="s">
        <v>41</v>
      </c>
      <c r="E122" s="84"/>
      <c r="F122" s="22" t="s">
        <v>475</v>
      </c>
      <c r="G122" s="23">
        <v>0.01</v>
      </c>
      <c r="H122" s="24">
        <v>45761.714022071799</v>
      </c>
      <c r="I122" s="23">
        <v>20.075900000000001</v>
      </c>
      <c r="J122" s="24">
        <v>45761.773712881899</v>
      </c>
      <c r="K122" s="23">
        <v>20.1099</v>
      </c>
      <c r="L122" s="25">
        <v>0</v>
      </c>
      <c r="M122" s="25">
        <v>0</v>
      </c>
      <c r="N122" s="28">
        <v>1.69</v>
      </c>
      <c r="O122" s="83" t="s">
        <v>476</v>
      </c>
      <c r="P122" s="84"/>
      <c r="Q122" s="84"/>
      <c r="R122" s="84"/>
      <c r="S122" s="84"/>
      <c r="T122" s="25" t="s">
        <v>0</v>
      </c>
      <c r="U122" s="25" t="s">
        <v>0</v>
      </c>
      <c r="V122" s="28" t="s">
        <v>0</v>
      </c>
      <c r="W122" s="83" t="s">
        <v>0</v>
      </c>
      <c r="X122" s="84"/>
      <c r="Y122" s="84"/>
    </row>
    <row r="123" spans="2:25" x14ac:dyDescent="0.25">
      <c r="B123" s="85">
        <v>782960927</v>
      </c>
      <c r="C123" s="84"/>
      <c r="D123" s="104" t="s">
        <v>41</v>
      </c>
      <c r="E123" s="84"/>
      <c r="F123" s="16" t="s">
        <v>475</v>
      </c>
      <c r="G123" s="18">
        <v>0.01</v>
      </c>
      <c r="H123" s="19">
        <v>45762.502650972201</v>
      </c>
      <c r="I123" s="18">
        <v>20.054500000000001</v>
      </c>
      <c r="J123" s="19">
        <v>45762.612259236099</v>
      </c>
      <c r="K123" s="18">
        <v>19.973500000000001</v>
      </c>
      <c r="L123" s="20">
        <v>0</v>
      </c>
      <c r="M123" s="20">
        <v>0</v>
      </c>
      <c r="N123" s="27">
        <v>-4.0599999999999996</v>
      </c>
      <c r="O123" s="85" t="s">
        <v>476</v>
      </c>
      <c r="P123" s="84"/>
      <c r="Q123" s="84"/>
      <c r="R123" s="84"/>
      <c r="S123" s="84"/>
      <c r="T123" s="20" t="s">
        <v>0</v>
      </c>
      <c r="U123" s="20" t="s">
        <v>0</v>
      </c>
      <c r="V123" s="27" t="s">
        <v>0</v>
      </c>
      <c r="W123" s="85" t="s">
        <v>0</v>
      </c>
      <c r="X123" s="84"/>
      <c r="Y123" s="84"/>
    </row>
    <row r="124" spans="2:25" x14ac:dyDescent="0.25">
      <c r="B124" s="83">
        <v>785659568</v>
      </c>
      <c r="C124" s="84"/>
      <c r="D124" s="105" t="s">
        <v>533</v>
      </c>
      <c r="E124" s="84"/>
      <c r="F124" s="22" t="s">
        <v>475</v>
      </c>
      <c r="G124" s="23">
        <v>5.28E-2</v>
      </c>
      <c r="H124" s="24">
        <v>45708.680226180601</v>
      </c>
      <c r="I124" s="23">
        <v>43</v>
      </c>
      <c r="J124" s="24">
        <v>45764.850287280096</v>
      </c>
      <c r="K124" s="23">
        <v>47.89</v>
      </c>
      <c r="L124" s="25">
        <v>0</v>
      </c>
      <c r="M124" s="25">
        <v>0</v>
      </c>
      <c r="N124" s="28">
        <v>0.25</v>
      </c>
      <c r="O124" s="83" t="s">
        <v>476</v>
      </c>
      <c r="P124" s="84"/>
      <c r="Q124" s="84"/>
      <c r="R124" s="84"/>
      <c r="S124" s="84"/>
      <c r="T124" s="25" t="s">
        <v>0</v>
      </c>
      <c r="U124" s="25" t="s">
        <v>0</v>
      </c>
      <c r="V124" s="28" t="s">
        <v>0</v>
      </c>
      <c r="W124" s="83" t="s">
        <v>0</v>
      </c>
      <c r="X124" s="84"/>
      <c r="Y124" s="84"/>
    </row>
    <row r="125" spans="2:25" x14ac:dyDescent="0.25">
      <c r="B125" s="85">
        <v>785661086</v>
      </c>
      <c r="C125" s="84"/>
      <c r="D125" s="104" t="s">
        <v>531</v>
      </c>
      <c r="E125" s="84"/>
      <c r="F125" s="16" t="s">
        <v>475</v>
      </c>
      <c r="G125" s="18">
        <v>0.1</v>
      </c>
      <c r="H125" s="19">
        <v>45544.6516350694</v>
      </c>
      <c r="I125" s="18">
        <v>147.47999999999999</v>
      </c>
      <c r="J125" s="19">
        <v>45764.851780358797</v>
      </c>
      <c r="K125" s="18">
        <v>143.22</v>
      </c>
      <c r="L125" s="20">
        <v>0</v>
      </c>
      <c r="M125" s="20">
        <v>0</v>
      </c>
      <c r="N125" s="27">
        <v>-0.42</v>
      </c>
      <c r="O125" s="85" t="s">
        <v>476</v>
      </c>
      <c r="P125" s="84"/>
      <c r="Q125" s="84"/>
      <c r="R125" s="84"/>
      <c r="S125" s="84"/>
      <c r="T125" s="20" t="s">
        <v>0</v>
      </c>
      <c r="U125" s="20" t="s">
        <v>0</v>
      </c>
      <c r="V125" s="27" t="s">
        <v>0</v>
      </c>
      <c r="W125" s="85" t="s">
        <v>0</v>
      </c>
      <c r="X125" s="84"/>
      <c r="Y125" s="84"/>
    </row>
    <row r="126" spans="2:25" x14ac:dyDescent="0.25">
      <c r="B126" s="83">
        <v>786345621</v>
      </c>
      <c r="C126" s="84"/>
      <c r="D126" s="105" t="s">
        <v>41</v>
      </c>
      <c r="E126" s="84"/>
      <c r="F126" s="22" t="s">
        <v>475</v>
      </c>
      <c r="G126" s="23">
        <v>0.01</v>
      </c>
      <c r="H126" s="24">
        <v>45768.121814884304</v>
      </c>
      <c r="I126" s="23">
        <v>19.705300000000001</v>
      </c>
      <c r="J126" s="24">
        <v>45768.133066597198</v>
      </c>
      <c r="K126" s="23">
        <v>19.715399999999999</v>
      </c>
      <c r="L126" s="25">
        <v>0</v>
      </c>
      <c r="M126" s="25">
        <v>0</v>
      </c>
      <c r="N126" s="28">
        <v>0.51</v>
      </c>
      <c r="O126" s="83" t="s">
        <v>476</v>
      </c>
      <c r="P126" s="84"/>
      <c r="Q126" s="84"/>
      <c r="R126" s="84"/>
      <c r="S126" s="84"/>
      <c r="T126" s="25" t="s">
        <v>0</v>
      </c>
      <c r="U126" s="25" t="s">
        <v>0</v>
      </c>
      <c r="V126" s="28" t="s">
        <v>0</v>
      </c>
      <c r="W126" s="83" t="s">
        <v>0</v>
      </c>
      <c r="X126" s="84"/>
      <c r="Y126" s="84"/>
    </row>
    <row r="127" spans="2:25" x14ac:dyDescent="0.25">
      <c r="B127" s="85">
        <v>788242299</v>
      </c>
      <c r="C127" s="84"/>
      <c r="D127" s="104" t="s">
        <v>41</v>
      </c>
      <c r="E127" s="84"/>
      <c r="F127" s="16" t="s">
        <v>475</v>
      </c>
      <c r="G127" s="18">
        <v>0.01</v>
      </c>
      <c r="H127" s="19">
        <v>45769.738141643502</v>
      </c>
      <c r="I127" s="18">
        <v>19.579999999999998</v>
      </c>
      <c r="J127" s="19">
        <v>45769.760842025498</v>
      </c>
      <c r="K127" s="18">
        <v>19.525500000000001</v>
      </c>
      <c r="L127" s="20">
        <v>0</v>
      </c>
      <c r="M127" s="20">
        <v>0</v>
      </c>
      <c r="N127" s="27">
        <v>-2.79</v>
      </c>
      <c r="O127" s="85" t="s">
        <v>476</v>
      </c>
      <c r="P127" s="84"/>
      <c r="Q127" s="84"/>
      <c r="R127" s="84"/>
      <c r="S127" s="84"/>
      <c r="T127" s="20" t="s">
        <v>0</v>
      </c>
      <c r="U127" s="20" t="s">
        <v>0</v>
      </c>
      <c r="V127" s="27" t="s">
        <v>0</v>
      </c>
      <c r="W127" s="85" t="s">
        <v>0</v>
      </c>
      <c r="X127" s="84"/>
      <c r="Y127" s="84"/>
    </row>
    <row r="128" spans="2:25" x14ac:dyDescent="0.25">
      <c r="B128" s="83">
        <v>800672690</v>
      </c>
      <c r="C128" s="84"/>
      <c r="D128" s="105" t="s">
        <v>55</v>
      </c>
      <c r="E128" s="84"/>
      <c r="F128" s="22" t="s">
        <v>475</v>
      </c>
      <c r="G128" s="23">
        <v>1</v>
      </c>
      <c r="H128" s="24">
        <v>45629.377986111103</v>
      </c>
      <c r="I128" s="23">
        <v>48.68</v>
      </c>
      <c r="J128" s="24">
        <v>45782.676886574103</v>
      </c>
      <c r="K128" s="23">
        <v>44.15</v>
      </c>
      <c r="L128" s="25">
        <v>0</v>
      </c>
      <c r="M128" s="25">
        <v>0</v>
      </c>
      <c r="N128" s="26">
        <v>-1.57</v>
      </c>
      <c r="O128" s="83" t="s">
        <v>476</v>
      </c>
      <c r="P128" s="84"/>
      <c r="Q128" s="84"/>
      <c r="R128" s="84"/>
      <c r="S128" s="84"/>
      <c r="T128" s="25" t="s">
        <v>0</v>
      </c>
      <c r="U128" s="25" t="s">
        <v>0</v>
      </c>
      <c r="V128" s="26" t="s">
        <v>0</v>
      </c>
      <c r="W128" s="83" t="s">
        <v>0</v>
      </c>
      <c r="X128" s="84"/>
      <c r="Y128" s="84"/>
    </row>
    <row r="129" spans="2:25" x14ac:dyDescent="0.25">
      <c r="B129" s="85">
        <v>800672692</v>
      </c>
      <c r="C129" s="84"/>
      <c r="D129" s="104" t="s">
        <v>55</v>
      </c>
      <c r="E129" s="84"/>
      <c r="F129" s="16" t="s">
        <v>475</v>
      </c>
      <c r="G129" s="18">
        <v>1</v>
      </c>
      <c r="H129" s="19">
        <v>45754.5793865741</v>
      </c>
      <c r="I129" s="18">
        <v>37.258000000000003</v>
      </c>
      <c r="J129" s="19">
        <v>45782.676886574103</v>
      </c>
      <c r="K129" s="18">
        <v>44.15</v>
      </c>
      <c r="L129" s="20">
        <v>0</v>
      </c>
      <c r="M129" s="20">
        <v>0</v>
      </c>
      <c r="N129" s="21">
        <v>8.7799999999999994</v>
      </c>
      <c r="O129" s="85" t="s">
        <v>476</v>
      </c>
      <c r="P129" s="84"/>
      <c r="Q129" s="84"/>
      <c r="R129" s="84"/>
      <c r="S129" s="84"/>
      <c r="T129" s="20" t="s">
        <v>0</v>
      </c>
      <c r="U129" s="20" t="s">
        <v>0</v>
      </c>
      <c r="V129" s="21" t="s">
        <v>0</v>
      </c>
      <c r="W129" s="85" t="s">
        <v>0</v>
      </c>
      <c r="X129" s="84"/>
      <c r="Y129" s="84"/>
    </row>
    <row r="130" spans="2:25" x14ac:dyDescent="0.25">
      <c r="B130" s="83">
        <v>803547670</v>
      </c>
      <c r="C130" s="84"/>
      <c r="D130" s="105" t="s">
        <v>521</v>
      </c>
      <c r="E130" s="84"/>
      <c r="F130" s="22" t="s">
        <v>475</v>
      </c>
      <c r="G130" s="23">
        <v>2.3400000000000001E-2</v>
      </c>
      <c r="H130" s="24">
        <v>45476.658791608803</v>
      </c>
      <c r="I130" s="23">
        <v>459.24</v>
      </c>
      <c r="J130" s="24">
        <v>45784.7766491898</v>
      </c>
      <c r="K130" s="23">
        <v>434.71</v>
      </c>
      <c r="L130" s="25">
        <v>0</v>
      </c>
      <c r="M130" s="25">
        <v>0</v>
      </c>
      <c r="N130" s="26">
        <v>-0.57999999999999996</v>
      </c>
      <c r="O130" s="83" t="s">
        <v>476</v>
      </c>
      <c r="P130" s="84"/>
      <c r="Q130" s="84"/>
      <c r="R130" s="84"/>
      <c r="S130" s="84"/>
      <c r="T130" s="25" t="s">
        <v>0</v>
      </c>
      <c r="U130" s="25" t="s">
        <v>0</v>
      </c>
      <c r="V130" s="26" t="s">
        <v>0</v>
      </c>
      <c r="W130" s="83" t="s">
        <v>0</v>
      </c>
      <c r="X130" s="84"/>
      <c r="Y130" s="84"/>
    </row>
    <row r="131" spans="2:25" x14ac:dyDescent="0.25">
      <c r="B131" s="85">
        <v>803547672</v>
      </c>
      <c r="C131" s="84"/>
      <c r="D131" s="104" t="s">
        <v>521</v>
      </c>
      <c r="E131" s="84"/>
      <c r="F131" s="16" t="s">
        <v>475</v>
      </c>
      <c r="G131" s="18">
        <v>3.7199999999999997E-2</v>
      </c>
      <c r="H131" s="19">
        <v>45523.666336701397</v>
      </c>
      <c r="I131" s="18">
        <v>419.46</v>
      </c>
      <c r="J131" s="19">
        <v>45784.7766491898</v>
      </c>
      <c r="K131" s="18">
        <v>434.71</v>
      </c>
      <c r="L131" s="20">
        <v>0</v>
      </c>
      <c r="M131" s="20">
        <v>0</v>
      </c>
      <c r="N131" s="21">
        <v>0.56000000000000005</v>
      </c>
      <c r="O131" s="85" t="s">
        <v>476</v>
      </c>
      <c r="P131" s="84"/>
      <c r="Q131" s="84"/>
      <c r="R131" s="84"/>
      <c r="S131" s="84"/>
      <c r="T131" s="20" t="s">
        <v>0</v>
      </c>
      <c r="U131" s="20" t="s">
        <v>0</v>
      </c>
      <c r="V131" s="21" t="s">
        <v>0</v>
      </c>
      <c r="W131" s="85" t="s">
        <v>0</v>
      </c>
      <c r="X131" s="84"/>
      <c r="Y131" s="84"/>
    </row>
    <row r="132" spans="2:25" x14ac:dyDescent="0.25">
      <c r="B132" s="86" t="s">
        <v>56</v>
      </c>
      <c r="C132" s="87"/>
      <c r="D132" s="86" t="s">
        <v>0</v>
      </c>
      <c r="E132" s="87"/>
      <c r="F132" s="29" t="s">
        <v>0</v>
      </c>
      <c r="G132" s="29" t="s">
        <v>0</v>
      </c>
      <c r="H132" s="29" t="s">
        <v>0</v>
      </c>
      <c r="I132" s="29" t="s">
        <v>0</v>
      </c>
      <c r="J132" s="29" t="s">
        <v>0</v>
      </c>
      <c r="K132" s="29" t="s">
        <v>0</v>
      </c>
      <c r="L132" s="30">
        <v>0</v>
      </c>
      <c r="M132" s="30">
        <v>-2.3199999999999998</v>
      </c>
      <c r="N132" s="30">
        <v>9.58</v>
      </c>
      <c r="O132" s="30" t="s">
        <v>0</v>
      </c>
      <c r="P132" s="29" t="s">
        <v>0</v>
      </c>
      <c r="Q132" s="29" t="s">
        <v>0</v>
      </c>
      <c r="R132" s="29" t="s">
        <v>0</v>
      </c>
      <c r="S132" s="30" t="s">
        <v>0</v>
      </c>
      <c r="T132" s="30" t="s">
        <v>0</v>
      </c>
      <c r="U132" s="30" t="s">
        <v>0</v>
      </c>
      <c r="V132" s="30" t="s">
        <v>0</v>
      </c>
      <c r="W132" s="86" t="s">
        <v>0</v>
      </c>
      <c r="X132" s="87"/>
      <c r="Y132" s="87"/>
    </row>
    <row r="133" spans="2:25" ht="0" hidden="1" customHeight="1" x14ac:dyDescent="0.25"/>
  </sheetData>
  <mergeCells count="518">
    <mergeCell ref="B131:C131"/>
    <mergeCell ref="D131:E131"/>
    <mergeCell ref="O131:S131"/>
    <mergeCell ref="W131:Y131"/>
    <mergeCell ref="B132:C132"/>
    <mergeCell ref="D132:E132"/>
    <mergeCell ref="W132:Y132"/>
    <mergeCell ref="B129:C129"/>
    <mergeCell ref="D129:E129"/>
    <mergeCell ref="O129:S129"/>
    <mergeCell ref="W129:Y129"/>
    <mergeCell ref="B130:C130"/>
    <mergeCell ref="D130:E130"/>
    <mergeCell ref="O130:S130"/>
    <mergeCell ref="W130:Y130"/>
    <mergeCell ref="B127:C127"/>
    <mergeCell ref="D127:E127"/>
    <mergeCell ref="O127:S127"/>
    <mergeCell ref="W127:Y127"/>
    <mergeCell ref="B128:C128"/>
    <mergeCell ref="D128:E128"/>
    <mergeCell ref="O128:S128"/>
    <mergeCell ref="W128:Y128"/>
    <mergeCell ref="B125:C125"/>
    <mergeCell ref="D125:E125"/>
    <mergeCell ref="O125:S125"/>
    <mergeCell ref="W125:Y125"/>
    <mergeCell ref="B126:C126"/>
    <mergeCell ref="D126:E126"/>
    <mergeCell ref="O126:S126"/>
    <mergeCell ref="W126:Y126"/>
    <mergeCell ref="B123:C123"/>
    <mergeCell ref="D123:E123"/>
    <mergeCell ref="O123:S123"/>
    <mergeCell ref="W123:Y123"/>
    <mergeCell ref="B124:C124"/>
    <mergeCell ref="D124:E124"/>
    <mergeCell ref="O124:S124"/>
    <mergeCell ref="W124:Y124"/>
    <mergeCell ref="B121:C121"/>
    <mergeCell ref="D121:E121"/>
    <mergeCell ref="O121:S121"/>
    <mergeCell ref="W121:Y121"/>
    <mergeCell ref="B122:C122"/>
    <mergeCell ref="D122:E122"/>
    <mergeCell ref="O122:S122"/>
    <mergeCell ref="W122:Y122"/>
    <mergeCell ref="B119:C119"/>
    <mergeCell ref="D119:E119"/>
    <mergeCell ref="O119:S119"/>
    <mergeCell ref="W119:Y119"/>
    <mergeCell ref="B120:C120"/>
    <mergeCell ref="D120:E120"/>
    <mergeCell ref="O120:S120"/>
    <mergeCell ref="W120:Y120"/>
    <mergeCell ref="B117:C117"/>
    <mergeCell ref="D117:E117"/>
    <mergeCell ref="O117:S117"/>
    <mergeCell ref="W117:Y117"/>
    <mergeCell ref="B118:C118"/>
    <mergeCell ref="D118:E118"/>
    <mergeCell ref="O118:S118"/>
    <mergeCell ref="W118:Y118"/>
    <mergeCell ref="B115:C115"/>
    <mergeCell ref="D115:E115"/>
    <mergeCell ref="O115:S115"/>
    <mergeCell ref="W115:Y115"/>
    <mergeCell ref="B116:C116"/>
    <mergeCell ref="D116:E116"/>
    <mergeCell ref="O116:S116"/>
    <mergeCell ref="W116:Y116"/>
    <mergeCell ref="B113:C113"/>
    <mergeCell ref="D113:E113"/>
    <mergeCell ref="O113:S113"/>
    <mergeCell ref="W113:Y113"/>
    <mergeCell ref="B114:C114"/>
    <mergeCell ref="D114:E114"/>
    <mergeCell ref="O114:S114"/>
    <mergeCell ref="W114:Y114"/>
    <mergeCell ref="B111:C111"/>
    <mergeCell ref="D111:E111"/>
    <mergeCell ref="O111:S111"/>
    <mergeCell ref="W111:Y111"/>
    <mergeCell ref="B112:C112"/>
    <mergeCell ref="D112:E112"/>
    <mergeCell ref="O112:S112"/>
    <mergeCell ref="W112:Y112"/>
    <mergeCell ref="B109:C109"/>
    <mergeCell ref="D109:E109"/>
    <mergeCell ref="O109:S109"/>
    <mergeCell ref="W109:Y109"/>
    <mergeCell ref="B110:C110"/>
    <mergeCell ref="D110:E110"/>
    <mergeCell ref="O110:S110"/>
    <mergeCell ref="W110:Y110"/>
    <mergeCell ref="B107:C107"/>
    <mergeCell ref="D107:E107"/>
    <mergeCell ref="O107:S107"/>
    <mergeCell ref="W107:Y107"/>
    <mergeCell ref="B108:C108"/>
    <mergeCell ref="D108:E108"/>
    <mergeCell ref="O108:S108"/>
    <mergeCell ref="W108:Y108"/>
    <mergeCell ref="B105:C105"/>
    <mergeCell ref="D105:E105"/>
    <mergeCell ref="O105:S105"/>
    <mergeCell ref="W105:Y105"/>
    <mergeCell ref="B106:C106"/>
    <mergeCell ref="D106:E106"/>
    <mergeCell ref="O106:S106"/>
    <mergeCell ref="W106:Y106"/>
    <mergeCell ref="B103:C103"/>
    <mergeCell ref="D103:E103"/>
    <mergeCell ref="O103:S103"/>
    <mergeCell ref="W103:Y103"/>
    <mergeCell ref="B104:C104"/>
    <mergeCell ref="D104:E104"/>
    <mergeCell ref="O104:S104"/>
    <mergeCell ref="W104:Y104"/>
    <mergeCell ref="B101:C101"/>
    <mergeCell ref="D101:E101"/>
    <mergeCell ref="O101:S101"/>
    <mergeCell ref="W101:Y101"/>
    <mergeCell ref="B102:C102"/>
    <mergeCell ref="D102:E102"/>
    <mergeCell ref="O102:S102"/>
    <mergeCell ref="W102:Y102"/>
    <mergeCell ref="B99:C99"/>
    <mergeCell ref="D99:E99"/>
    <mergeCell ref="O99:S99"/>
    <mergeCell ref="W99:Y99"/>
    <mergeCell ref="B100:C100"/>
    <mergeCell ref="D100:E100"/>
    <mergeCell ref="O100:S100"/>
    <mergeCell ref="W100:Y100"/>
    <mergeCell ref="B97:C97"/>
    <mergeCell ref="D97:E97"/>
    <mergeCell ref="O97:S97"/>
    <mergeCell ref="W97:Y97"/>
    <mergeCell ref="B98:C98"/>
    <mergeCell ref="D98:E98"/>
    <mergeCell ref="O98:S98"/>
    <mergeCell ref="W98:Y98"/>
    <mergeCell ref="B95:C95"/>
    <mergeCell ref="D95:E95"/>
    <mergeCell ref="O95:S95"/>
    <mergeCell ref="W95:Y95"/>
    <mergeCell ref="B96:C96"/>
    <mergeCell ref="D96:E96"/>
    <mergeCell ref="O96:S96"/>
    <mergeCell ref="W96:Y96"/>
    <mergeCell ref="B93:C93"/>
    <mergeCell ref="D93:E93"/>
    <mergeCell ref="O93:S93"/>
    <mergeCell ref="W93:Y93"/>
    <mergeCell ref="B94:C94"/>
    <mergeCell ref="D94:E94"/>
    <mergeCell ref="O94:S94"/>
    <mergeCell ref="W94:Y94"/>
    <mergeCell ref="B91:C91"/>
    <mergeCell ref="D91:E91"/>
    <mergeCell ref="O91:S91"/>
    <mergeCell ref="W91:Y91"/>
    <mergeCell ref="B92:C92"/>
    <mergeCell ref="D92:E92"/>
    <mergeCell ref="O92:S92"/>
    <mergeCell ref="W92:Y92"/>
    <mergeCell ref="B89:C89"/>
    <mergeCell ref="D89:E89"/>
    <mergeCell ref="O89:S89"/>
    <mergeCell ref="W89:Y89"/>
    <mergeCell ref="B90:C90"/>
    <mergeCell ref="D90:E90"/>
    <mergeCell ref="O90:S90"/>
    <mergeCell ref="W90:Y90"/>
    <mergeCell ref="B87:C87"/>
    <mergeCell ref="D87:E87"/>
    <mergeCell ref="O87:S87"/>
    <mergeCell ref="W87:Y87"/>
    <mergeCell ref="B88:C88"/>
    <mergeCell ref="D88:E88"/>
    <mergeCell ref="O88:S88"/>
    <mergeCell ref="W88:Y88"/>
    <mergeCell ref="B85:C85"/>
    <mergeCell ref="D85:E85"/>
    <mergeCell ref="O85:S85"/>
    <mergeCell ref="W85:Y85"/>
    <mergeCell ref="B86:C86"/>
    <mergeCell ref="D86:E86"/>
    <mergeCell ref="O86:S86"/>
    <mergeCell ref="W86:Y86"/>
    <mergeCell ref="B83:C83"/>
    <mergeCell ref="D83:E83"/>
    <mergeCell ref="O83:S83"/>
    <mergeCell ref="W83:Y83"/>
    <mergeCell ref="B84:C84"/>
    <mergeCell ref="D84:E84"/>
    <mergeCell ref="O84:S84"/>
    <mergeCell ref="W84:Y84"/>
    <mergeCell ref="B81:C81"/>
    <mergeCell ref="D81:E81"/>
    <mergeCell ref="O81:S81"/>
    <mergeCell ref="W81:Y81"/>
    <mergeCell ref="B82:C82"/>
    <mergeCell ref="D82:E82"/>
    <mergeCell ref="O82:S82"/>
    <mergeCell ref="W82:Y82"/>
    <mergeCell ref="B79:C79"/>
    <mergeCell ref="D79:E79"/>
    <mergeCell ref="O79:S79"/>
    <mergeCell ref="W79:Y79"/>
    <mergeCell ref="B80:C80"/>
    <mergeCell ref="D80:E80"/>
    <mergeCell ref="O80:S80"/>
    <mergeCell ref="W80:Y80"/>
    <mergeCell ref="B77:C77"/>
    <mergeCell ref="D77:E77"/>
    <mergeCell ref="O77:S77"/>
    <mergeCell ref="W77:Y77"/>
    <mergeCell ref="B78:C78"/>
    <mergeCell ref="D78:E78"/>
    <mergeCell ref="O78:S78"/>
    <mergeCell ref="W78:Y78"/>
    <mergeCell ref="B75:C75"/>
    <mergeCell ref="D75:E75"/>
    <mergeCell ref="O75:S75"/>
    <mergeCell ref="W75:Y75"/>
    <mergeCell ref="B76:C76"/>
    <mergeCell ref="D76:E76"/>
    <mergeCell ref="O76:S76"/>
    <mergeCell ref="W76:Y76"/>
    <mergeCell ref="B73:C73"/>
    <mergeCell ref="D73:E73"/>
    <mergeCell ref="O73:S73"/>
    <mergeCell ref="W73:Y73"/>
    <mergeCell ref="B74:C74"/>
    <mergeCell ref="D74:E74"/>
    <mergeCell ref="O74:S74"/>
    <mergeCell ref="W74:Y74"/>
    <mergeCell ref="B71:C71"/>
    <mergeCell ref="D71:E71"/>
    <mergeCell ref="O71:S71"/>
    <mergeCell ref="W71:Y71"/>
    <mergeCell ref="B72:C72"/>
    <mergeCell ref="D72:E72"/>
    <mergeCell ref="O72:S72"/>
    <mergeCell ref="W72:Y72"/>
    <mergeCell ref="B69:C69"/>
    <mergeCell ref="D69:E69"/>
    <mergeCell ref="O69:S69"/>
    <mergeCell ref="W69:Y69"/>
    <mergeCell ref="B70:C70"/>
    <mergeCell ref="D70:E70"/>
    <mergeCell ref="O70:S70"/>
    <mergeCell ref="W70:Y70"/>
    <mergeCell ref="B67:C67"/>
    <mergeCell ref="D67:E67"/>
    <mergeCell ref="O67:S67"/>
    <mergeCell ref="W67:Y67"/>
    <mergeCell ref="B68:C68"/>
    <mergeCell ref="D68:E68"/>
    <mergeCell ref="O68:S68"/>
    <mergeCell ref="W68:Y68"/>
    <mergeCell ref="B65:C65"/>
    <mergeCell ref="D65:E65"/>
    <mergeCell ref="O65:S65"/>
    <mergeCell ref="W65:Y65"/>
    <mergeCell ref="B66:C66"/>
    <mergeCell ref="D66:E66"/>
    <mergeCell ref="O66:S66"/>
    <mergeCell ref="W66:Y66"/>
    <mergeCell ref="B63:C63"/>
    <mergeCell ref="D63:E63"/>
    <mergeCell ref="O63:S63"/>
    <mergeCell ref="W63:Y63"/>
    <mergeCell ref="B64:C64"/>
    <mergeCell ref="D64:E64"/>
    <mergeCell ref="O64:S64"/>
    <mergeCell ref="W64:Y64"/>
    <mergeCell ref="B61:C61"/>
    <mergeCell ref="D61:E61"/>
    <mergeCell ref="O61:S61"/>
    <mergeCell ref="W61:Y61"/>
    <mergeCell ref="B62:C62"/>
    <mergeCell ref="D62:E62"/>
    <mergeCell ref="O62:S62"/>
    <mergeCell ref="W62:Y62"/>
    <mergeCell ref="B59:C59"/>
    <mergeCell ref="D59:E59"/>
    <mergeCell ref="O59:S59"/>
    <mergeCell ref="W59:Y59"/>
    <mergeCell ref="B60:C60"/>
    <mergeCell ref="D60:E60"/>
    <mergeCell ref="O60:S60"/>
    <mergeCell ref="W60:Y60"/>
    <mergeCell ref="B57:C57"/>
    <mergeCell ref="D57:E57"/>
    <mergeCell ref="O57:S57"/>
    <mergeCell ref="W57:Y57"/>
    <mergeCell ref="B58:C58"/>
    <mergeCell ref="D58:E58"/>
    <mergeCell ref="O58:S58"/>
    <mergeCell ref="W58:Y58"/>
    <mergeCell ref="B55:C55"/>
    <mergeCell ref="D55:E55"/>
    <mergeCell ref="O55:S55"/>
    <mergeCell ref="W55:Y55"/>
    <mergeCell ref="B56:C56"/>
    <mergeCell ref="D56:E56"/>
    <mergeCell ref="O56:S56"/>
    <mergeCell ref="W56:Y56"/>
    <mergeCell ref="B53:C53"/>
    <mergeCell ref="D53:E53"/>
    <mergeCell ref="O53:S53"/>
    <mergeCell ref="W53:Y53"/>
    <mergeCell ref="B54:C54"/>
    <mergeCell ref="D54:E54"/>
    <mergeCell ref="O54:S54"/>
    <mergeCell ref="W54:Y54"/>
    <mergeCell ref="B51:C51"/>
    <mergeCell ref="D51:E51"/>
    <mergeCell ref="O51:S51"/>
    <mergeCell ref="W51:Y51"/>
    <mergeCell ref="B52:C52"/>
    <mergeCell ref="D52:E52"/>
    <mergeCell ref="O52:S52"/>
    <mergeCell ref="W52:Y52"/>
    <mergeCell ref="B49:C49"/>
    <mergeCell ref="D49:E49"/>
    <mergeCell ref="O49:S49"/>
    <mergeCell ref="W49:Y49"/>
    <mergeCell ref="B50:C50"/>
    <mergeCell ref="D50:E50"/>
    <mergeCell ref="O50:S50"/>
    <mergeCell ref="W50:Y50"/>
    <mergeCell ref="B47:C47"/>
    <mergeCell ref="D47:E47"/>
    <mergeCell ref="O47:S47"/>
    <mergeCell ref="W47:Y47"/>
    <mergeCell ref="B48:C48"/>
    <mergeCell ref="D48:E48"/>
    <mergeCell ref="O48:S48"/>
    <mergeCell ref="W48:Y48"/>
    <mergeCell ref="B45:C45"/>
    <mergeCell ref="D45:E45"/>
    <mergeCell ref="O45:S45"/>
    <mergeCell ref="W45:Y45"/>
    <mergeCell ref="B46:C46"/>
    <mergeCell ref="D46:E46"/>
    <mergeCell ref="O46:S46"/>
    <mergeCell ref="W46:Y46"/>
    <mergeCell ref="B43:C43"/>
    <mergeCell ref="D43:E43"/>
    <mergeCell ref="O43:S43"/>
    <mergeCell ref="W43:Y43"/>
    <mergeCell ref="B44:C44"/>
    <mergeCell ref="D44:E44"/>
    <mergeCell ref="O44:S44"/>
    <mergeCell ref="W44:Y44"/>
    <mergeCell ref="B41:C41"/>
    <mergeCell ref="D41:E41"/>
    <mergeCell ref="O41:S41"/>
    <mergeCell ref="W41:Y41"/>
    <mergeCell ref="B42:C42"/>
    <mergeCell ref="D42:E42"/>
    <mergeCell ref="O42:S42"/>
    <mergeCell ref="W42:Y42"/>
    <mergeCell ref="B39:C39"/>
    <mergeCell ref="D39:E39"/>
    <mergeCell ref="O39:S39"/>
    <mergeCell ref="W39:Y39"/>
    <mergeCell ref="B40:C40"/>
    <mergeCell ref="D40:E40"/>
    <mergeCell ref="O40:S40"/>
    <mergeCell ref="W40:Y40"/>
    <mergeCell ref="B37:C37"/>
    <mergeCell ref="D37:E37"/>
    <mergeCell ref="O37:S37"/>
    <mergeCell ref="W37:Y37"/>
    <mergeCell ref="B38:C38"/>
    <mergeCell ref="D38:E38"/>
    <mergeCell ref="O38:S38"/>
    <mergeCell ref="W38:Y38"/>
    <mergeCell ref="B35:C35"/>
    <mergeCell ref="D35:E35"/>
    <mergeCell ref="O35:S35"/>
    <mergeCell ref="W35:Y35"/>
    <mergeCell ref="B36:C36"/>
    <mergeCell ref="D36:E36"/>
    <mergeCell ref="O36:S36"/>
    <mergeCell ref="W36:Y36"/>
    <mergeCell ref="B33:C33"/>
    <mergeCell ref="D33:E33"/>
    <mergeCell ref="O33:S33"/>
    <mergeCell ref="W33:Y33"/>
    <mergeCell ref="B34:C34"/>
    <mergeCell ref="D34:E34"/>
    <mergeCell ref="O34:S34"/>
    <mergeCell ref="W34:Y34"/>
    <mergeCell ref="B31:C31"/>
    <mergeCell ref="D31:E31"/>
    <mergeCell ref="O31:S31"/>
    <mergeCell ref="W31:Y31"/>
    <mergeCell ref="B32:C32"/>
    <mergeCell ref="D32:E32"/>
    <mergeCell ref="O32:S32"/>
    <mergeCell ref="W32:Y32"/>
    <mergeCell ref="B29:C29"/>
    <mergeCell ref="D29:E29"/>
    <mergeCell ref="O29:S29"/>
    <mergeCell ref="W29:Y29"/>
    <mergeCell ref="B30:C30"/>
    <mergeCell ref="D30:E30"/>
    <mergeCell ref="O30:S30"/>
    <mergeCell ref="W30:Y30"/>
    <mergeCell ref="B27:C27"/>
    <mergeCell ref="D27:E27"/>
    <mergeCell ref="O27:S27"/>
    <mergeCell ref="W27:Y27"/>
    <mergeCell ref="B28:C28"/>
    <mergeCell ref="D28:E28"/>
    <mergeCell ref="O28:S28"/>
    <mergeCell ref="W28:Y28"/>
    <mergeCell ref="B25:C25"/>
    <mergeCell ref="D25:E25"/>
    <mergeCell ref="O25:S25"/>
    <mergeCell ref="W25:Y25"/>
    <mergeCell ref="B26:C26"/>
    <mergeCell ref="D26:E26"/>
    <mergeCell ref="O26:S26"/>
    <mergeCell ref="W26:Y26"/>
    <mergeCell ref="B23:C23"/>
    <mergeCell ref="D23:E23"/>
    <mergeCell ref="O23:S23"/>
    <mergeCell ref="W23:Y23"/>
    <mergeCell ref="B24:C24"/>
    <mergeCell ref="D24:E24"/>
    <mergeCell ref="O24:S24"/>
    <mergeCell ref="W24:Y24"/>
    <mergeCell ref="B21:C21"/>
    <mergeCell ref="D21:E21"/>
    <mergeCell ref="O21:S21"/>
    <mergeCell ref="W21:Y21"/>
    <mergeCell ref="B22:C22"/>
    <mergeCell ref="D22:E22"/>
    <mergeCell ref="O22:S22"/>
    <mergeCell ref="W22:Y22"/>
    <mergeCell ref="B19:C19"/>
    <mergeCell ref="D19:E19"/>
    <mergeCell ref="O19:S19"/>
    <mergeCell ref="W19:Y19"/>
    <mergeCell ref="B20:C20"/>
    <mergeCell ref="D20:E20"/>
    <mergeCell ref="O20:S20"/>
    <mergeCell ref="W20:Y20"/>
    <mergeCell ref="B17:C17"/>
    <mergeCell ref="D17:E17"/>
    <mergeCell ref="O17:S17"/>
    <mergeCell ref="W17:Y17"/>
    <mergeCell ref="B18:C18"/>
    <mergeCell ref="D18:E18"/>
    <mergeCell ref="O18:S18"/>
    <mergeCell ref="W18:Y18"/>
    <mergeCell ref="B15:C15"/>
    <mergeCell ref="D15:E15"/>
    <mergeCell ref="O15:S15"/>
    <mergeCell ref="W15:Y15"/>
    <mergeCell ref="B16:C16"/>
    <mergeCell ref="D16:E16"/>
    <mergeCell ref="O16:S16"/>
    <mergeCell ref="W16:Y16"/>
    <mergeCell ref="B13:C13"/>
    <mergeCell ref="D13:E13"/>
    <mergeCell ref="O13:S13"/>
    <mergeCell ref="W13:Y13"/>
    <mergeCell ref="B14:C14"/>
    <mergeCell ref="D14:E14"/>
    <mergeCell ref="O14:S14"/>
    <mergeCell ref="W14:Y14"/>
    <mergeCell ref="B10:G10"/>
    <mergeCell ref="W10:Y10"/>
    <mergeCell ref="B11:I11"/>
    <mergeCell ref="W11:Y11"/>
    <mergeCell ref="B12:C12"/>
    <mergeCell ref="D12:E12"/>
    <mergeCell ref="W12:Y12"/>
    <mergeCell ref="Q8:S8"/>
    <mergeCell ref="T8:V8"/>
    <mergeCell ref="W8:Y8"/>
    <mergeCell ref="B9:I9"/>
    <mergeCell ref="W9:Z9"/>
    <mergeCell ref="B8:C8"/>
    <mergeCell ref="D8:E8"/>
    <mergeCell ref="H8:J8"/>
    <mergeCell ref="K8:M8"/>
    <mergeCell ref="N8:P8"/>
    <mergeCell ref="B7:C7"/>
    <mergeCell ref="D7:E7"/>
    <mergeCell ref="H7:J7"/>
    <mergeCell ref="K7:M7"/>
    <mergeCell ref="N7:P7"/>
    <mergeCell ref="Q7:S7"/>
    <mergeCell ref="T7:V7"/>
    <mergeCell ref="W7:Y7"/>
    <mergeCell ref="B6:C6"/>
    <mergeCell ref="D6:E6"/>
    <mergeCell ref="H6:J6"/>
    <mergeCell ref="K6:M6"/>
    <mergeCell ref="N6:P6"/>
    <mergeCell ref="X1:X2"/>
    <mergeCell ref="C2:D3"/>
    <mergeCell ref="B5:C5"/>
    <mergeCell ref="D5:E5"/>
    <mergeCell ref="H5:J5"/>
    <mergeCell ref="K5:M5"/>
    <mergeCell ref="N5:P5"/>
    <mergeCell ref="W5:Y5"/>
    <mergeCell ref="W6:Y6"/>
  </mergeCells>
  <pageMargins left="0.39370078740157499" right="0.39370078740157499" top="0.39370078740157499" bottom="1.36888188976378" header="0.39370078740157499" footer="0.39370078740157499"/>
  <pageSetup paperSize="0" orientation="landscape" horizontalDpi="300" verticalDpi="300"/>
  <headerFooter alignWithMargins="0">
    <oddFooter>&amp;L&amp;"Segoe UI,Regular"&amp;10&amp;P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468"/>
  <sheetViews>
    <sheetView showGridLines="0" workbookViewId="0">
      <pane ySplit="4" topLeftCell="A5" activePane="bottomLeft" state="frozen"/>
      <selection pane="bottomLeft"/>
    </sheetView>
  </sheetViews>
  <sheetFormatPr defaultRowHeight="15" x14ac:dyDescent="0.25"/>
  <cols>
    <col min="1" max="1" width="2" customWidth="1"/>
    <col min="2" max="2" width="13.85546875" customWidth="1"/>
    <col min="3" max="3" width="29.7109375" customWidth="1"/>
    <col min="4" max="4" width="27.28515625" customWidth="1"/>
    <col min="5" max="5" width="31.140625" customWidth="1"/>
    <col min="6" max="6" width="27" customWidth="1"/>
    <col min="7" max="7" width="33.5703125" customWidth="1"/>
    <col min="8" max="8" width="22.140625" customWidth="1"/>
    <col min="9" max="9" width="0" hidden="1" customWidth="1"/>
    <col min="10" max="10" width="96.28515625" customWidth="1"/>
    <col min="11" max="11" width="10.28515625" customWidth="1"/>
    <col min="12" max="12" width="6" customWidth="1"/>
  </cols>
  <sheetData>
    <row r="1" spans="2:11" ht="11.45" customHeight="1" x14ac:dyDescent="0.25">
      <c r="K1" s="87"/>
    </row>
    <row r="2" spans="2:11" ht="20.45" customHeight="1" x14ac:dyDescent="0.25">
      <c r="B2" s="87"/>
      <c r="K2" s="87"/>
    </row>
    <row r="3" spans="2:11" ht="12.2" customHeight="1" x14ac:dyDescent="0.25">
      <c r="B3" s="87"/>
    </row>
    <row r="4" spans="2:11" ht="2.25" customHeight="1" x14ac:dyDescent="0.25"/>
    <row r="5" spans="2:11" ht="37.5" x14ac:dyDescent="0.25">
      <c r="B5" s="11" t="s">
        <v>0</v>
      </c>
      <c r="C5" s="11" t="s">
        <v>0</v>
      </c>
      <c r="D5" s="2" t="s">
        <v>1</v>
      </c>
      <c r="E5" s="3" t="s">
        <v>2</v>
      </c>
      <c r="F5" s="3" t="s">
        <v>3</v>
      </c>
      <c r="G5" s="3" t="s">
        <v>0</v>
      </c>
      <c r="H5" s="5">
        <v>45786.091322268498</v>
      </c>
    </row>
    <row r="6" spans="2:11" ht="37.5" x14ac:dyDescent="0.25">
      <c r="B6" s="11" t="s">
        <v>0</v>
      </c>
      <c r="C6" s="11" t="s">
        <v>0</v>
      </c>
      <c r="D6" s="1" t="s">
        <v>4</v>
      </c>
      <c r="E6" s="6" t="s">
        <v>5</v>
      </c>
      <c r="F6" s="6" t="s">
        <v>6</v>
      </c>
      <c r="G6" s="6" t="s">
        <v>0</v>
      </c>
      <c r="H6" s="6" t="s">
        <v>0</v>
      </c>
    </row>
    <row r="7" spans="2:11" ht="37.5" x14ac:dyDescent="0.25">
      <c r="B7" s="11" t="s">
        <v>0</v>
      </c>
      <c r="C7" s="11" t="s">
        <v>0</v>
      </c>
      <c r="D7" s="7" t="s">
        <v>7</v>
      </c>
      <c r="E7" s="8" t="s">
        <v>8</v>
      </c>
      <c r="F7" s="8" t="s">
        <v>9</v>
      </c>
      <c r="G7" s="8" t="s">
        <v>10</v>
      </c>
      <c r="H7" s="8" t="s">
        <v>11</v>
      </c>
    </row>
    <row r="8" spans="2:11" ht="37.5" x14ac:dyDescent="0.25">
      <c r="B8" s="11" t="s">
        <v>0</v>
      </c>
      <c r="C8" s="11" t="s">
        <v>0</v>
      </c>
      <c r="D8" s="9">
        <v>93.01</v>
      </c>
      <c r="E8" s="6">
        <v>1531.79</v>
      </c>
      <c r="F8" s="6">
        <v>0</v>
      </c>
      <c r="G8" s="6">
        <v>93.01</v>
      </c>
      <c r="H8" s="10">
        <v>0</v>
      </c>
    </row>
    <row r="9" spans="2:11" ht="43.15" customHeight="1" x14ac:dyDescent="0.25">
      <c r="B9" s="96" t="s">
        <v>481</v>
      </c>
      <c r="C9" s="87"/>
      <c r="D9" s="87"/>
      <c r="E9" s="87"/>
      <c r="F9" s="12" t="s">
        <v>0</v>
      </c>
      <c r="G9" s="13" t="s">
        <v>0</v>
      </c>
      <c r="H9" s="87"/>
      <c r="I9" s="87"/>
    </row>
    <row r="10" spans="2:11" x14ac:dyDescent="0.25">
      <c r="B10" s="97" t="s">
        <v>12</v>
      </c>
      <c r="C10" s="87"/>
      <c r="D10" s="87"/>
      <c r="E10" s="13" t="s">
        <v>0</v>
      </c>
      <c r="F10" s="13" t="s">
        <v>0</v>
      </c>
      <c r="G10" s="13" t="s">
        <v>0</v>
      </c>
      <c r="H10" s="13" t="s">
        <v>0</v>
      </c>
    </row>
    <row r="11" spans="2:11" x14ac:dyDescent="0.25">
      <c r="B11" s="14" t="s">
        <v>62</v>
      </c>
      <c r="C11" s="14" t="s">
        <v>15</v>
      </c>
      <c r="D11" s="14" t="s">
        <v>67</v>
      </c>
      <c r="E11" s="14" t="s">
        <v>31</v>
      </c>
      <c r="F11" s="15" t="s">
        <v>68</v>
      </c>
      <c r="G11" s="15" t="s">
        <v>0</v>
      </c>
      <c r="H11" s="15" t="s">
        <v>0</v>
      </c>
    </row>
    <row r="12" spans="2:11" ht="42" x14ac:dyDescent="0.25">
      <c r="B12" s="16">
        <v>576516261</v>
      </c>
      <c r="C12" s="16" t="s">
        <v>482</v>
      </c>
      <c r="D12" s="19">
        <v>45443</v>
      </c>
      <c r="E12" s="16" t="s">
        <v>483</v>
      </c>
      <c r="F12" s="33">
        <v>100</v>
      </c>
      <c r="G12" s="33" t="s">
        <v>0</v>
      </c>
      <c r="H12" s="33" t="s">
        <v>0</v>
      </c>
    </row>
    <row r="13" spans="2:11" x14ac:dyDescent="0.25">
      <c r="B13" s="22">
        <v>577153112</v>
      </c>
      <c r="C13" s="22" t="s">
        <v>484</v>
      </c>
      <c r="D13" s="24">
        <v>45446</v>
      </c>
      <c r="E13" s="22" t="s">
        <v>189</v>
      </c>
      <c r="F13" s="34">
        <v>-15.15</v>
      </c>
      <c r="G13" s="34" t="s">
        <v>0</v>
      </c>
      <c r="H13" s="34" t="s">
        <v>0</v>
      </c>
    </row>
    <row r="14" spans="2:11" x14ac:dyDescent="0.25">
      <c r="B14" s="16">
        <v>577470756</v>
      </c>
      <c r="C14" s="16" t="s">
        <v>484</v>
      </c>
      <c r="D14" s="19">
        <v>45446</v>
      </c>
      <c r="E14" s="16" t="s">
        <v>190</v>
      </c>
      <c r="F14" s="33">
        <v>-20.57</v>
      </c>
      <c r="G14" s="33" t="s">
        <v>0</v>
      </c>
      <c r="H14" s="33" t="s">
        <v>0</v>
      </c>
    </row>
    <row r="15" spans="2:11" x14ac:dyDescent="0.25">
      <c r="B15" s="22">
        <v>577778020</v>
      </c>
      <c r="C15" s="22" t="s">
        <v>484</v>
      </c>
      <c r="D15" s="24">
        <v>45446</v>
      </c>
      <c r="E15" s="22" t="s">
        <v>191</v>
      </c>
      <c r="F15" s="34">
        <v>-20</v>
      </c>
      <c r="G15" s="34" t="s">
        <v>0</v>
      </c>
      <c r="H15" s="34" t="s">
        <v>0</v>
      </c>
    </row>
    <row r="16" spans="2:11" x14ac:dyDescent="0.25">
      <c r="B16" s="16">
        <v>577784122</v>
      </c>
      <c r="C16" s="16" t="s">
        <v>484</v>
      </c>
      <c r="D16" s="19">
        <v>45446</v>
      </c>
      <c r="E16" s="16" t="s">
        <v>192</v>
      </c>
      <c r="F16" s="33">
        <v>-13.37</v>
      </c>
      <c r="G16" s="33" t="s">
        <v>0</v>
      </c>
      <c r="H16" s="33" t="s">
        <v>0</v>
      </c>
    </row>
    <row r="17" spans="2:8" x14ac:dyDescent="0.25">
      <c r="B17" s="22">
        <v>579538038</v>
      </c>
      <c r="C17" s="22" t="s">
        <v>484</v>
      </c>
      <c r="D17" s="24">
        <v>45448</v>
      </c>
      <c r="E17" s="22" t="s">
        <v>193</v>
      </c>
      <c r="F17" s="34">
        <v>-20.25</v>
      </c>
      <c r="G17" s="34" t="s">
        <v>0</v>
      </c>
      <c r="H17" s="34" t="s">
        <v>0</v>
      </c>
    </row>
    <row r="18" spans="2:8" x14ac:dyDescent="0.25">
      <c r="B18" s="16">
        <v>580399287</v>
      </c>
      <c r="C18" s="16" t="s">
        <v>484</v>
      </c>
      <c r="D18" s="19">
        <v>45449</v>
      </c>
      <c r="E18" s="16" t="s">
        <v>194</v>
      </c>
      <c r="F18" s="33">
        <v>-10</v>
      </c>
      <c r="G18" s="33" t="s">
        <v>0</v>
      </c>
      <c r="H18" s="33" t="s">
        <v>0</v>
      </c>
    </row>
    <row r="19" spans="2:8" x14ac:dyDescent="0.25">
      <c r="B19" s="22">
        <v>581654651</v>
      </c>
      <c r="C19" s="22" t="s">
        <v>482</v>
      </c>
      <c r="D19" s="24">
        <v>45453</v>
      </c>
      <c r="E19" s="22" t="s">
        <v>196</v>
      </c>
      <c r="F19" s="34">
        <v>15.15</v>
      </c>
      <c r="G19" s="34" t="s">
        <v>0</v>
      </c>
      <c r="H19" s="34" t="s">
        <v>0</v>
      </c>
    </row>
    <row r="20" spans="2:8" x14ac:dyDescent="0.25">
      <c r="B20" s="16">
        <v>581852140</v>
      </c>
      <c r="C20" s="16" t="s">
        <v>484</v>
      </c>
      <c r="D20" s="19">
        <v>45453</v>
      </c>
      <c r="E20" s="16" t="s">
        <v>198</v>
      </c>
      <c r="F20" s="33">
        <v>-10</v>
      </c>
      <c r="G20" s="33" t="s">
        <v>0</v>
      </c>
      <c r="H20" s="33" t="s">
        <v>0</v>
      </c>
    </row>
    <row r="21" spans="2:8" ht="31.5" x14ac:dyDescent="0.25">
      <c r="B21" s="22">
        <v>584919536</v>
      </c>
      <c r="C21" s="22" t="s">
        <v>482</v>
      </c>
      <c r="D21" s="24">
        <v>45458</v>
      </c>
      <c r="E21" s="22" t="s">
        <v>485</v>
      </c>
      <c r="F21" s="34">
        <v>50</v>
      </c>
      <c r="G21" s="34" t="s">
        <v>0</v>
      </c>
      <c r="H21" s="34" t="s">
        <v>0</v>
      </c>
    </row>
    <row r="22" spans="2:8" x14ac:dyDescent="0.25">
      <c r="B22" s="16">
        <v>585607855</v>
      </c>
      <c r="C22" s="16" t="s">
        <v>484</v>
      </c>
      <c r="D22" s="19">
        <v>45460</v>
      </c>
      <c r="E22" s="16" t="s">
        <v>200</v>
      </c>
      <c r="F22" s="33">
        <v>-0.2</v>
      </c>
      <c r="G22" s="33" t="s">
        <v>0</v>
      </c>
      <c r="H22" s="33" t="s">
        <v>0</v>
      </c>
    </row>
    <row r="23" spans="2:8" x14ac:dyDescent="0.25">
      <c r="B23" s="22">
        <v>585611180</v>
      </c>
      <c r="C23" s="22" t="s">
        <v>484</v>
      </c>
      <c r="D23" s="24">
        <v>45460</v>
      </c>
      <c r="E23" s="22" t="s">
        <v>201</v>
      </c>
      <c r="F23" s="34">
        <v>-22.89</v>
      </c>
      <c r="G23" s="34" t="s">
        <v>0</v>
      </c>
      <c r="H23" s="34" t="s">
        <v>0</v>
      </c>
    </row>
    <row r="24" spans="2:8" x14ac:dyDescent="0.25">
      <c r="B24" s="16">
        <v>585649663</v>
      </c>
      <c r="C24" s="16" t="s">
        <v>484</v>
      </c>
      <c r="D24" s="19">
        <v>45460</v>
      </c>
      <c r="E24" s="16" t="s">
        <v>202</v>
      </c>
      <c r="F24" s="33">
        <v>-20.67</v>
      </c>
      <c r="G24" s="33" t="s">
        <v>0</v>
      </c>
      <c r="H24" s="33" t="s">
        <v>0</v>
      </c>
    </row>
    <row r="25" spans="2:8" x14ac:dyDescent="0.25">
      <c r="B25" s="22">
        <v>585713107</v>
      </c>
      <c r="C25" s="22" t="s">
        <v>482</v>
      </c>
      <c r="D25" s="24">
        <v>45460</v>
      </c>
      <c r="E25" s="22" t="s">
        <v>203</v>
      </c>
      <c r="F25" s="34">
        <v>0.2</v>
      </c>
      <c r="G25" s="34" t="s">
        <v>0</v>
      </c>
      <c r="H25" s="34" t="s">
        <v>0</v>
      </c>
    </row>
    <row r="26" spans="2:8" x14ac:dyDescent="0.25">
      <c r="B26" s="16">
        <v>585713109</v>
      </c>
      <c r="C26" s="16" t="s">
        <v>482</v>
      </c>
      <c r="D26" s="19">
        <v>45460</v>
      </c>
      <c r="E26" s="16" t="s">
        <v>206</v>
      </c>
      <c r="F26" s="33">
        <v>0</v>
      </c>
      <c r="G26" s="33" t="s">
        <v>0</v>
      </c>
      <c r="H26" s="33" t="s">
        <v>0</v>
      </c>
    </row>
    <row r="27" spans="2:8" x14ac:dyDescent="0.25">
      <c r="B27" s="22">
        <v>585825454</v>
      </c>
      <c r="C27" s="22" t="s">
        <v>482</v>
      </c>
      <c r="D27" s="24">
        <v>45460</v>
      </c>
      <c r="E27" s="22" t="s">
        <v>210</v>
      </c>
      <c r="F27" s="34">
        <v>13.37</v>
      </c>
      <c r="G27" s="34" t="s">
        <v>0</v>
      </c>
      <c r="H27" s="34" t="s">
        <v>0</v>
      </c>
    </row>
    <row r="28" spans="2:8" x14ac:dyDescent="0.25">
      <c r="B28" s="16">
        <v>585825624</v>
      </c>
      <c r="C28" s="16" t="s">
        <v>484</v>
      </c>
      <c r="D28" s="19">
        <v>45460</v>
      </c>
      <c r="E28" s="16" t="s">
        <v>208</v>
      </c>
      <c r="F28" s="33">
        <v>-19.989999999999998</v>
      </c>
      <c r="G28" s="33" t="s">
        <v>0</v>
      </c>
      <c r="H28" s="33" t="s">
        <v>0</v>
      </c>
    </row>
    <row r="29" spans="2:8" x14ac:dyDescent="0.25">
      <c r="B29" s="22">
        <v>586363866</v>
      </c>
      <c r="C29" s="22" t="s">
        <v>484</v>
      </c>
      <c r="D29" s="24">
        <v>45461</v>
      </c>
      <c r="E29" s="22" t="s">
        <v>575</v>
      </c>
      <c r="F29" s="34">
        <v>-0.01</v>
      </c>
      <c r="G29" s="34" t="s">
        <v>0</v>
      </c>
      <c r="H29" s="34" t="s">
        <v>0</v>
      </c>
    </row>
    <row r="30" spans="2:8" x14ac:dyDescent="0.25">
      <c r="B30" s="16">
        <v>586364612</v>
      </c>
      <c r="C30" s="16" t="s">
        <v>482</v>
      </c>
      <c r="D30" s="19">
        <v>45461</v>
      </c>
      <c r="E30" s="16" t="s">
        <v>576</v>
      </c>
      <c r="F30" s="33">
        <v>0</v>
      </c>
      <c r="G30" s="33" t="s">
        <v>0</v>
      </c>
      <c r="H30" s="33" t="s">
        <v>0</v>
      </c>
    </row>
    <row r="31" spans="2:8" x14ac:dyDescent="0.25">
      <c r="B31" s="22">
        <v>588018582</v>
      </c>
      <c r="C31" s="22" t="s">
        <v>482</v>
      </c>
      <c r="D31" s="24">
        <v>45464</v>
      </c>
      <c r="E31" s="22" t="s">
        <v>214</v>
      </c>
      <c r="F31" s="34">
        <v>14.21</v>
      </c>
      <c r="G31" s="34" t="s">
        <v>0</v>
      </c>
      <c r="H31" s="34" t="s">
        <v>0</v>
      </c>
    </row>
    <row r="32" spans="2:8" x14ac:dyDescent="0.25">
      <c r="B32" s="16">
        <v>588018755</v>
      </c>
      <c r="C32" s="16" t="s">
        <v>482</v>
      </c>
      <c r="D32" s="19">
        <v>45464</v>
      </c>
      <c r="E32" s="16" t="s">
        <v>212</v>
      </c>
      <c r="F32" s="33">
        <v>20</v>
      </c>
      <c r="G32" s="33" t="s">
        <v>0</v>
      </c>
      <c r="H32" s="33" t="s">
        <v>0</v>
      </c>
    </row>
    <row r="33" spans="2:8" x14ac:dyDescent="0.25">
      <c r="B33" s="22">
        <v>588018922</v>
      </c>
      <c r="C33" s="22" t="s">
        <v>482</v>
      </c>
      <c r="D33" s="24">
        <v>45464</v>
      </c>
      <c r="E33" s="22" t="s">
        <v>215</v>
      </c>
      <c r="F33" s="34">
        <v>6.04</v>
      </c>
      <c r="G33" s="34" t="s">
        <v>0</v>
      </c>
      <c r="H33" s="34" t="s">
        <v>0</v>
      </c>
    </row>
    <row r="34" spans="2:8" x14ac:dyDescent="0.25">
      <c r="B34" s="16">
        <v>588057990</v>
      </c>
      <c r="C34" s="16" t="s">
        <v>482</v>
      </c>
      <c r="D34" s="19">
        <v>45464</v>
      </c>
      <c r="E34" s="16" t="s">
        <v>217</v>
      </c>
      <c r="F34" s="33">
        <v>20.67</v>
      </c>
      <c r="G34" s="33" t="s">
        <v>0</v>
      </c>
      <c r="H34" s="33" t="s">
        <v>0</v>
      </c>
    </row>
    <row r="35" spans="2:8" x14ac:dyDescent="0.25">
      <c r="B35" s="22">
        <v>588061760</v>
      </c>
      <c r="C35" s="22" t="s">
        <v>484</v>
      </c>
      <c r="D35" s="24">
        <v>45464</v>
      </c>
      <c r="E35" s="22" t="s">
        <v>219</v>
      </c>
      <c r="F35" s="34">
        <v>-20</v>
      </c>
      <c r="G35" s="34" t="s">
        <v>0</v>
      </c>
      <c r="H35" s="34" t="s">
        <v>0</v>
      </c>
    </row>
    <row r="36" spans="2:8" x14ac:dyDescent="0.25">
      <c r="B36" s="16">
        <v>588062921</v>
      </c>
      <c r="C36" s="16" t="s">
        <v>484</v>
      </c>
      <c r="D36" s="19">
        <v>45464</v>
      </c>
      <c r="E36" s="16" t="s">
        <v>218</v>
      </c>
      <c r="F36" s="33">
        <v>-20.23</v>
      </c>
      <c r="G36" s="33" t="s">
        <v>0</v>
      </c>
      <c r="H36" s="33" t="s">
        <v>0</v>
      </c>
    </row>
    <row r="37" spans="2:8" x14ac:dyDescent="0.25">
      <c r="B37" s="22">
        <v>588063320</v>
      </c>
      <c r="C37" s="22" t="s">
        <v>484</v>
      </c>
      <c r="D37" s="24">
        <v>45464</v>
      </c>
      <c r="E37" s="22" t="s">
        <v>220</v>
      </c>
      <c r="F37" s="34">
        <v>-20.09</v>
      </c>
      <c r="G37" s="34" t="s">
        <v>0</v>
      </c>
      <c r="H37" s="34" t="s">
        <v>0</v>
      </c>
    </row>
    <row r="38" spans="2:8" x14ac:dyDescent="0.25">
      <c r="B38" s="16">
        <v>588079574</v>
      </c>
      <c r="C38" s="16" t="s">
        <v>482</v>
      </c>
      <c r="D38" s="19">
        <v>45464</v>
      </c>
      <c r="E38" s="16" t="s">
        <v>222</v>
      </c>
      <c r="F38" s="33">
        <v>20.09</v>
      </c>
      <c r="G38" s="33" t="s">
        <v>0</v>
      </c>
      <c r="H38" s="33" t="s">
        <v>0</v>
      </c>
    </row>
    <row r="39" spans="2:8" x14ac:dyDescent="0.25">
      <c r="B39" s="22">
        <v>588093433</v>
      </c>
      <c r="C39" s="22" t="s">
        <v>484</v>
      </c>
      <c r="D39" s="24">
        <v>45464</v>
      </c>
      <c r="E39" s="22" t="s">
        <v>223</v>
      </c>
      <c r="F39" s="34">
        <v>-20.36</v>
      </c>
      <c r="G39" s="34" t="s">
        <v>0</v>
      </c>
      <c r="H39" s="34" t="s">
        <v>0</v>
      </c>
    </row>
    <row r="40" spans="2:8" x14ac:dyDescent="0.25">
      <c r="B40" s="16">
        <v>588736466</v>
      </c>
      <c r="C40" s="16" t="s">
        <v>482</v>
      </c>
      <c r="D40" s="19">
        <v>45467</v>
      </c>
      <c r="E40" s="16" t="s">
        <v>577</v>
      </c>
      <c r="F40" s="33">
        <v>0</v>
      </c>
      <c r="G40" s="33" t="s">
        <v>0</v>
      </c>
      <c r="H40" s="33" t="s">
        <v>0</v>
      </c>
    </row>
    <row r="41" spans="2:8" x14ac:dyDescent="0.25">
      <c r="B41" s="22">
        <v>588741188</v>
      </c>
      <c r="C41" s="22" t="s">
        <v>482</v>
      </c>
      <c r="D41" s="24">
        <v>45467</v>
      </c>
      <c r="E41" s="22" t="s">
        <v>578</v>
      </c>
      <c r="F41" s="34">
        <v>0</v>
      </c>
      <c r="G41" s="34" t="s">
        <v>0</v>
      </c>
      <c r="H41" s="34" t="s">
        <v>0</v>
      </c>
    </row>
    <row r="42" spans="2:8" x14ac:dyDescent="0.25">
      <c r="B42" s="16">
        <v>588746399</v>
      </c>
      <c r="C42" s="16" t="s">
        <v>482</v>
      </c>
      <c r="D42" s="19">
        <v>45467</v>
      </c>
      <c r="E42" s="16" t="s">
        <v>579</v>
      </c>
      <c r="F42" s="33">
        <v>0</v>
      </c>
      <c r="G42" s="33" t="s">
        <v>0</v>
      </c>
      <c r="H42" s="33" t="s">
        <v>0</v>
      </c>
    </row>
    <row r="43" spans="2:8" x14ac:dyDescent="0.25">
      <c r="B43" s="22">
        <v>588747147</v>
      </c>
      <c r="C43" s="22" t="s">
        <v>482</v>
      </c>
      <c r="D43" s="24">
        <v>45467</v>
      </c>
      <c r="E43" s="22" t="s">
        <v>580</v>
      </c>
      <c r="F43" s="34">
        <v>0</v>
      </c>
      <c r="G43" s="34" t="s">
        <v>0</v>
      </c>
      <c r="H43" s="34" t="s">
        <v>0</v>
      </c>
    </row>
    <row r="44" spans="2:8" x14ac:dyDescent="0.25">
      <c r="B44" s="16">
        <v>591591268</v>
      </c>
      <c r="C44" s="16" t="s">
        <v>482</v>
      </c>
      <c r="D44" s="19">
        <v>45471</v>
      </c>
      <c r="E44" s="16" t="s">
        <v>581</v>
      </c>
      <c r="F44" s="33">
        <v>0</v>
      </c>
      <c r="G44" s="33" t="s">
        <v>0</v>
      </c>
      <c r="H44" s="33" t="s">
        <v>0</v>
      </c>
    </row>
    <row r="45" spans="2:8" ht="31.5" x14ac:dyDescent="0.25">
      <c r="B45" s="22">
        <v>593611029</v>
      </c>
      <c r="C45" s="22" t="s">
        <v>482</v>
      </c>
      <c r="D45" s="24">
        <v>45475</v>
      </c>
      <c r="E45" s="22" t="s">
        <v>486</v>
      </c>
      <c r="F45" s="34">
        <v>50</v>
      </c>
      <c r="G45" s="34" t="s">
        <v>0</v>
      </c>
      <c r="H45" s="34" t="s">
        <v>0</v>
      </c>
    </row>
    <row r="46" spans="2:8" x14ac:dyDescent="0.25">
      <c r="B46" s="16">
        <v>594228900</v>
      </c>
      <c r="C46" s="16" t="s">
        <v>484</v>
      </c>
      <c r="D46" s="19">
        <v>45476</v>
      </c>
      <c r="E46" s="16" t="s">
        <v>225</v>
      </c>
      <c r="F46" s="33">
        <v>-25.28</v>
      </c>
      <c r="G46" s="33" t="s">
        <v>0</v>
      </c>
      <c r="H46" s="33" t="s">
        <v>0</v>
      </c>
    </row>
    <row r="47" spans="2:8" x14ac:dyDescent="0.25">
      <c r="B47" s="22">
        <v>594267846</v>
      </c>
      <c r="C47" s="22" t="s">
        <v>484</v>
      </c>
      <c r="D47" s="24">
        <v>45476</v>
      </c>
      <c r="E47" s="22" t="s">
        <v>226</v>
      </c>
      <c r="F47" s="34">
        <v>-10.75</v>
      </c>
      <c r="G47" s="34" t="s">
        <v>0</v>
      </c>
      <c r="H47" s="34" t="s">
        <v>0</v>
      </c>
    </row>
    <row r="48" spans="2:8" x14ac:dyDescent="0.25">
      <c r="B48" s="16">
        <v>595788976</v>
      </c>
      <c r="C48" s="16" t="s">
        <v>482</v>
      </c>
      <c r="D48" s="19">
        <v>45478</v>
      </c>
      <c r="E48" s="16" t="s">
        <v>228</v>
      </c>
      <c r="F48" s="33">
        <v>20.57</v>
      </c>
      <c r="G48" s="33" t="s">
        <v>0</v>
      </c>
      <c r="H48" s="33" t="s">
        <v>0</v>
      </c>
    </row>
    <row r="49" spans="2:8" x14ac:dyDescent="0.25">
      <c r="B49" s="22">
        <v>595800576</v>
      </c>
      <c r="C49" s="22" t="s">
        <v>484</v>
      </c>
      <c r="D49" s="24">
        <v>45478</v>
      </c>
      <c r="E49" s="22" t="s">
        <v>229</v>
      </c>
      <c r="F49" s="34">
        <v>-20.32</v>
      </c>
      <c r="G49" s="34" t="s">
        <v>0</v>
      </c>
      <c r="H49" s="34" t="s">
        <v>0</v>
      </c>
    </row>
    <row r="50" spans="2:8" x14ac:dyDescent="0.25">
      <c r="B50" s="16">
        <v>595850675</v>
      </c>
      <c r="C50" s="16" t="s">
        <v>484</v>
      </c>
      <c r="D50" s="19">
        <v>45478</v>
      </c>
      <c r="E50" s="16" t="s">
        <v>230</v>
      </c>
      <c r="F50" s="33">
        <v>-20.2</v>
      </c>
      <c r="G50" s="33" t="s">
        <v>0</v>
      </c>
      <c r="H50" s="33" t="s">
        <v>0</v>
      </c>
    </row>
    <row r="51" spans="2:8" x14ac:dyDescent="0.25">
      <c r="B51" s="22">
        <v>596520334</v>
      </c>
      <c r="C51" s="22" t="s">
        <v>482</v>
      </c>
      <c r="D51" s="24">
        <v>45481</v>
      </c>
      <c r="E51" s="22" t="s">
        <v>582</v>
      </c>
      <c r="F51" s="34">
        <v>0</v>
      </c>
      <c r="G51" s="34" t="s">
        <v>0</v>
      </c>
      <c r="H51" s="34" t="s">
        <v>0</v>
      </c>
    </row>
    <row r="52" spans="2:8" x14ac:dyDescent="0.25">
      <c r="B52" s="16">
        <v>596566235</v>
      </c>
      <c r="C52" s="16" t="s">
        <v>482</v>
      </c>
      <c r="D52" s="19">
        <v>45481</v>
      </c>
      <c r="E52" s="16" t="s">
        <v>232</v>
      </c>
      <c r="F52" s="33">
        <v>10</v>
      </c>
      <c r="G52" s="33" t="s">
        <v>0</v>
      </c>
      <c r="H52" s="33" t="s">
        <v>0</v>
      </c>
    </row>
    <row r="53" spans="2:8" x14ac:dyDescent="0.25">
      <c r="B53" s="22">
        <v>596566602</v>
      </c>
      <c r="C53" s="22" t="s">
        <v>484</v>
      </c>
      <c r="D53" s="24">
        <v>45481</v>
      </c>
      <c r="E53" s="22" t="s">
        <v>233</v>
      </c>
      <c r="F53" s="34">
        <v>-10</v>
      </c>
      <c r="G53" s="34" t="s">
        <v>0</v>
      </c>
      <c r="H53" s="34" t="s">
        <v>0</v>
      </c>
    </row>
    <row r="54" spans="2:8" x14ac:dyDescent="0.25">
      <c r="B54" s="16">
        <v>596589619</v>
      </c>
      <c r="C54" s="16" t="s">
        <v>482</v>
      </c>
      <c r="D54" s="19">
        <v>45481</v>
      </c>
      <c r="E54" s="16" t="s">
        <v>235</v>
      </c>
      <c r="F54" s="33">
        <v>20.36</v>
      </c>
      <c r="G54" s="33" t="s">
        <v>0</v>
      </c>
      <c r="H54" s="33" t="s">
        <v>0</v>
      </c>
    </row>
    <row r="55" spans="2:8" x14ac:dyDescent="0.25">
      <c r="B55" s="22">
        <v>596644568</v>
      </c>
      <c r="C55" s="22" t="s">
        <v>484</v>
      </c>
      <c r="D55" s="24">
        <v>45481</v>
      </c>
      <c r="E55" s="22" t="s">
        <v>236</v>
      </c>
      <c r="F55" s="34">
        <v>-20.27</v>
      </c>
      <c r="G55" s="34" t="s">
        <v>0</v>
      </c>
      <c r="H55" s="34" t="s">
        <v>0</v>
      </c>
    </row>
    <row r="56" spans="2:8" x14ac:dyDescent="0.25">
      <c r="B56" s="16">
        <v>596713074</v>
      </c>
      <c r="C56" s="16" t="s">
        <v>482</v>
      </c>
      <c r="D56" s="19">
        <v>45481</v>
      </c>
      <c r="E56" s="16" t="s">
        <v>239</v>
      </c>
      <c r="F56" s="33">
        <v>20</v>
      </c>
      <c r="G56" s="33" t="s">
        <v>0</v>
      </c>
      <c r="H56" s="33" t="s">
        <v>0</v>
      </c>
    </row>
    <row r="57" spans="2:8" x14ac:dyDescent="0.25">
      <c r="B57" s="22">
        <v>596713365</v>
      </c>
      <c r="C57" s="22" t="s">
        <v>484</v>
      </c>
      <c r="D57" s="24">
        <v>45481</v>
      </c>
      <c r="E57" s="22" t="s">
        <v>237</v>
      </c>
      <c r="F57" s="34">
        <v>-20.27</v>
      </c>
      <c r="G57" s="34" t="s">
        <v>0</v>
      </c>
      <c r="H57" s="34" t="s">
        <v>0</v>
      </c>
    </row>
    <row r="58" spans="2:8" x14ac:dyDescent="0.25">
      <c r="B58" s="16">
        <v>596730640</v>
      </c>
      <c r="C58" s="16" t="s">
        <v>482</v>
      </c>
      <c r="D58" s="19">
        <v>45481</v>
      </c>
      <c r="E58" s="16" t="s">
        <v>241</v>
      </c>
      <c r="F58" s="33">
        <v>19.940000000000001</v>
      </c>
      <c r="G58" s="33" t="s">
        <v>0</v>
      </c>
      <c r="H58" s="33" t="s">
        <v>0</v>
      </c>
    </row>
    <row r="59" spans="2:8" x14ac:dyDescent="0.25">
      <c r="B59" s="22">
        <v>596738619</v>
      </c>
      <c r="C59" s="22" t="s">
        <v>482</v>
      </c>
      <c r="D59" s="24">
        <v>45481</v>
      </c>
      <c r="E59" s="22" t="s">
        <v>243</v>
      </c>
      <c r="F59" s="34">
        <v>19.829999999999998</v>
      </c>
      <c r="G59" s="34" t="s">
        <v>0</v>
      </c>
      <c r="H59" s="34" t="s">
        <v>0</v>
      </c>
    </row>
    <row r="60" spans="2:8" x14ac:dyDescent="0.25">
      <c r="B60" s="16">
        <v>596740764</v>
      </c>
      <c r="C60" s="16" t="s">
        <v>484</v>
      </c>
      <c r="D60" s="19">
        <v>45481</v>
      </c>
      <c r="E60" s="16" t="s">
        <v>244</v>
      </c>
      <c r="F60" s="33">
        <v>-20.309999999999999</v>
      </c>
      <c r="G60" s="33" t="s">
        <v>0</v>
      </c>
      <c r="H60" s="33" t="s">
        <v>0</v>
      </c>
    </row>
    <row r="61" spans="2:8" x14ac:dyDescent="0.25">
      <c r="B61" s="22">
        <v>597175969</v>
      </c>
      <c r="C61" s="22" t="s">
        <v>482</v>
      </c>
      <c r="D61" s="24">
        <v>45482</v>
      </c>
      <c r="E61" s="22" t="s">
        <v>583</v>
      </c>
      <c r="F61" s="34">
        <v>0</v>
      </c>
      <c r="G61" s="34" t="s">
        <v>0</v>
      </c>
      <c r="H61" s="34" t="s">
        <v>0</v>
      </c>
    </row>
    <row r="62" spans="2:8" x14ac:dyDescent="0.25">
      <c r="B62" s="16">
        <v>597186491</v>
      </c>
      <c r="C62" s="16" t="s">
        <v>482</v>
      </c>
      <c r="D62" s="19">
        <v>45482</v>
      </c>
      <c r="E62" s="16" t="s">
        <v>584</v>
      </c>
      <c r="F62" s="33">
        <v>0</v>
      </c>
      <c r="G62" s="33" t="s">
        <v>0</v>
      </c>
      <c r="H62" s="33" t="s">
        <v>0</v>
      </c>
    </row>
    <row r="63" spans="2:8" x14ac:dyDescent="0.25">
      <c r="B63" s="22">
        <v>597186824</v>
      </c>
      <c r="C63" s="22" t="s">
        <v>482</v>
      </c>
      <c r="D63" s="24">
        <v>45482</v>
      </c>
      <c r="E63" s="22" t="s">
        <v>585</v>
      </c>
      <c r="F63" s="34">
        <v>0</v>
      </c>
      <c r="G63" s="34" t="s">
        <v>0</v>
      </c>
      <c r="H63" s="34" t="s">
        <v>0</v>
      </c>
    </row>
    <row r="64" spans="2:8" x14ac:dyDescent="0.25">
      <c r="B64" s="16">
        <v>597197569</v>
      </c>
      <c r="C64" s="16" t="s">
        <v>482</v>
      </c>
      <c r="D64" s="19">
        <v>45482</v>
      </c>
      <c r="E64" s="16" t="s">
        <v>587</v>
      </c>
      <c r="F64" s="33">
        <v>0</v>
      </c>
      <c r="G64" s="33" t="s">
        <v>0</v>
      </c>
      <c r="H64" s="33" t="s">
        <v>0</v>
      </c>
    </row>
    <row r="65" spans="2:8" x14ac:dyDescent="0.25">
      <c r="B65" s="22">
        <v>597204395</v>
      </c>
      <c r="C65" s="22" t="s">
        <v>482</v>
      </c>
      <c r="D65" s="24">
        <v>45482</v>
      </c>
      <c r="E65" s="22" t="s">
        <v>586</v>
      </c>
      <c r="F65" s="34">
        <v>0</v>
      </c>
      <c r="G65" s="34" t="s">
        <v>0</v>
      </c>
      <c r="H65" s="34" t="s">
        <v>0</v>
      </c>
    </row>
    <row r="66" spans="2:8" x14ac:dyDescent="0.25">
      <c r="B66" s="16">
        <v>597298495</v>
      </c>
      <c r="C66" s="16" t="s">
        <v>484</v>
      </c>
      <c r="D66" s="19">
        <v>45482</v>
      </c>
      <c r="E66" s="16" t="s">
        <v>245</v>
      </c>
      <c r="F66" s="33">
        <v>-20.58</v>
      </c>
      <c r="G66" s="33" t="s">
        <v>0</v>
      </c>
      <c r="H66" s="33" t="s">
        <v>0</v>
      </c>
    </row>
    <row r="67" spans="2:8" x14ac:dyDescent="0.25">
      <c r="B67" s="22">
        <v>597298782</v>
      </c>
      <c r="C67" s="22" t="s">
        <v>482</v>
      </c>
      <c r="D67" s="24">
        <v>45482</v>
      </c>
      <c r="E67" s="22" t="s">
        <v>248</v>
      </c>
      <c r="F67" s="34">
        <v>22.89</v>
      </c>
      <c r="G67" s="34" t="s">
        <v>0</v>
      </c>
      <c r="H67" s="34" t="s">
        <v>0</v>
      </c>
    </row>
    <row r="68" spans="2:8" x14ac:dyDescent="0.25">
      <c r="B68" s="16">
        <v>597299140</v>
      </c>
      <c r="C68" s="16" t="s">
        <v>484</v>
      </c>
      <c r="D68" s="19">
        <v>45482</v>
      </c>
      <c r="E68" s="16" t="s">
        <v>246</v>
      </c>
      <c r="F68" s="33">
        <v>-14.99</v>
      </c>
      <c r="G68" s="33" t="s">
        <v>0</v>
      </c>
      <c r="H68" s="33" t="s">
        <v>0</v>
      </c>
    </row>
    <row r="69" spans="2:8" x14ac:dyDescent="0.25">
      <c r="B69" s="22">
        <v>597321582</v>
      </c>
      <c r="C69" s="22" t="s">
        <v>482</v>
      </c>
      <c r="D69" s="24">
        <v>45482</v>
      </c>
      <c r="E69" s="22" t="s">
        <v>249</v>
      </c>
      <c r="F69" s="34">
        <v>0.26</v>
      </c>
      <c r="G69" s="34" t="s">
        <v>0</v>
      </c>
      <c r="H69" s="34" t="s">
        <v>0</v>
      </c>
    </row>
    <row r="70" spans="2:8" x14ac:dyDescent="0.25">
      <c r="B70" s="16">
        <v>597321584</v>
      </c>
      <c r="C70" s="16" t="s">
        <v>482</v>
      </c>
      <c r="D70" s="19">
        <v>45482</v>
      </c>
      <c r="E70" s="16" t="s">
        <v>251</v>
      </c>
      <c r="F70" s="33">
        <v>20.100000000000001</v>
      </c>
      <c r="G70" s="33" t="s">
        <v>0</v>
      </c>
      <c r="H70" s="33" t="s">
        <v>0</v>
      </c>
    </row>
    <row r="71" spans="2:8" x14ac:dyDescent="0.25">
      <c r="B71" s="22">
        <v>597413103</v>
      </c>
      <c r="C71" s="22" t="s">
        <v>482</v>
      </c>
      <c r="D71" s="24">
        <v>45482</v>
      </c>
      <c r="E71" s="22" t="s">
        <v>253</v>
      </c>
      <c r="F71" s="34">
        <v>9.99</v>
      </c>
      <c r="G71" s="34" t="s">
        <v>0</v>
      </c>
      <c r="H71" s="34" t="s">
        <v>0</v>
      </c>
    </row>
    <row r="72" spans="2:8" x14ac:dyDescent="0.25">
      <c r="B72" s="16">
        <v>597431929</v>
      </c>
      <c r="C72" s="16" t="s">
        <v>482</v>
      </c>
      <c r="D72" s="19">
        <v>45482</v>
      </c>
      <c r="E72" s="16" t="s">
        <v>256</v>
      </c>
      <c r="F72" s="33">
        <v>0.01</v>
      </c>
      <c r="G72" s="33" t="s">
        <v>0</v>
      </c>
      <c r="H72" s="33" t="s">
        <v>0</v>
      </c>
    </row>
    <row r="73" spans="2:8" x14ac:dyDescent="0.25">
      <c r="B73" s="22">
        <v>597431995</v>
      </c>
      <c r="C73" s="22" t="s">
        <v>482</v>
      </c>
      <c r="D73" s="24">
        <v>45482</v>
      </c>
      <c r="E73" s="22" t="s">
        <v>255</v>
      </c>
      <c r="F73" s="34">
        <v>0.21</v>
      </c>
      <c r="G73" s="34" t="s">
        <v>0</v>
      </c>
      <c r="H73" s="34" t="s">
        <v>0</v>
      </c>
    </row>
    <row r="74" spans="2:8" x14ac:dyDescent="0.25">
      <c r="B74" s="16">
        <v>597432430</v>
      </c>
      <c r="C74" s="16" t="s">
        <v>484</v>
      </c>
      <c r="D74" s="19">
        <v>45482</v>
      </c>
      <c r="E74" s="16" t="s">
        <v>254</v>
      </c>
      <c r="F74" s="33">
        <v>-19.98</v>
      </c>
      <c r="G74" s="33" t="s">
        <v>0</v>
      </c>
      <c r="H74" s="33" t="s">
        <v>0</v>
      </c>
    </row>
    <row r="75" spans="2:8" x14ac:dyDescent="0.25">
      <c r="B75" s="22">
        <v>597964887</v>
      </c>
      <c r="C75" s="22" t="s">
        <v>482</v>
      </c>
      <c r="D75" s="24">
        <v>45483</v>
      </c>
      <c r="E75" s="22" t="s">
        <v>588</v>
      </c>
      <c r="F75" s="34">
        <v>0</v>
      </c>
      <c r="G75" s="34" t="s">
        <v>0</v>
      </c>
      <c r="H75" s="34" t="s">
        <v>0</v>
      </c>
    </row>
    <row r="76" spans="2:8" x14ac:dyDescent="0.25">
      <c r="B76" s="16">
        <v>597968836</v>
      </c>
      <c r="C76" s="16" t="s">
        <v>484</v>
      </c>
      <c r="D76" s="19">
        <v>45483</v>
      </c>
      <c r="E76" s="16" t="s">
        <v>589</v>
      </c>
      <c r="F76" s="33">
        <v>-0.01</v>
      </c>
      <c r="G76" s="33" t="s">
        <v>0</v>
      </c>
      <c r="H76" s="33" t="s">
        <v>0</v>
      </c>
    </row>
    <row r="77" spans="2:8" x14ac:dyDescent="0.25">
      <c r="B77" s="22">
        <v>597972563</v>
      </c>
      <c r="C77" s="22" t="s">
        <v>482</v>
      </c>
      <c r="D77" s="24">
        <v>45483</v>
      </c>
      <c r="E77" s="22" t="s">
        <v>590</v>
      </c>
      <c r="F77" s="34">
        <v>0</v>
      </c>
      <c r="G77" s="34" t="s">
        <v>0</v>
      </c>
      <c r="H77" s="34" t="s">
        <v>0</v>
      </c>
    </row>
    <row r="78" spans="2:8" x14ac:dyDescent="0.25">
      <c r="B78" s="16">
        <v>598026599</v>
      </c>
      <c r="C78" s="16" t="s">
        <v>482</v>
      </c>
      <c r="D78" s="19">
        <v>45483</v>
      </c>
      <c r="E78" s="16" t="s">
        <v>259</v>
      </c>
      <c r="F78" s="33">
        <v>20.22</v>
      </c>
      <c r="G78" s="33" t="s">
        <v>0</v>
      </c>
      <c r="H78" s="33" t="s">
        <v>0</v>
      </c>
    </row>
    <row r="79" spans="2:8" x14ac:dyDescent="0.25">
      <c r="B79" s="22">
        <v>598026790</v>
      </c>
      <c r="C79" s="22" t="s">
        <v>482</v>
      </c>
      <c r="D79" s="24">
        <v>45483</v>
      </c>
      <c r="E79" s="22" t="s">
        <v>260</v>
      </c>
      <c r="F79" s="34">
        <v>0.01</v>
      </c>
      <c r="G79" s="34" t="s">
        <v>0</v>
      </c>
      <c r="H79" s="34" t="s">
        <v>0</v>
      </c>
    </row>
    <row r="80" spans="2:8" x14ac:dyDescent="0.25">
      <c r="B80" s="16">
        <v>598026862</v>
      </c>
      <c r="C80" s="16" t="s">
        <v>482</v>
      </c>
      <c r="D80" s="19">
        <v>45483</v>
      </c>
      <c r="E80" s="16" t="s">
        <v>257</v>
      </c>
      <c r="F80" s="33">
        <v>0.49</v>
      </c>
      <c r="G80" s="33" t="s">
        <v>0</v>
      </c>
      <c r="H80" s="33" t="s">
        <v>0</v>
      </c>
    </row>
    <row r="81" spans="2:8" x14ac:dyDescent="0.25">
      <c r="B81" s="22">
        <v>598032273</v>
      </c>
      <c r="C81" s="22" t="s">
        <v>484</v>
      </c>
      <c r="D81" s="24">
        <v>45483</v>
      </c>
      <c r="E81" s="22" t="s">
        <v>261</v>
      </c>
      <c r="F81" s="34">
        <v>-24.98</v>
      </c>
      <c r="G81" s="34" t="s">
        <v>0</v>
      </c>
      <c r="H81" s="34" t="s">
        <v>0</v>
      </c>
    </row>
    <row r="82" spans="2:8" x14ac:dyDescent="0.25">
      <c r="B82" s="16">
        <v>598308877</v>
      </c>
      <c r="C82" s="16" t="s">
        <v>482</v>
      </c>
      <c r="D82" s="19">
        <v>45484</v>
      </c>
      <c r="E82" s="16" t="s">
        <v>591</v>
      </c>
      <c r="F82" s="33">
        <v>7.0000000000000007E-2</v>
      </c>
      <c r="G82" s="33" t="s">
        <v>0</v>
      </c>
      <c r="H82" s="33" t="s">
        <v>0</v>
      </c>
    </row>
    <row r="83" spans="2:8" x14ac:dyDescent="0.25">
      <c r="B83" s="22">
        <v>598308878</v>
      </c>
      <c r="C83" s="22" t="s">
        <v>484</v>
      </c>
      <c r="D83" s="24">
        <v>45484</v>
      </c>
      <c r="E83" s="22" t="s">
        <v>570</v>
      </c>
      <c r="F83" s="34">
        <v>-0.01</v>
      </c>
      <c r="G83" s="34" t="s">
        <v>0</v>
      </c>
      <c r="H83" s="34" t="s">
        <v>0</v>
      </c>
    </row>
    <row r="84" spans="2:8" x14ac:dyDescent="0.25">
      <c r="B84" s="16">
        <v>598626578</v>
      </c>
      <c r="C84" s="16" t="s">
        <v>482</v>
      </c>
      <c r="D84" s="19">
        <v>45484</v>
      </c>
      <c r="E84" s="16" t="s">
        <v>592</v>
      </c>
      <c r="F84" s="33">
        <v>0</v>
      </c>
      <c r="G84" s="33" t="s">
        <v>0</v>
      </c>
      <c r="H84" s="33" t="s">
        <v>0</v>
      </c>
    </row>
    <row r="85" spans="2:8" x14ac:dyDescent="0.25">
      <c r="B85" s="22">
        <v>598638167</v>
      </c>
      <c r="C85" s="22" t="s">
        <v>482</v>
      </c>
      <c r="D85" s="24">
        <v>45484</v>
      </c>
      <c r="E85" s="22" t="s">
        <v>593</v>
      </c>
      <c r="F85" s="34">
        <v>0</v>
      </c>
      <c r="G85" s="34" t="s">
        <v>0</v>
      </c>
      <c r="H85" s="34" t="s">
        <v>0</v>
      </c>
    </row>
    <row r="86" spans="2:8" x14ac:dyDescent="0.25">
      <c r="B86" s="16">
        <v>598670222</v>
      </c>
      <c r="C86" s="16" t="s">
        <v>482</v>
      </c>
      <c r="D86" s="19">
        <v>45484</v>
      </c>
      <c r="E86" s="16" t="s">
        <v>264</v>
      </c>
      <c r="F86" s="33">
        <v>20.22</v>
      </c>
      <c r="G86" s="33" t="s">
        <v>0</v>
      </c>
      <c r="H86" s="33" t="s">
        <v>0</v>
      </c>
    </row>
    <row r="87" spans="2:8" x14ac:dyDescent="0.25">
      <c r="B87" s="22">
        <v>598670584</v>
      </c>
      <c r="C87" s="22" t="s">
        <v>482</v>
      </c>
      <c r="D87" s="24">
        <v>45484</v>
      </c>
      <c r="E87" s="22" t="s">
        <v>263</v>
      </c>
      <c r="F87" s="34">
        <v>0.05</v>
      </c>
      <c r="G87" s="34" t="s">
        <v>0</v>
      </c>
      <c r="H87" s="34" t="s">
        <v>0</v>
      </c>
    </row>
    <row r="88" spans="2:8" x14ac:dyDescent="0.25">
      <c r="B88" s="16">
        <v>598676301</v>
      </c>
      <c r="C88" s="16" t="s">
        <v>484</v>
      </c>
      <c r="D88" s="19">
        <v>45484</v>
      </c>
      <c r="E88" s="16" t="s">
        <v>265</v>
      </c>
      <c r="F88" s="33">
        <v>-19.989999999999998</v>
      </c>
      <c r="G88" s="33" t="s">
        <v>0</v>
      </c>
      <c r="H88" s="33" t="s">
        <v>0</v>
      </c>
    </row>
    <row r="89" spans="2:8" x14ac:dyDescent="0.25">
      <c r="B89" s="22">
        <v>598694141</v>
      </c>
      <c r="C89" s="22" t="s">
        <v>482</v>
      </c>
      <c r="D89" s="24">
        <v>45484</v>
      </c>
      <c r="E89" s="22" t="s">
        <v>267</v>
      </c>
      <c r="F89" s="34">
        <v>10</v>
      </c>
      <c r="G89" s="34" t="s">
        <v>0</v>
      </c>
      <c r="H89" s="34" t="s">
        <v>0</v>
      </c>
    </row>
    <row r="90" spans="2:8" x14ac:dyDescent="0.25">
      <c r="B90" s="16">
        <v>598695109</v>
      </c>
      <c r="C90" s="16" t="s">
        <v>484</v>
      </c>
      <c r="D90" s="19">
        <v>45484</v>
      </c>
      <c r="E90" s="16" t="s">
        <v>268</v>
      </c>
      <c r="F90" s="33">
        <v>-17.899999999999999</v>
      </c>
      <c r="G90" s="33" t="s">
        <v>0</v>
      </c>
      <c r="H90" s="33" t="s">
        <v>0</v>
      </c>
    </row>
    <row r="91" spans="2:8" x14ac:dyDescent="0.25">
      <c r="B91" s="22">
        <v>599549186</v>
      </c>
      <c r="C91" s="22" t="s">
        <v>482</v>
      </c>
      <c r="D91" s="24">
        <v>45485</v>
      </c>
      <c r="E91" s="22" t="s">
        <v>594</v>
      </c>
      <c r="F91" s="34">
        <v>0</v>
      </c>
      <c r="G91" s="34" t="s">
        <v>0</v>
      </c>
      <c r="H91" s="34" t="s">
        <v>0</v>
      </c>
    </row>
    <row r="92" spans="2:8" x14ac:dyDescent="0.25">
      <c r="B92" s="16">
        <v>599549687</v>
      </c>
      <c r="C92" s="16" t="s">
        <v>482</v>
      </c>
      <c r="D92" s="19">
        <v>45485</v>
      </c>
      <c r="E92" s="16" t="s">
        <v>595</v>
      </c>
      <c r="F92" s="33">
        <v>0</v>
      </c>
      <c r="G92" s="33" t="s">
        <v>0</v>
      </c>
      <c r="H92" s="33" t="s">
        <v>0</v>
      </c>
    </row>
    <row r="93" spans="2:8" ht="31.5" x14ac:dyDescent="0.25">
      <c r="B93" s="22">
        <v>604480344</v>
      </c>
      <c r="C93" s="22" t="s">
        <v>482</v>
      </c>
      <c r="D93" s="24">
        <v>45495</v>
      </c>
      <c r="E93" s="22" t="s">
        <v>487</v>
      </c>
      <c r="F93" s="34">
        <v>50</v>
      </c>
      <c r="G93" s="34" t="s">
        <v>0</v>
      </c>
      <c r="H93" s="34" t="s">
        <v>0</v>
      </c>
    </row>
    <row r="94" spans="2:8" x14ac:dyDescent="0.25">
      <c r="B94" s="16">
        <v>604485942</v>
      </c>
      <c r="C94" s="16" t="s">
        <v>484</v>
      </c>
      <c r="D94" s="19">
        <v>45495</v>
      </c>
      <c r="E94" s="16" t="s">
        <v>121</v>
      </c>
      <c r="F94" s="33">
        <v>-50</v>
      </c>
      <c r="G94" s="33" t="s">
        <v>0</v>
      </c>
      <c r="H94" s="33" t="s">
        <v>0</v>
      </c>
    </row>
    <row r="95" spans="2:8" ht="31.5" x14ac:dyDescent="0.25">
      <c r="B95" s="22">
        <v>614633130</v>
      </c>
      <c r="C95" s="22" t="s">
        <v>482</v>
      </c>
      <c r="D95" s="24">
        <v>45510</v>
      </c>
      <c r="E95" s="22" t="s">
        <v>488</v>
      </c>
      <c r="F95" s="34">
        <v>50</v>
      </c>
      <c r="G95" s="34" t="s">
        <v>0</v>
      </c>
      <c r="H95" s="34" t="s">
        <v>0</v>
      </c>
    </row>
    <row r="96" spans="2:8" x14ac:dyDescent="0.25">
      <c r="B96" s="16">
        <v>615321799</v>
      </c>
      <c r="C96" s="16" t="s">
        <v>484</v>
      </c>
      <c r="D96" s="19">
        <v>45511</v>
      </c>
      <c r="E96" s="16" t="s">
        <v>272</v>
      </c>
      <c r="F96" s="33">
        <v>-15</v>
      </c>
      <c r="G96" s="33" t="s">
        <v>0</v>
      </c>
      <c r="H96" s="33" t="s">
        <v>0</v>
      </c>
    </row>
    <row r="97" spans="2:8" x14ac:dyDescent="0.25">
      <c r="B97" s="22">
        <v>615321958</v>
      </c>
      <c r="C97" s="22" t="s">
        <v>484</v>
      </c>
      <c r="D97" s="24">
        <v>45511</v>
      </c>
      <c r="E97" s="22" t="s">
        <v>273</v>
      </c>
      <c r="F97" s="34">
        <v>-14.98</v>
      </c>
      <c r="G97" s="34" t="s">
        <v>0</v>
      </c>
      <c r="H97" s="34" t="s">
        <v>0</v>
      </c>
    </row>
    <row r="98" spans="2:8" x14ac:dyDescent="0.25">
      <c r="B98" s="16">
        <v>615322553</v>
      </c>
      <c r="C98" s="16" t="s">
        <v>484</v>
      </c>
      <c r="D98" s="19">
        <v>45511</v>
      </c>
      <c r="E98" s="16" t="s">
        <v>271</v>
      </c>
      <c r="F98" s="33">
        <v>-15</v>
      </c>
      <c r="G98" s="33" t="s">
        <v>0</v>
      </c>
      <c r="H98" s="33" t="s">
        <v>0</v>
      </c>
    </row>
    <row r="99" spans="2:8" x14ac:dyDescent="0.25">
      <c r="B99" s="22">
        <v>615464015</v>
      </c>
      <c r="C99" s="22" t="s">
        <v>482</v>
      </c>
      <c r="D99" s="24">
        <v>45511</v>
      </c>
      <c r="E99" s="22" t="s">
        <v>276</v>
      </c>
      <c r="F99" s="34">
        <v>15</v>
      </c>
      <c r="G99" s="34" t="s">
        <v>0</v>
      </c>
      <c r="H99" s="34" t="s">
        <v>0</v>
      </c>
    </row>
    <row r="100" spans="2:8" x14ac:dyDescent="0.25">
      <c r="B100" s="16">
        <v>615464540</v>
      </c>
      <c r="C100" s="16" t="s">
        <v>484</v>
      </c>
      <c r="D100" s="19">
        <v>45511</v>
      </c>
      <c r="E100" s="16" t="s">
        <v>274</v>
      </c>
      <c r="F100" s="33">
        <v>-14.99</v>
      </c>
      <c r="G100" s="33" t="s">
        <v>0</v>
      </c>
      <c r="H100" s="33" t="s">
        <v>0</v>
      </c>
    </row>
    <row r="101" spans="2:8" x14ac:dyDescent="0.25">
      <c r="B101" s="22">
        <v>616003741</v>
      </c>
      <c r="C101" s="22" t="s">
        <v>482</v>
      </c>
      <c r="D101" s="24">
        <v>45512</v>
      </c>
      <c r="E101" s="22" t="s">
        <v>596</v>
      </c>
      <c r="F101" s="34">
        <v>0</v>
      </c>
      <c r="G101" s="34" t="s">
        <v>0</v>
      </c>
      <c r="H101" s="34" t="s">
        <v>0</v>
      </c>
    </row>
    <row r="102" spans="2:8" ht="31.5" x14ac:dyDescent="0.25">
      <c r="B102" s="16">
        <v>619394362</v>
      </c>
      <c r="C102" s="16" t="s">
        <v>482</v>
      </c>
      <c r="D102" s="19">
        <v>45518</v>
      </c>
      <c r="E102" s="16" t="s">
        <v>489</v>
      </c>
      <c r="F102" s="33">
        <v>50</v>
      </c>
      <c r="G102" s="33" t="s">
        <v>0</v>
      </c>
      <c r="H102" s="33" t="s">
        <v>0</v>
      </c>
    </row>
    <row r="103" spans="2:8" x14ac:dyDescent="0.25">
      <c r="B103" s="22">
        <v>619394769</v>
      </c>
      <c r="C103" s="22" t="s">
        <v>484</v>
      </c>
      <c r="D103" s="24">
        <v>45518</v>
      </c>
      <c r="E103" s="22" t="s">
        <v>277</v>
      </c>
      <c r="F103" s="34">
        <v>-35</v>
      </c>
      <c r="G103" s="34" t="s">
        <v>0</v>
      </c>
      <c r="H103" s="34" t="s">
        <v>0</v>
      </c>
    </row>
    <row r="104" spans="2:8" x14ac:dyDescent="0.25">
      <c r="B104" s="16">
        <v>619899127</v>
      </c>
      <c r="C104" s="16" t="s">
        <v>482</v>
      </c>
      <c r="D104" s="19">
        <v>45519</v>
      </c>
      <c r="E104" s="16" t="s">
        <v>597</v>
      </c>
      <c r="F104" s="33">
        <v>0.02</v>
      </c>
      <c r="G104" s="33" t="s">
        <v>0</v>
      </c>
      <c r="H104" s="33" t="s">
        <v>0</v>
      </c>
    </row>
    <row r="105" spans="2:8" x14ac:dyDescent="0.25">
      <c r="B105" s="22">
        <v>619899128</v>
      </c>
      <c r="C105" s="22" t="s">
        <v>484</v>
      </c>
      <c r="D105" s="24">
        <v>45519</v>
      </c>
      <c r="E105" s="22" t="s">
        <v>598</v>
      </c>
      <c r="F105" s="34">
        <v>-0.01</v>
      </c>
      <c r="G105" s="34" t="s">
        <v>0</v>
      </c>
      <c r="H105" s="34" t="s">
        <v>0</v>
      </c>
    </row>
    <row r="106" spans="2:8" x14ac:dyDescent="0.25">
      <c r="B106" s="16">
        <v>621597696</v>
      </c>
      <c r="C106" s="16" t="s">
        <v>484</v>
      </c>
      <c r="D106" s="19">
        <v>45523</v>
      </c>
      <c r="E106" s="16" t="s">
        <v>279</v>
      </c>
      <c r="F106" s="33">
        <v>-19.97</v>
      </c>
      <c r="G106" s="33" t="s">
        <v>0</v>
      </c>
      <c r="H106" s="33" t="s">
        <v>0</v>
      </c>
    </row>
    <row r="107" spans="2:8" x14ac:dyDescent="0.25">
      <c r="B107" s="22">
        <v>629056665</v>
      </c>
      <c r="C107" s="22" t="s">
        <v>482</v>
      </c>
      <c r="D107" s="24">
        <v>45538</v>
      </c>
      <c r="E107" s="22" t="s">
        <v>599</v>
      </c>
      <c r="F107" s="34">
        <v>0.03</v>
      </c>
      <c r="G107" s="34" t="s">
        <v>0</v>
      </c>
      <c r="H107" s="34" t="s">
        <v>0</v>
      </c>
    </row>
    <row r="108" spans="2:8" x14ac:dyDescent="0.25">
      <c r="B108" s="16">
        <v>629056666</v>
      </c>
      <c r="C108" s="16" t="s">
        <v>484</v>
      </c>
      <c r="D108" s="19">
        <v>45538</v>
      </c>
      <c r="E108" s="16" t="s">
        <v>600</v>
      </c>
      <c r="F108" s="33">
        <v>-0.01</v>
      </c>
      <c r="G108" s="33" t="s">
        <v>0</v>
      </c>
      <c r="H108" s="33" t="s">
        <v>0</v>
      </c>
    </row>
    <row r="109" spans="2:8" ht="31.5" x14ac:dyDescent="0.25">
      <c r="B109" s="22">
        <v>630786133</v>
      </c>
      <c r="C109" s="22" t="s">
        <v>482</v>
      </c>
      <c r="D109" s="24">
        <v>45539</v>
      </c>
      <c r="E109" s="22" t="s">
        <v>490</v>
      </c>
      <c r="F109" s="34">
        <v>50</v>
      </c>
      <c r="G109" s="34" t="s">
        <v>0</v>
      </c>
      <c r="H109" s="34" t="s">
        <v>0</v>
      </c>
    </row>
    <row r="110" spans="2:8" x14ac:dyDescent="0.25">
      <c r="B110" s="16">
        <v>633190556</v>
      </c>
      <c r="C110" s="16" t="s">
        <v>484</v>
      </c>
      <c r="D110" s="19">
        <v>45544</v>
      </c>
      <c r="E110" s="16" t="s">
        <v>281</v>
      </c>
      <c r="F110" s="33">
        <v>-10.99</v>
      </c>
      <c r="G110" s="33" t="s">
        <v>0</v>
      </c>
      <c r="H110" s="33" t="s">
        <v>0</v>
      </c>
    </row>
    <row r="111" spans="2:8" x14ac:dyDescent="0.25">
      <c r="B111" s="22">
        <v>633192452</v>
      </c>
      <c r="C111" s="22" t="s">
        <v>484</v>
      </c>
      <c r="D111" s="24">
        <v>45544</v>
      </c>
      <c r="E111" s="22" t="s">
        <v>282</v>
      </c>
      <c r="F111" s="34">
        <v>-20.190000000000001</v>
      </c>
      <c r="G111" s="34" t="s">
        <v>0</v>
      </c>
      <c r="H111" s="34" t="s">
        <v>0</v>
      </c>
    </row>
    <row r="112" spans="2:8" x14ac:dyDescent="0.25">
      <c r="B112" s="16">
        <v>635263903</v>
      </c>
      <c r="C112" s="16" t="s">
        <v>482</v>
      </c>
      <c r="D112" s="19">
        <v>45547</v>
      </c>
      <c r="E112" s="16" t="s">
        <v>601</v>
      </c>
      <c r="F112" s="33">
        <v>0.03</v>
      </c>
      <c r="G112" s="33" t="s">
        <v>0</v>
      </c>
      <c r="H112" s="33" t="s">
        <v>0</v>
      </c>
    </row>
    <row r="113" spans="2:8" x14ac:dyDescent="0.25">
      <c r="B113" s="22">
        <v>635263904</v>
      </c>
      <c r="C113" s="22" t="s">
        <v>484</v>
      </c>
      <c r="D113" s="24">
        <v>45547</v>
      </c>
      <c r="E113" s="22" t="s">
        <v>602</v>
      </c>
      <c r="F113" s="34">
        <v>-0.01</v>
      </c>
      <c r="G113" s="34" t="s">
        <v>0</v>
      </c>
      <c r="H113" s="34" t="s">
        <v>0</v>
      </c>
    </row>
    <row r="114" spans="2:8" x14ac:dyDescent="0.25">
      <c r="B114" s="16">
        <v>635378337</v>
      </c>
      <c r="C114" s="16" t="s">
        <v>482</v>
      </c>
      <c r="D114" s="19">
        <v>45547</v>
      </c>
      <c r="E114" s="16" t="s">
        <v>603</v>
      </c>
      <c r="F114" s="33">
        <v>0.02</v>
      </c>
      <c r="G114" s="33" t="s">
        <v>0</v>
      </c>
      <c r="H114" s="33" t="s">
        <v>0</v>
      </c>
    </row>
    <row r="115" spans="2:8" x14ac:dyDescent="0.25">
      <c r="B115" s="22">
        <v>635378338</v>
      </c>
      <c r="C115" s="22" t="s">
        <v>484</v>
      </c>
      <c r="D115" s="24">
        <v>45547</v>
      </c>
      <c r="E115" s="22" t="s">
        <v>548</v>
      </c>
      <c r="F115" s="34">
        <v>-0.01</v>
      </c>
      <c r="G115" s="34" t="s">
        <v>0</v>
      </c>
      <c r="H115" s="34" t="s">
        <v>0</v>
      </c>
    </row>
    <row r="116" spans="2:8" x14ac:dyDescent="0.25">
      <c r="B116" s="16">
        <v>636536164</v>
      </c>
      <c r="C116" s="16" t="s">
        <v>484</v>
      </c>
      <c r="D116" s="19">
        <v>45548</v>
      </c>
      <c r="E116" s="16" t="s">
        <v>283</v>
      </c>
      <c r="F116" s="33">
        <v>-14.83</v>
      </c>
      <c r="G116" s="33" t="s">
        <v>0</v>
      </c>
      <c r="H116" s="33" t="s">
        <v>0</v>
      </c>
    </row>
    <row r="117" spans="2:8" x14ac:dyDescent="0.25">
      <c r="B117" s="22">
        <v>637156293</v>
      </c>
      <c r="C117" s="22" t="s">
        <v>482</v>
      </c>
      <c r="D117" s="24">
        <v>45551</v>
      </c>
      <c r="E117" s="22" t="s">
        <v>604</v>
      </c>
      <c r="F117" s="34">
        <v>0.1</v>
      </c>
      <c r="G117" s="34" t="s">
        <v>0</v>
      </c>
      <c r="H117" s="34" t="s">
        <v>0</v>
      </c>
    </row>
    <row r="118" spans="2:8" x14ac:dyDescent="0.25">
      <c r="B118" s="16">
        <v>637156294</v>
      </c>
      <c r="C118" s="16" t="s">
        <v>484</v>
      </c>
      <c r="D118" s="19">
        <v>45551</v>
      </c>
      <c r="E118" s="16" t="s">
        <v>545</v>
      </c>
      <c r="F118" s="33">
        <v>-0.03</v>
      </c>
      <c r="G118" s="33" t="s">
        <v>0</v>
      </c>
      <c r="H118" s="33" t="s">
        <v>0</v>
      </c>
    </row>
    <row r="119" spans="2:8" x14ac:dyDescent="0.25">
      <c r="B119" s="22">
        <v>637274948</v>
      </c>
      <c r="C119" s="22" t="s">
        <v>482</v>
      </c>
      <c r="D119" s="24">
        <v>45551</v>
      </c>
      <c r="E119" s="22" t="s">
        <v>546</v>
      </c>
      <c r="F119" s="34">
        <v>0.03</v>
      </c>
      <c r="G119" s="34" t="s">
        <v>0</v>
      </c>
      <c r="H119" s="34" t="s">
        <v>0</v>
      </c>
    </row>
    <row r="120" spans="2:8" x14ac:dyDescent="0.25">
      <c r="B120" s="16">
        <v>637274949</v>
      </c>
      <c r="C120" s="16" t="s">
        <v>484</v>
      </c>
      <c r="D120" s="19">
        <v>45551</v>
      </c>
      <c r="E120" s="16" t="s">
        <v>605</v>
      </c>
      <c r="F120" s="33">
        <v>-0.01</v>
      </c>
      <c r="G120" s="33" t="s">
        <v>0</v>
      </c>
      <c r="H120" s="33" t="s">
        <v>0</v>
      </c>
    </row>
    <row r="121" spans="2:8" x14ac:dyDescent="0.25">
      <c r="B121" s="22">
        <v>637756755</v>
      </c>
      <c r="C121" s="22" t="s">
        <v>482</v>
      </c>
      <c r="D121" s="24">
        <v>45551</v>
      </c>
      <c r="E121" s="22" t="s">
        <v>285</v>
      </c>
      <c r="F121" s="34">
        <v>15</v>
      </c>
      <c r="G121" s="34" t="s">
        <v>0</v>
      </c>
      <c r="H121" s="34" t="s">
        <v>0</v>
      </c>
    </row>
    <row r="122" spans="2:8" x14ac:dyDescent="0.25">
      <c r="B122" s="16">
        <v>638248730</v>
      </c>
      <c r="C122" s="16" t="s">
        <v>482</v>
      </c>
      <c r="D122" s="19">
        <v>45552</v>
      </c>
      <c r="E122" s="16" t="s">
        <v>606</v>
      </c>
      <c r="F122" s="33">
        <v>0</v>
      </c>
      <c r="G122" s="33" t="s">
        <v>0</v>
      </c>
      <c r="H122" s="33" t="s">
        <v>0</v>
      </c>
    </row>
    <row r="123" spans="2:8" x14ac:dyDescent="0.25">
      <c r="B123" s="22">
        <v>638841181</v>
      </c>
      <c r="C123" s="22" t="s">
        <v>484</v>
      </c>
      <c r="D123" s="24">
        <v>45553</v>
      </c>
      <c r="E123" s="22" t="s">
        <v>286</v>
      </c>
      <c r="F123" s="34">
        <v>-20</v>
      </c>
      <c r="G123" s="34" t="s">
        <v>0</v>
      </c>
      <c r="H123" s="34" t="s">
        <v>0</v>
      </c>
    </row>
    <row r="124" spans="2:8" ht="31.5" x14ac:dyDescent="0.25">
      <c r="B124" s="16">
        <v>642025744</v>
      </c>
      <c r="C124" s="16" t="s">
        <v>482</v>
      </c>
      <c r="D124" s="19">
        <v>45559</v>
      </c>
      <c r="E124" s="16" t="s">
        <v>491</v>
      </c>
      <c r="F124" s="33">
        <v>50</v>
      </c>
      <c r="G124" s="33" t="s">
        <v>0</v>
      </c>
      <c r="H124" s="33" t="s">
        <v>0</v>
      </c>
    </row>
    <row r="125" spans="2:8" x14ac:dyDescent="0.25">
      <c r="B125" s="22">
        <v>642028221</v>
      </c>
      <c r="C125" s="22" t="s">
        <v>482</v>
      </c>
      <c r="D125" s="24">
        <v>45559</v>
      </c>
      <c r="E125" s="22" t="s">
        <v>289</v>
      </c>
      <c r="F125" s="34">
        <v>19.02</v>
      </c>
      <c r="G125" s="34" t="s">
        <v>0</v>
      </c>
      <c r="H125" s="34" t="s">
        <v>0</v>
      </c>
    </row>
    <row r="126" spans="2:8" x14ac:dyDescent="0.25">
      <c r="B126" s="16">
        <v>642029305</v>
      </c>
      <c r="C126" s="16" t="s">
        <v>482</v>
      </c>
      <c r="D126" s="19">
        <v>45559</v>
      </c>
      <c r="E126" s="16" t="s">
        <v>290</v>
      </c>
      <c r="F126" s="33">
        <v>1.25</v>
      </c>
      <c r="G126" s="33" t="s">
        <v>0</v>
      </c>
      <c r="H126" s="33" t="s">
        <v>0</v>
      </c>
    </row>
    <row r="127" spans="2:8" x14ac:dyDescent="0.25">
      <c r="B127" s="22">
        <v>642031424</v>
      </c>
      <c r="C127" s="22" t="s">
        <v>484</v>
      </c>
      <c r="D127" s="24">
        <v>45559</v>
      </c>
      <c r="E127" s="22" t="s">
        <v>291</v>
      </c>
      <c r="F127" s="34">
        <v>-19.98</v>
      </c>
      <c r="G127" s="34" t="s">
        <v>0</v>
      </c>
      <c r="H127" s="34" t="s">
        <v>0</v>
      </c>
    </row>
    <row r="128" spans="2:8" x14ac:dyDescent="0.25">
      <c r="B128" s="16">
        <v>642869620</v>
      </c>
      <c r="C128" s="16" t="s">
        <v>482</v>
      </c>
      <c r="D128" s="19">
        <v>45560</v>
      </c>
      <c r="E128" s="16" t="s">
        <v>607</v>
      </c>
      <c r="F128" s="33">
        <v>0</v>
      </c>
      <c r="G128" s="33" t="s">
        <v>0</v>
      </c>
      <c r="H128" s="33" t="s">
        <v>0</v>
      </c>
    </row>
    <row r="129" spans="2:8" x14ac:dyDescent="0.25">
      <c r="B129" s="22">
        <v>643020976</v>
      </c>
      <c r="C129" s="22" t="s">
        <v>482</v>
      </c>
      <c r="D129" s="24">
        <v>45560</v>
      </c>
      <c r="E129" s="22" t="s">
        <v>293</v>
      </c>
      <c r="F129" s="34">
        <v>24.98</v>
      </c>
      <c r="G129" s="34" t="s">
        <v>0</v>
      </c>
      <c r="H129" s="34" t="s">
        <v>0</v>
      </c>
    </row>
    <row r="130" spans="2:8" x14ac:dyDescent="0.25">
      <c r="B130" s="16">
        <v>643021070</v>
      </c>
      <c r="C130" s="16" t="s">
        <v>484</v>
      </c>
      <c r="D130" s="19">
        <v>45560</v>
      </c>
      <c r="E130" s="16" t="s">
        <v>294</v>
      </c>
      <c r="F130" s="33">
        <v>-19.98</v>
      </c>
      <c r="G130" s="33" t="s">
        <v>0</v>
      </c>
      <c r="H130" s="33" t="s">
        <v>0</v>
      </c>
    </row>
    <row r="131" spans="2:8" x14ac:dyDescent="0.25">
      <c r="B131" s="22">
        <v>643393703</v>
      </c>
      <c r="C131" s="22" t="s">
        <v>482</v>
      </c>
      <c r="D131" s="24">
        <v>45561</v>
      </c>
      <c r="E131" s="22" t="s">
        <v>608</v>
      </c>
      <c r="F131" s="34">
        <v>0.11</v>
      </c>
      <c r="G131" s="34" t="s">
        <v>0</v>
      </c>
      <c r="H131" s="34" t="s">
        <v>0</v>
      </c>
    </row>
    <row r="132" spans="2:8" x14ac:dyDescent="0.25">
      <c r="B132" s="16">
        <v>643393704</v>
      </c>
      <c r="C132" s="16" t="s">
        <v>484</v>
      </c>
      <c r="D132" s="19">
        <v>45561</v>
      </c>
      <c r="E132" s="16" t="s">
        <v>609</v>
      </c>
      <c r="F132" s="33">
        <v>-0.03</v>
      </c>
      <c r="G132" s="33" t="s">
        <v>0</v>
      </c>
      <c r="H132" s="33" t="s">
        <v>0</v>
      </c>
    </row>
    <row r="133" spans="2:8" x14ac:dyDescent="0.25">
      <c r="B133" s="22">
        <v>643769557</v>
      </c>
      <c r="C133" s="22" t="s">
        <v>482</v>
      </c>
      <c r="D133" s="24">
        <v>45561</v>
      </c>
      <c r="E133" s="22" t="s">
        <v>610</v>
      </c>
      <c r="F133" s="34">
        <v>0</v>
      </c>
      <c r="G133" s="34" t="s">
        <v>0</v>
      </c>
      <c r="H133" s="34" t="s">
        <v>0</v>
      </c>
    </row>
    <row r="134" spans="2:8" x14ac:dyDescent="0.25">
      <c r="B134" s="16">
        <v>644734365</v>
      </c>
      <c r="C134" s="16" t="s">
        <v>484</v>
      </c>
      <c r="D134" s="19">
        <v>45562</v>
      </c>
      <c r="E134" s="16" t="s">
        <v>295</v>
      </c>
      <c r="F134" s="33">
        <v>-14.97</v>
      </c>
      <c r="G134" s="33" t="s">
        <v>0</v>
      </c>
      <c r="H134" s="33" t="s">
        <v>0</v>
      </c>
    </row>
    <row r="135" spans="2:8" x14ac:dyDescent="0.25">
      <c r="B135" s="22">
        <v>645432441</v>
      </c>
      <c r="C135" s="22" t="s">
        <v>482</v>
      </c>
      <c r="D135" s="24">
        <v>45565</v>
      </c>
      <c r="E135" s="22" t="s">
        <v>559</v>
      </c>
      <c r="F135" s="34">
        <v>0.16</v>
      </c>
      <c r="G135" s="34" t="s">
        <v>0</v>
      </c>
      <c r="H135" s="34" t="s">
        <v>0</v>
      </c>
    </row>
    <row r="136" spans="2:8" x14ac:dyDescent="0.25">
      <c r="B136" s="16">
        <v>645432442</v>
      </c>
      <c r="C136" s="16" t="s">
        <v>484</v>
      </c>
      <c r="D136" s="19">
        <v>45565</v>
      </c>
      <c r="E136" s="16" t="s">
        <v>560</v>
      </c>
      <c r="F136" s="33">
        <v>-0.05</v>
      </c>
      <c r="G136" s="33" t="s">
        <v>0</v>
      </c>
      <c r="H136" s="33" t="s">
        <v>0</v>
      </c>
    </row>
    <row r="137" spans="2:8" x14ac:dyDescent="0.25">
      <c r="B137" s="22">
        <v>649113311</v>
      </c>
      <c r="C137" s="22" t="s">
        <v>484</v>
      </c>
      <c r="D137" s="24">
        <v>45568</v>
      </c>
      <c r="E137" s="22" t="s">
        <v>296</v>
      </c>
      <c r="F137" s="34">
        <v>-15</v>
      </c>
      <c r="G137" s="34" t="s">
        <v>0</v>
      </c>
      <c r="H137" s="34" t="s">
        <v>0</v>
      </c>
    </row>
    <row r="138" spans="2:8" x14ac:dyDescent="0.25">
      <c r="B138" s="16">
        <v>649115436</v>
      </c>
      <c r="C138" s="16" t="s">
        <v>484</v>
      </c>
      <c r="D138" s="19">
        <v>45568</v>
      </c>
      <c r="E138" s="16" t="s">
        <v>297</v>
      </c>
      <c r="F138" s="33">
        <v>-14.97</v>
      </c>
      <c r="G138" s="33" t="s">
        <v>0</v>
      </c>
      <c r="H138" s="33" t="s">
        <v>0</v>
      </c>
    </row>
    <row r="139" spans="2:8" x14ac:dyDescent="0.25">
      <c r="B139" s="22">
        <v>653298355</v>
      </c>
      <c r="C139" s="22" t="s">
        <v>482</v>
      </c>
      <c r="D139" s="24">
        <v>45574</v>
      </c>
      <c r="E139" s="22" t="s">
        <v>611</v>
      </c>
      <c r="F139" s="34">
        <v>7.0000000000000007E-2</v>
      </c>
      <c r="G139" s="34" t="s">
        <v>0</v>
      </c>
      <c r="H139" s="34" t="s">
        <v>0</v>
      </c>
    </row>
    <row r="140" spans="2:8" x14ac:dyDescent="0.25">
      <c r="B140" s="16">
        <v>653298356</v>
      </c>
      <c r="C140" s="16" t="s">
        <v>484</v>
      </c>
      <c r="D140" s="19">
        <v>45574</v>
      </c>
      <c r="E140" s="16" t="s">
        <v>570</v>
      </c>
      <c r="F140" s="33">
        <v>-0.01</v>
      </c>
      <c r="G140" s="33" t="s">
        <v>0</v>
      </c>
      <c r="H140" s="33" t="s">
        <v>0</v>
      </c>
    </row>
    <row r="141" spans="2:8" ht="31.5" x14ac:dyDescent="0.25">
      <c r="B141" s="22">
        <v>653410154</v>
      </c>
      <c r="C141" s="22" t="s">
        <v>482</v>
      </c>
      <c r="D141" s="24">
        <v>45574</v>
      </c>
      <c r="E141" s="22" t="s">
        <v>492</v>
      </c>
      <c r="F141" s="34">
        <v>50</v>
      </c>
      <c r="G141" s="34" t="s">
        <v>0</v>
      </c>
      <c r="H141" s="34" t="s">
        <v>0</v>
      </c>
    </row>
    <row r="142" spans="2:8" x14ac:dyDescent="0.25">
      <c r="B142" s="16">
        <v>654064188</v>
      </c>
      <c r="C142" s="16" t="s">
        <v>482</v>
      </c>
      <c r="D142" s="19">
        <v>45575</v>
      </c>
      <c r="E142" s="16" t="s">
        <v>612</v>
      </c>
      <c r="F142" s="33">
        <v>0.7</v>
      </c>
      <c r="G142" s="33" t="s">
        <v>0</v>
      </c>
      <c r="H142" s="33" t="s">
        <v>0</v>
      </c>
    </row>
    <row r="143" spans="2:8" x14ac:dyDescent="0.25">
      <c r="B143" s="22">
        <v>654064189</v>
      </c>
      <c r="C143" s="22" t="s">
        <v>484</v>
      </c>
      <c r="D143" s="24">
        <v>45575</v>
      </c>
      <c r="E143" s="22" t="s">
        <v>613</v>
      </c>
      <c r="F143" s="34">
        <v>-0.21</v>
      </c>
      <c r="G143" s="34" t="s">
        <v>0</v>
      </c>
      <c r="H143" s="34" t="s">
        <v>0</v>
      </c>
    </row>
    <row r="144" spans="2:8" x14ac:dyDescent="0.25">
      <c r="B144" s="16">
        <v>656140921</v>
      </c>
      <c r="C144" s="16" t="s">
        <v>484</v>
      </c>
      <c r="D144" s="19">
        <v>45579</v>
      </c>
      <c r="E144" s="16" t="s">
        <v>299</v>
      </c>
      <c r="F144" s="33">
        <v>-14.96</v>
      </c>
      <c r="G144" s="33" t="s">
        <v>0</v>
      </c>
      <c r="H144" s="33" t="s">
        <v>0</v>
      </c>
    </row>
    <row r="145" spans="2:8" x14ac:dyDescent="0.25">
      <c r="B145" s="22">
        <v>657256966</v>
      </c>
      <c r="C145" s="22" t="s">
        <v>484</v>
      </c>
      <c r="D145" s="24">
        <v>45580</v>
      </c>
      <c r="E145" s="22" t="s">
        <v>300</v>
      </c>
      <c r="F145" s="34">
        <v>-13.99</v>
      </c>
      <c r="G145" s="34" t="s">
        <v>0</v>
      </c>
      <c r="H145" s="34" t="s">
        <v>0</v>
      </c>
    </row>
    <row r="146" spans="2:8" x14ac:dyDescent="0.25">
      <c r="B146" s="16">
        <v>657257905</v>
      </c>
      <c r="C146" s="16" t="s">
        <v>484</v>
      </c>
      <c r="D146" s="19">
        <v>45580</v>
      </c>
      <c r="E146" s="16" t="s">
        <v>301</v>
      </c>
      <c r="F146" s="33">
        <v>-26</v>
      </c>
      <c r="G146" s="33" t="s">
        <v>0</v>
      </c>
      <c r="H146" s="33" t="s">
        <v>0</v>
      </c>
    </row>
    <row r="147" spans="2:8" ht="31.5" x14ac:dyDescent="0.25">
      <c r="B147" s="22">
        <v>658738821</v>
      </c>
      <c r="C147" s="22" t="s">
        <v>482</v>
      </c>
      <c r="D147" s="24">
        <v>45582</v>
      </c>
      <c r="E147" s="22" t="s">
        <v>493</v>
      </c>
      <c r="F147" s="34">
        <v>50</v>
      </c>
      <c r="G147" s="34" t="s">
        <v>0</v>
      </c>
      <c r="H147" s="34" t="s">
        <v>0</v>
      </c>
    </row>
    <row r="148" spans="2:8" x14ac:dyDescent="0.25">
      <c r="B148" s="16">
        <v>658869237</v>
      </c>
      <c r="C148" s="16" t="s">
        <v>484</v>
      </c>
      <c r="D148" s="19">
        <v>45582</v>
      </c>
      <c r="E148" s="16" t="s">
        <v>303</v>
      </c>
      <c r="F148" s="33">
        <v>-12.98</v>
      </c>
      <c r="G148" s="33" t="s">
        <v>0</v>
      </c>
      <c r="H148" s="33" t="s">
        <v>0</v>
      </c>
    </row>
    <row r="149" spans="2:8" x14ac:dyDescent="0.25">
      <c r="B149" s="22">
        <v>659420863</v>
      </c>
      <c r="C149" s="22" t="s">
        <v>484</v>
      </c>
      <c r="D149" s="24">
        <v>45583</v>
      </c>
      <c r="E149" s="22" t="s">
        <v>304</v>
      </c>
      <c r="F149" s="34">
        <v>-20.48</v>
      </c>
      <c r="G149" s="34" t="s">
        <v>0</v>
      </c>
      <c r="H149" s="34" t="s">
        <v>0</v>
      </c>
    </row>
    <row r="150" spans="2:8" x14ac:dyDescent="0.25">
      <c r="B150" s="16">
        <v>664357419</v>
      </c>
      <c r="C150" s="16" t="s">
        <v>484</v>
      </c>
      <c r="D150" s="19">
        <v>45593</v>
      </c>
      <c r="E150" s="16" t="s">
        <v>307</v>
      </c>
      <c r="F150" s="33">
        <v>-14.98</v>
      </c>
      <c r="G150" s="33" t="s">
        <v>0</v>
      </c>
      <c r="H150" s="33" t="s">
        <v>0</v>
      </c>
    </row>
    <row r="151" spans="2:8" ht="31.5" x14ac:dyDescent="0.25">
      <c r="B151" s="22">
        <v>667065903</v>
      </c>
      <c r="C151" s="22" t="s">
        <v>482</v>
      </c>
      <c r="D151" s="24">
        <v>45597</v>
      </c>
      <c r="E151" s="22" t="s">
        <v>494</v>
      </c>
      <c r="F151" s="34">
        <v>50</v>
      </c>
      <c r="G151" s="34" t="s">
        <v>0</v>
      </c>
      <c r="H151" s="34" t="s">
        <v>0</v>
      </c>
    </row>
    <row r="152" spans="2:8" x14ac:dyDescent="0.25">
      <c r="B152" s="16">
        <v>667535263</v>
      </c>
      <c r="C152" s="16" t="s">
        <v>484</v>
      </c>
      <c r="D152" s="19">
        <v>45597</v>
      </c>
      <c r="E152" s="16" t="s">
        <v>320</v>
      </c>
      <c r="F152" s="33">
        <v>-10</v>
      </c>
      <c r="G152" s="33" t="s">
        <v>0</v>
      </c>
      <c r="H152" s="33" t="s">
        <v>0</v>
      </c>
    </row>
    <row r="153" spans="2:8" x14ac:dyDescent="0.25">
      <c r="B153" s="22">
        <v>667535778</v>
      </c>
      <c r="C153" s="22" t="s">
        <v>484</v>
      </c>
      <c r="D153" s="24">
        <v>45597</v>
      </c>
      <c r="E153" s="22" t="s">
        <v>321</v>
      </c>
      <c r="F153" s="34">
        <v>-10</v>
      </c>
      <c r="G153" s="34" t="s">
        <v>0</v>
      </c>
      <c r="H153" s="34" t="s">
        <v>0</v>
      </c>
    </row>
    <row r="154" spans="2:8" x14ac:dyDescent="0.25">
      <c r="B154" s="16">
        <v>667537243</v>
      </c>
      <c r="C154" s="16" t="s">
        <v>484</v>
      </c>
      <c r="D154" s="19">
        <v>45597</v>
      </c>
      <c r="E154" s="16" t="s">
        <v>322</v>
      </c>
      <c r="F154" s="33">
        <v>-10.97</v>
      </c>
      <c r="G154" s="33" t="s">
        <v>0</v>
      </c>
      <c r="H154" s="33" t="s">
        <v>0</v>
      </c>
    </row>
    <row r="155" spans="2:8" x14ac:dyDescent="0.25">
      <c r="B155" s="22">
        <v>667814243</v>
      </c>
      <c r="C155" s="22" t="s">
        <v>484</v>
      </c>
      <c r="D155" s="24">
        <v>45597</v>
      </c>
      <c r="E155" s="22" t="s">
        <v>327</v>
      </c>
      <c r="F155" s="34">
        <v>-10.92</v>
      </c>
      <c r="G155" s="34" t="s">
        <v>0</v>
      </c>
      <c r="H155" s="34" t="s">
        <v>0</v>
      </c>
    </row>
    <row r="156" spans="2:8" x14ac:dyDescent="0.25">
      <c r="B156" s="16">
        <v>672089671</v>
      </c>
      <c r="C156" s="16" t="s">
        <v>482</v>
      </c>
      <c r="D156" s="19">
        <v>45603</v>
      </c>
      <c r="E156" s="16" t="s">
        <v>614</v>
      </c>
      <c r="F156" s="33">
        <v>0.05</v>
      </c>
      <c r="G156" s="33" t="s">
        <v>0</v>
      </c>
      <c r="H156" s="33" t="s">
        <v>0</v>
      </c>
    </row>
    <row r="157" spans="2:8" x14ac:dyDescent="0.25">
      <c r="B157" s="22">
        <v>672089672</v>
      </c>
      <c r="C157" s="22" t="s">
        <v>484</v>
      </c>
      <c r="D157" s="24">
        <v>45603</v>
      </c>
      <c r="E157" s="22" t="s">
        <v>615</v>
      </c>
      <c r="F157" s="34">
        <v>-0.01</v>
      </c>
      <c r="G157" s="34" t="s">
        <v>0</v>
      </c>
      <c r="H157" s="34" t="s">
        <v>0</v>
      </c>
    </row>
    <row r="158" spans="2:8" x14ac:dyDescent="0.25">
      <c r="B158" s="16">
        <v>672707393</v>
      </c>
      <c r="C158" s="16" t="s">
        <v>482</v>
      </c>
      <c r="D158" s="19">
        <v>45603</v>
      </c>
      <c r="E158" s="16" t="s">
        <v>331</v>
      </c>
      <c r="F158" s="33">
        <v>19.98</v>
      </c>
      <c r="G158" s="33" t="s">
        <v>0</v>
      </c>
      <c r="H158" s="33" t="s">
        <v>0</v>
      </c>
    </row>
    <row r="159" spans="2:8" x14ac:dyDescent="0.25">
      <c r="B159" s="22">
        <v>673094912</v>
      </c>
      <c r="C159" s="22" t="s">
        <v>482</v>
      </c>
      <c r="D159" s="24">
        <v>45604</v>
      </c>
      <c r="E159" s="22" t="s">
        <v>616</v>
      </c>
      <c r="F159" s="34">
        <v>0.02</v>
      </c>
      <c r="G159" s="34" t="s">
        <v>0</v>
      </c>
      <c r="H159" s="34" t="s">
        <v>0</v>
      </c>
    </row>
    <row r="160" spans="2:8" x14ac:dyDescent="0.25">
      <c r="B160" s="16">
        <v>673094913</v>
      </c>
      <c r="C160" s="16" t="s">
        <v>484</v>
      </c>
      <c r="D160" s="19">
        <v>45604</v>
      </c>
      <c r="E160" s="16" t="s">
        <v>617</v>
      </c>
      <c r="F160" s="33">
        <v>-0.01</v>
      </c>
      <c r="G160" s="33" t="s">
        <v>0</v>
      </c>
      <c r="H160" s="33" t="s">
        <v>0</v>
      </c>
    </row>
    <row r="161" spans="2:8" x14ac:dyDescent="0.25">
      <c r="B161" s="22">
        <v>673493016</v>
      </c>
      <c r="C161" s="22" t="s">
        <v>482</v>
      </c>
      <c r="D161" s="24">
        <v>45604</v>
      </c>
      <c r="E161" s="22" t="s">
        <v>618</v>
      </c>
      <c r="F161" s="34">
        <v>0</v>
      </c>
      <c r="G161" s="34" t="s">
        <v>0</v>
      </c>
      <c r="H161" s="34" t="s">
        <v>0</v>
      </c>
    </row>
    <row r="162" spans="2:8" x14ac:dyDescent="0.25">
      <c r="B162" s="16">
        <v>675562013</v>
      </c>
      <c r="C162" s="16" t="s">
        <v>484</v>
      </c>
      <c r="D162" s="19">
        <v>45608</v>
      </c>
      <c r="E162" s="16" t="s">
        <v>343</v>
      </c>
      <c r="F162" s="33">
        <v>-12.98</v>
      </c>
      <c r="G162" s="33" t="s">
        <v>0</v>
      </c>
      <c r="H162" s="33" t="s">
        <v>0</v>
      </c>
    </row>
    <row r="163" spans="2:8" x14ac:dyDescent="0.25">
      <c r="B163" s="22">
        <v>676141644</v>
      </c>
      <c r="C163" s="22" t="s">
        <v>484</v>
      </c>
      <c r="D163" s="24">
        <v>45609</v>
      </c>
      <c r="E163" s="22" t="s">
        <v>346</v>
      </c>
      <c r="F163" s="34">
        <v>-10.95</v>
      </c>
      <c r="G163" s="34" t="s">
        <v>0</v>
      </c>
      <c r="H163" s="34" t="s">
        <v>0</v>
      </c>
    </row>
    <row r="164" spans="2:8" x14ac:dyDescent="0.25">
      <c r="B164" s="16">
        <v>677069237</v>
      </c>
      <c r="C164" s="16" t="s">
        <v>482</v>
      </c>
      <c r="D164" s="19">
        <v>45610</v>
      </c>
      <c r="E164" s="16" t="s">
        <v>597</v>
      </c>
      <c r="F164" s="33">
        <v>0.01</v>
      </c>
      <c r="G164" s="33" t="s">
        <v>0</v>
      </c>
      <c r="H164" s="33" t="s">
        <v>0</v>
      </c>
    </row>
    <row r="165" spans="2:8" x14ac:dyDescent="0.25">
      <c r="B165" s="22">
        <v>677103074</v>
      </c>
      <c r="C165" s="22" t="s">
        <v>482</v>
      </c>
      <c r="D165" s="24">
        <v>45610</v>
      </c>
      <c r="E165" s="22" t="s">
        <v>597</v>
      </c>
      <c r="F165" s="34">
        <v>0.02</v>
      </c>
      <c r="G165" s="34" t="s">
        <v>0</v>
      </c>
      <c r="H165" s="34" t="s">
        <v>0</v>
      </c>
    </row>
    <row r="166" spans="2:8" x14ac:dyDescent="0.25">
      <c r="B166" s="16">
        <v>677103075</v>
      </c>
      <c r="C166" s="16" t="s">
        <v>484</v>
      </c>
      <c r="D166" s="19">
        <v>45610</v>
      </c>
      <c r="E166" s="16" t="s">
        <v>598</v>
      </c>
      <c r="F166" s="33">
        <v>-0.01</v>
      </c>
      <c r="G166" s="33" t="s">
        <v>0</v>
      </c>
      <c r="H166" s="33" t="s">
        <v>0</v>
      </c>
    </row>
    <row r="167" spans="2:8" x14ac:dyDescent="0.25">
      <c r="B167" s="22">
        <v>677106041</v>
      </c>
      <c r="C167" s="22" t="s">
        <v>482</v>
      </c>
      <c r="D167" s="24">
        <v>45610</v>
      </c>
      <c r="E167" s="22" t="s">
        <v>597</v>
      </c>
      <c r="F167" s="34">
        <v>0.02</v>
      </c>
      <c r="G167" s="34" t="s">
        <v>0</v>
      </c>
      <c r="H167" s="34" t="s">
        <v>0</v>
      </c>
    </row>
    <row r="168" spans="2:8" x14ac:dyDescent="0.25">
      <c r="B168" s="16">
        <v>677106042</v>
      </c>
      <c r="C168" s="16" t="s">
        <v>484</v>
      </c>
      <c r="D168" s="19">
        <v>45610</v>
      </c>
      <c r="E168" s="16" t="s">
        <v>598</v>
      </c>
      <c r="F168" s="33">
        <v>-0.01</v>
      </c>
      <c r="G168" s="33" t="s">
        <v>0</v>
      </c>
      <c r="H168" s="33" t="s">
        <v>0</v>
      </c>
    </row>
    <row r="169" spans="2:8" x14ac:dyDescent="0.25">
      <c r="B169" s="22">
        <v>684734305</v>
      </c>
      <c r="C169" s="22" t="s">
        <v>484</v>
      </c>
      <c r="D169" s="24">
        <v>45621</v>
      </c>
      <c r="E169" s="22" t="s">
        <v>352</v>
      </c>
      <c r="F169" s="34">
        <v>-19.989999999999998</v>
      </c>
      <c r="G169" s="34" t="s">
        <v>0</v>
      </c>
      <c r="H169" s="34" t="s">
        <v>0</v>
      </c>
    </row>
    <row r="170" spans="2:8" ht="31.5" x14ac:dyDescent="0.25">
      <c r="B170" s="16">
        <v>685617403</v>
      </c>
      <c r="C170" s="16" t="s">
        <v>482</v>
      </c>
      <c r="D170" s="19">
        <v>45623</v>
      </c>
      <c r="E170" s="16" t="s">
        <v>495</v>
      </c>
      <c r="F170" s="33">
        <v>85</v>
      </c>
      <c r="G170" s="33" t="s">
        <v>0</v>
      </c>
      <c r="H170" s="33" t="s">
        <v>0</v>
      </c>
    </row>
    <row r="171" spans="2:8" x14ac:dyDescent="0.25">
      <c r="B171" s="22">
        <v>686341273</v>
      </c>
      <c r="C171" s="22" t="s">
        <v>484</v>
      </c>
      <c r="D171" s="24">
        <v>45623</v>
      </c>
      <c r="E171" s="22" t="s">
        <v>357</v>
      </c>
      <c r="F171" s="34">
        <v>-14.68</v>
      </c>
      <c r="G171" s="34" t="s">
        <v>0</v>
      </c>
      <c r="H171" s="34" t="s">
        <v>0</v>
      </c>
    </row>
    <row r="172" spans="2:8" x14ac:dyDescent="0.25">
      <c r="B172" s="16">
        <v>686341280</v>
      </c>
      <c r="C172" s="16" t="s">
        <v>484</v>
      </c>
      <c r="D172" s="19">
        <v>45623</v>
      </c>
      <c r="E172" s="16" t="s">
        <v>358</v>
      </c>
      <c r="F172" s="33">
        <v>-15.3</v>
      </c>
      <c r="G172" s="33" t="s">
        <v>0</v>
      </c>
      <c r="H172" s="33" t="s">
        <v>0</v>
      </c>
    </row>
    <row r="173" spans="2:8" x14ac:dyDescent="0.25">
      <c r="B173" s="22">
        <v>686341644</v>
      </c>
      <c r="C173" s="22" t="s">
        <v>484</v>
      </c>
      <c r="D173" s="24">
        <v>45623</v>
      </c>
      <c r="E173" s="22" t="s">
        <v>356</v>
      </c>
      <c r="F173" s="34">
        <v>-14.99</v>
      </c>
      <c r="G173" s="34" t="s">
        <v>0</v>
      </c>
      <c r="H173" s="34" t="s">
        <v>0</v>
      </c>
    </row>
    <row r="174" spans="2:8" ht="31.5" x14ac:dyDescent="0.25">
      <c r="B174" s="16">
        <v>687794212</v>
      </c>
      <c r="C174" s="16" t="s">
        <v>482</v>
      </c>
      <c r="D174" s="19">
        <v>45626</v>
      </c>
      <c r="E174" s="16" t="s">
        <v>496</v>
      </c>
      <c r="F174" s="33">
        <v>85</v>
      </c>
      <c r="G174" s="33" t="s">
        <v>0</v>
      </c>
      <c r="H174" s="33" t="s">
        <v>0</v>
      </c>
    </row>
    <row r="175" spans="2:8" x14ac:dyDescent="0.25">
      <c r="B175" s="22">
        <v>688479884</v>
      </c>
      <c r="C175" s="22" t="s">
        <v>482</v>
      </c>
      <c r="D175" s="24">
        <v>45628</v>
      </c>
      <c r="E175" s="22" t="s">
        <v>619</v>
      </c>
      <c r="F175" s="34">
        <v>0.04</v>
      </c>
      <c r="G175" s="34" t="s">
        <v>0</v>
      </c>
      <c r="H175" s="34" t="s">
        <v>0</v>
      </c>
    </row>
    <row r="176" spans="2:8" x14ac:dyDescent="0.25">
      <c r="B176" s="16">
        <v>688479885</v>
      </c>
      <c r="C176" s="16" t="s">
        <v>484</v>
      </c>
      <c r="D176" s="19">
        <v>45628</v>
      </c>
      <c r="E176" s="16" t="s">
        <v>600</v>
      </c>
      <c r="F176" s="33">
        <v>-0.01</v>
      </c>
      <c r="G176" s="33" t="s">
        <v>0</v>
      </c>
      <c r="H176" s="33" t="s">
        <v>0</v>
      </c>
    </row>
    <row r="177" spans="2:8" x14ac:dyDescent="0.25">
      <c r="B177" s="22">
        <v>688491369</v>
      </c>
      <c r="C177" s="22" t="s">
        <v>482</v>
      </c>
      <c r="D177" s="24">
        <v>45628</v>
      </c>
      <c r="E177" s="22" t="s">
        <v>619</v>
      </c>
      <c r="F177" s="34">
        <v>0.04</v>
      </c>
      <c r="G177" s="34" t="s">
        <v>0</v>
      </c>
      <c r="H177" s="34" t="s">
        <v>0</v>
      </c>
    </row>
    <row r="178" spans="2:8" x14ac:dyDescent="0.25">
      <c r="B178" s="16">
        <v>688491370</v>
      </c>
      <c r="C178" s="16" t="s">
        <v>484</v>
      </c>
      <c r="D178" s="19">
        <v>45628</v>
      </c>
      <c r="E178" s="16" t="s">
        <v>600</v>
      </c>
      <c r="F178" s="33">
        <v>-0.01</v>
      </c>
      <c r="G178" s="33" t="s">
        <v>0</v>
      </c>
      <c r="H178" s="33" t="s">
        <v>0</v>
      </c>
    </row>
    <row r="179" spans="2:8" x14ac:dyDescent="0.25">
      <c r="B179" s="22">
        <v>689282156</v>
      </c>
      <c r="C179" s="22" t="s">
        <v>484</v>
      </c>
      <c r="D179" s="24">
        <v>45628</v>
      </c>
      <c r="E179" s="22" t="s">
        <v>361</v>
      </c>
      <c r="F179" s="34">
        <v>-19.989999999999998</v>
      </c>
      <c r="G179" s="34" t="s">
        <v>0</v>
      </c>
      <c r="H179" s="34" t="s">
        <v>0</v>
      </c>
    </row>
    <row r="180" spans="2:8" x14ac:dyDescent="0.25">
      <c r="B180" s="16">
        <v>689282425</v>
      </c>
      <c r="C180" s="16" t="s">
        <v>484</v>
      </c>
      <c r="D180" s="19">
        <v>45628</v>
      </c>
      <c r="E180" s="16" t="s">
        <v>363</v>
      </c>
      <c r="F180" s="33">
        <v>-14.98</v>
      </c>
      <c r="G180" s="33" t="s">
        <v>0</v>
      </c>
      <c r="H180" s="33" t="s">
        <v>0</v>
      </c>
    </row>
    <row r="181" spans="2:8" x14ac:dyDescent="0.25">
      <c r="B181" s="22">
        <v>689283159</v>
      </c>
      <c r="C181" s="22" t="s">
        <v>484</v>
      </c>
      <c r="D181" s="24">
        <v>45628</v>
      </c>
      <c r="E181" s="22" t="s">
        <v>362</v>
      </c>
      <c r="F181" s="34">
        <v>-15</v>
      </c>
      <c r="G181" s="34" t="s">
        <v>0</v>
      </c>
      <c r="H181" s="34" t="s">
        <v>0</v>
      </c>
    </row>
    <row r="182" spans="2:8" x14ac:dyDescent="0.25">
      <c r="B182" s="16">
        <v>689863641</v>
      </c>
      <c r="C182" s="16" t="s">
        <v>484</v>
      </c>
      <c r="D182" s="19">
        <v>45629</v>
      </c>
      <c r="E182" s="16" t="s">
        <v>364</v>
      </c>
      <c r="F182" s="33">
        <v>-51.41</v>
      </c>
      <c r="G182" s="33" t="s">
        <v>0</v>
      </c>
      <c r="H182" s="33" t="s">
        <v>0</v>
      </c>
    </row>
    <row r="183" spans="2:8" x14ac:dyDescent="0.25">
      <c r="B183" s="22">
        <v>690941452</v>
      </c>
      <c r="C183" s="22" t="s">
        <v>482</v>
      </c>
      <c r="D183" s="24">
        <v>45630</v>
      </c>
      <c r="E183" s="22" t="s">
        <v>365</v>
      </c>
      <c r="F183" s="34">
        <v>0.11</v>
      </c>
      <c r="G183" s="34" t="s">
        <v>0</v>
      </c>
      <c r="H183" s="34" t="s">
        <v>0</v>
      </c>
    </row>
    <row r="184" spans="2:8" x14ac:dyDescent="0.25">
      <c r="B184" s="16">
        <v>690941453</v>
      </c>
      <c r="C184" s="16" t="s">
        <v>484</v>
      </c>
      <c r="D184" s="19">
        <v>45630</v>
      </c>
      <c r="E184" s="16" t="s">
        <v>366</v>
      </c>
      <c r="F184" s="33">
        <v>-0.03</v>
      </c>
      <c r="G184" s="33" t="s">
        <v>0</v>
      </c>
      <c r="H184" s="33" t="s">
        <v>0</v>
      </c>
    </row>
    <row r="185" spans="2:8" x14ac:dyDescent="0.25">
      <c r="B185" s="22">
        <v>690946699</v>
      </c>
      <c r="C185" s="22" t="s">
        <v>482</v>
      </c>
      <c r="D185" s="24">
        <v>45630</v>
      </c>
      <c r="E185" s="22" t="s">
        <v>365</v>
      </c>
      <c r="F185" s="34">
        <v>0.12</v>
      </c>
      <c r="G185" s="34" t="s">
        <v>0</v>
      </c>
      <c r="H185" s="34" t="s">
        <v>0</v>
      </c>
    </row>
    <row r="186" spans="2:8" x14ac:dyDescent="0.25">
      <c r="B186" s="16">
        <v>690946700</v>
      </c>
      <c r="C186" s="16" t="s">
        <v>484</v>
      </c>
      <c r="D186" s="19">
        <v>45630</v>
      </c>
      <c r="E186" s="16" t="s">
        <v>366</v>
      </c>
      <c r="F186" s="33">
        <v>-0.03</v>
      </c>
      <c r="G186" s="33" t="s">
        <v>0</v>
      </c>
      <c r="H186" s="33" t="s">
        <v>0</v>
      </c>
    </row>
    <row r="187" spans="2:8" x14ac:dyDescent="0.25">
      <c r="B187" s="22">
        <v>691472375</v>
      </c>
      <c r="C187" s="22" t="s">
        <v>484</v>
      </c>
      <c r="D187" s="24">
        <v>45630</v>
      </c>
      <c r="E187" s="22" t="s">
        <v>367</v>
      </c>
      <c r="F187" s="34">
        <v>-10</v>
      </c>
      <c r="G187" s="34" t="s">
        <v>0</v>
      </c>
      <c r="H187" s="34" t="s">
        <v>0</v>
      </c>
    </row>
    <row r="188" spans="2:8" x14ac:dyDescent="0.25">
      <c r="B188" s="16">
        <v>693182775</v>
      </c>
      <c r="C188" s="16" t="s">
        <v>484</v>
      </c>
      <c r="D188" s="19">
        <v>45632</v>
      </c>
      <c r="E188" s="16" t="s">
        <v>369</v>
      </c>
      <c r="F188" s="33">
        <v>-20</v>
      </c>
      <c r="G188" s="33" t="s">
        <v>0</v>
      </c>
      <c r="H188" s="33" t="s">
        <v>0</v>
      </c>
    </row>
    <row r="189" spans="2:8" x14ac:dyDescent="0.25">
      <c r="B189" s="22">
        <v>696475396</v>
      </c>
      <c r="C189" s="22" t="s">
        <v>482</v>
      </c>
      <c r="D189" s="24">
        <v>45638</v>
      </c>
      <c r="E189" s="22" t="s">
        <v>547</v>
      </c>
      <c r="F189" s="34">
        <v>0.02</v>
      </c>
      <c r="G189" s="34" t="s">
        <v>0</v>
      </c>
      <c r="H189" s="34" t="s">
        <v>0</v>
      </c>
    </row>
    <row r="190" spans="2:8" x14ac:dyDescent="0.25">
      <c r="B190" s="16">
        <v>696475397</v>
      </c>
      <c r="C190" s="16" t="s">
        <v>484</v>
      </c>
      <c r="D190" s="19">
        <v>45638</v>
      </c>
      <c r="E190" s="16" t="s">
        <v>548</v>
      </c>
      <c r="F190" s="33">
        <v>-0.01</v>
      </c>
      <c r="G190" s="33" t="s">
        <v>0</v>
      </c>
      <c r="H190" s="33" t="s">
        <v>0</v>
      </c>
    </row>
    <row r="191" spans="2:8" x14ac:dyDescent="0.25">
      <c r="B191" s="22">
        <v>696495775</v>
      </c>
      <c r="C191" s="22" t="s">
        <v>482</v>
      </c>
      <c r="D191" s="24">
        <v>45638</v>
      </c>
      <c r="E191" s="22" t="s">
        <v>547</v>
      </c>
      <c r="F191" s="34">
        <v>0.03</v>
      </c>
      <c r="G191" s="34" t="s">
        <v>0</v>
      </c>
      <c r="H191" s="34" t="s">
        <v>0</v>
      </c>
    </row>
    <row r="192" spans="2:8" x14ac:dyDescent="0.25">
      <c r="B192" s="16">
        <v>696495776</v>
      </c>
      <c r="C192" s="16" t="s">
        <v>484</v>
      </c>
      <c r="D192" s="19">
        <v>45638</v>
      </c>
      <c r="E192" s="16" t="s">
        <v>548</v>
      </c>
      <c r="F192" s="33">
        <v>-0.01</v>
      </c>
      <c r="G192" s="33" t="s">
        <v>0</v>
      </c>
      <c r="H192" s="33" t="s">
        <v>0</v>
      </c>
    </row>
    <row r="193" spans="2:8" x14ac:dyDescent="0.25">
      <c r="B193" s="22">
        <v>696570737</v>
      </c>
      <c r="C193" s="22" t="s">
        <v>482</v>
      </c>
      <c r="D193" s="24">
        <v>45638</v>
      </c>
      <c r="E193" s="22" t="s">
        <v>547</v>
      </c>
      <c r="F193" s="34">
        <v>0.02</v>
      </c>
      <c r="G193" s="34" t="s">
        <v>0</v>
      </c>
      <c r="H193" s="34" t="s">
        <v>0</v>
      </c>
    </row>
    <row r="194" spans="2:8" x14ac:dyDescent="0.25">
      <c r="B194" s="16">
        <v>696570738</v>
      </c>
      <c r="C194" s="16" t="s">
        <v>484</v>
      </c>
      <c r="D194" s="19">
        <v>45638</v>
      </c>
      <c r="E194" s="16" t="s">
        <v>548</v>
      </c>
      <c r="F194" s="33">
        <v>-0.01</v>
      </c>
      <c r="G194" s="33" t="s">
        <v>0</v>
      </c>
      <c r="H194" s="33" t="s">
        <v>0</v>
      </c>
    </row>
    <row r="195" spans="2:8" x14ac:dyDescent="0.25">
      <c r="B195" s="22">
        <v>696584703</v>
      </c>
      <c r="C195" s="22" t="s">
        <v>482</v>
      </c>
      <c r="D195" s="24">
        <v>45638</v>
      </c>
      <c r="E195" s="22" t="s">
        <v>547</v>
      </c>
      <c r="F195" s="34">
        <v>0.04</v>
      </c>
      <c r="G195" s="34" t="s">
        <v>0</v>
      </c>
      <c r="H195" s="34" t="s">
        <v>0</v>
      </c>
    </row>
    <row r="196" spans="2:8" x14ac:dyDescent="0.25">
      <c r="B196" s="16">
        <v>696584704</v>
      </c>
      <c r="C196" s="16" t="s">
        <v>484</v>
      </c>
      <c r="D196" s="19">
        <v>45638</v>
      </c>
      <c r="E196" s="16" t="s">
        <v>548</v>
      </c>
      <c r="F196" s="33">
        <v>-0.01</v>
      </c>
      <c r="G196" s="33" t="s">
        <v>0</v>
      </c>
      <c r="H196" s="33" t="s">
        <v>0</v>
      </c>
    </row>
    <row r="197" spans="2:8" x14ac:dyDescent="0.25">
      <c r="B197" s="22">
        <v>697730046</v>
      </c>
      <c r="C197" s="22" t="s">
        <v>482</v>
      </c>
      <c r="D197" s="24">
        <v>45639</v>
      </c>
      <c r="E197" s="22" t="s">
        <v>620</v>
      </c>
      <c r="F197" s="34">
        <v>0.05</v>
      </c>
      <c r="G197" s="34" t="s">
        <v>0</v>
      </c>
      <c r="H197" s="34" t="s">
        <v>0</v>
      </c>
    </row>
    <row r="198" spans="2:8" x14ac:dyDescent="0.25">
      <c r="B198" s="16">
        <v>697730047</v>
      </c>
      <c r="C198" s="16" t="s">
        <v>484</v>
      </c>
      <c r="D198" s="19">
        <v>45639</v>
      </c>
      <c r="E198" s="16" t="s">
        <v>621</v>
      </c>
      <c r="F198" s="33">
        <v>-0.02</v>
      </c>
      <c r="G198" s="33" t="s">
        <v>0</v>
      </c>
      <c r="H198" s="33" t="s">
        <v>0</v>
      </c>
    </row>
    <row r="199" spans="2:8" x14ac:dyDescent="0.25">
      <c r="B199" s="22">
        <v>697730112</v>
      </c>
      <c r="C199" s="22" t="s">
        <v>482</v>
      </c>
      <c r="D199" s="24">
        <v>45639</v>
      </c>
      <c r="E199" s="22" t="s">
        <v>620</v>
      </c>
      <c r="F199" s="34">
        <v>7.0000000000000007E-2</v>
      </c>
      <c r="G199" s="34" t="s">
        <v>0</v>
      </c>
      <c r="H199" s="34" t="s">
        <v>0</v>
      </c>
    </row>
    <row r="200" spans="2:8" x14ac:dyDescent="0.25">
      <c r="B200" s="16">
        <v>697730113</v>
      </c>
      <c r="C200" s="16" t="s">
        <v>484</v>
      </c>
      <c r="D200" s="19">
        <v>45639</v>
      </c>
      <c r="E200" s="16" t="s">
        <v>621</v>
      </c>
      <c r="F200" s="33">
        <v>-0.02</v>
      </c>
      <c r="G200" s="33" t="s">
        <v>0</v>
      </c>
      <c r="H200" s="33" t="s">
        <v>0</v>
      </c>
    </row>
    <row r="201" spans="2:8" x14ac:dyDescent="0.25">
      <c r="B201" s="22">
        <v>698748131</v>
      </c>
      <c r="C201" s="22" t="s">
        <v>482</v>
      </c>
      <c r="D201" s="24">
        <v>45642</v>
      </c>
      <c r="E201" s="22" t="s">
        <v>604</v>
      </c>
      <c r="F201" s="34">
        <v>0.1</v>
      </c>
      <c r="G201" s="34" t="s">
        <v>0</v>
      </c>
      <c r="H201" s="34" t="s">
        <v>0</v>
      </c>
    </row>
    <row r="202" spans="2:8" x14ac:dyDescent="0.25">
      <c r="B202" s="16">
        <v>698748132</v>
      </c>
      <c r="C202" s="16" t="s">
        <v>484</v>
      </c>
      <c r="D202" s="19">
        <v>45642</v>
      </c>
      <c r="E202" s="16" t="s">
        <v>545</v>
      </c>
      <c r="F202" s="33">
        <v>-0.03</v>
      </c>
      <c r="G202" s="33" t="s">
        <v>0</v>
      </c>
      <c r="H202" s="33" t="s">
        <v>0</v>
      </c>
    </row>
    <row r="203" spans="2:8" x14ac:dyDescent="0.25">
      <c r="B203" s="22">
        <v>698961049</v>
      </c>
      <c r="C203" s="22" t="s">
        <v>482</v>
      </c>
      <c r="D203" s="24">
        <v>45642</v>
      </c>
      <c r="E203" s="22" t="s">
        <v>546</v>
      </c>
      <c r="F203" s="34">
        <v>0.02</v>
      </c>
      <c r="G203" s="34" t="s">
        <v>0</v>
      </c>
      <c r="H203" s="34" t="s">
        <v>0</v>
      </c>
    </row>
    <row r="204" spans="2:8" x14ac:dyDescent="0.25">
      <c r="B204" s="16">
        <v>698961050</v>
      </c>
      <c r="C204" s="16" t="s">
        <v>484</v>
      </c>
      <c r="D204" s="19">
        <v>45642</v>
      </c>
      <c r="E204" s="16" t="s">
        <v>605</v>
      </c>
      <c r="F204" s="33">
        <v>-0.01</v>
      </c>
      <c r="G204" s="33" t="s">
        <v>0</v>
      </c>
      <c r="H204" s="33" t="s">
        <v>0</v>
      </c>
    </row>
    <row r="205" spans="2:8" x14ac:dyDescent="0.25">
      <c r="B205" s="22">
        <v>701900917</v>
      </c>
      <c r="C205" s="22" t="s">
        <v>482</v>
      </c>
      <c r="D205" s="24">
        <v>45645</v>
      </c>
      <c r="E205" s="22" t="s">
        <v>608</v>
      </c>
      <c r="F205" s="34">
        <v>0.06</v>
      </c>
      <c r="G205" s="34" t="s">
        <v>0</v>
      </c>
      <c r="H205" s="34" t="s">
        <v>0</v>
      </c>
    </row>
    <row r="206" spans="2:8" x14ac:dyDescent="0.25">
      <c r="B206" s="16">
        <v>701900918</v>
      </c>
      <c r="C206" s="16" t="s">
        <v>484</v>
      </c>
      <c r="D206" s="19">
        <v>45645</v>
      </c>
      <c r="E206" s="16" t="s">
        <v>609</v>
      </c>
      <c r="F206" s="33">
        <v>-0.02</v>
      </c>
      <c r="G206" s="33" t="s">
        <v>0</v>
      </c>
      <c r="H206" s="33" t="s">
        <v>0</v>
      </c>
    </row>
    <row r="207" spans="2:8" x14ac:dyDescent="0.25">
      <c r="B207" s="22">
        <v>701905673</v>
      </c>
      <c r="C207" s="22" t="s">
        <v>482</v>
      </c>
      <c r="D207" s="24">
        <v>45645</v>
      </c>
      <c r="E207" s="22" t="s">
        <v>608</v>
      </c>
      <c r="F207" s="34">
        <v>0.11</v>
      </c>
      <c r="G207" s="34" t="s">
        <v>0</v>
      </c>
      <c r="H207" s="34" t="s">
        <v>0</v>
      </c>
    </row>
    <row r="208" spans="2:8" x14ac:dyDescent="0.25">
      <c r="B208" s="16">
        <v>701905674</v>
      </c>
      <c r="C208" s="16" t="s">
        <v>484</v>
      </c>
      <c r="D208" s="19">
        <v>45645</v>
      </c>
      <c r="E208" s="16" t="s">
        <v>609</v>
      </c>
      <c r="F208" s="33">
        <v>-0.03</v>
      </c>
      <c r="G208" s="33" t="s">
        <v>0</v>
      </c>
      <c r="H208" s="33" t="s">
        <v>0</v>
      </c>
    </row>
    <row r="209" spans="2:8" ht="31.5" x14ac:dyDescent="0.25">
      <c r="B209" s="22">
        <v>702453507</v>
      </c>
      <c r="C209" s="22" t="s">
        <v>482</v>
      </c>
      <c r="D209" s="24">
        <v>45645</v>
      </c>
      <c r="E209" s="22" t="s">
        <v>497</v>
      </c>
      <c r="F209" s="34">
        <v>85</v>
      </c>
      <c r="G209" s="34" t="s">
        <v>0</v>
      </c>
      <c r="H209" s="34" t="s">
        <v>0</v>
      </c>
    </row>
    <row r="210" spans="2:8" x14ac:dyDescent="0.25">
      <c r="B210" s="16">
        <v>702456363</v>
      </c>
      <c r="C210" s="16" t="s">
        <v>484</v>
      </c>
      <c r="D210" s="19">
        <v>45645</v>
      </c>
      <c r="E210" s="16" t="s">
        <v>372</v>
      </c>
      <c r="F210" s="33">
        <v>-15</v>
      </c>
      <c r="G210" s="33" t="s">
        <v>0</v>
      </c>
      <c r="H210" s="33" t="s">
        <v>0</v>
      </c>
    </row>
    <row r="211" spans="2:8" x14ac:dyDescent="0.25">
      <c r="B211" s="22">
        <v>702459169</v>
      </c>
      <c r="C211" s="22" t="s">
        <v>484</v>
      </c>
      <c r="D211" s="24">
        <v>45645</v>
      </c>
      <c r="E211" s="22" t="s">
        <v>371</v>
      </c>
      <c r="F211" s="34">
        <v>-9.99</v>
      </c>
      <c r="G211" s="34" t="s">
        <v>0</v>
      </c>
      <c r="H211" s="34" t="s">
        <v>0</v>
      </c>
    </row>
    <row r="212" spans="2:8" x14ac:dyDescent="0.25">
      <c r="B212" s="16">
        <v>702462693</v>
      </c>
      <c r="C212" s="16" t="s">
        <v>484</v>
      </c>
      <c r="D212" s="19">
        <v>45645</v>
      </c>
      <c r="E212" s="16" t="s">
        <v>373</v>
      </c>
      <c r="F212" s="33">
        <v>-20</v>
      </c>
      <c r="G212" s="33" t="s">
        <v>0</v>
      </c>
      <c r="H212" s="33" t="s">
        <v>0</v>
      </c>
    </row>
    <row r="213" spans="2:8" x14ac:dyDescent="0.25">
      <c r="B213" s="22">
        <v>702467895</v>
      </c>
      <c r="C213" s="22" t="s">
        <v>484</v>
      </c>
      <c r="D213" s="24">
        <v>45645</v>
      </c>
      <c r="E213" s="22" t="s">
        <v>375</v>
      </c>
      <c r="F213" s="34">
        <v>-10</v>
      </c>
      <c r="G213" s="34" t="s">
        <v>0</v>
      </c>
      <c r="H213" s="34" t="s">
        <v>0</v>
      </c>
    </row>
    <row r="214" spans="2:8" x14ac:dyDescent="0.25">
      <c r="B214" s="16">
        <v>702468725</v>
      </c>
      <c r="C214" s="16" t="s">
        <v>484</v>
      </c>
      <c r="D214" s="19">
        <v>45645</v>
      </c>
      <c r="E214" s="16" t="s">
        <v>374</v>
      </c>
      <c r="F214" s="33">
        <v>-19.98</v>
      </c>
      <c r="G214" s="33" t="s">
        <v>0</v>
      </c>
      <c r="H214" s="33" t="s">
        <v>0</v>
      </c>
    </row>
    <row r="215" spans="2:8" x14ac:dyDescent="0.25">
      <c r="B215" s="22">
        <v>703227034</v>
      </c>
      <c r="C215" s="22" t="s">
        <v>484</v>
      </c>
      <c r="D215" s="24">
        <v>45646</v>
      </c>
      <c r="E215" s="22" t="s">
        <v>376</v>
      </c>
      <c r="F215" s="34">
        <v>-10.32</v>
      </c>
      <c r="G215" s="34" t="s">
        <v>0</v>
      </c>
      <c r="H215" s="34" t="s">
        <v>0</v>
      </c>
    </row>
    <row r="216" spans="2:8" x14ac:dyDescent="0.25">
      <c r="B216" s="16">
        <v>703238773</v>
      </c>
      <c r="C216" s="16" t="s">
        <v>482</v>
      </c>
      <c r="D216" s="19">
        <v>45646</v>
      </c>
      <c r="E216" s="16" t="s">
        <v>378</v>
      </c>
      <c r="F216" s="33">
        <v>14.97</v>
      </c>
      <c r="G216" s="33" t="s">
        <v>0</v>
      </c>
      <c r="H216" s="33" t="s">
        <v>0</v>
      </c>
    </row>
    <row r="217" spans="2:8" x14ac:dyDescent="0.25">
      <c r="B217" s="22">
        <v>703238775</v>
      </c>
      <c r="C217" s="22" t="s">
        <v>482</v>
      </c>
      <c r="D217" s="24">
        <v>45646</v>
      </c>
      <c r="E217" s="22" t="s">
        <v>380</v>
      </c>
      <c r="F217" s="34">
        <v>14.96</v>
      </c>
      <c r="G217" s="34" t="s">
        <v>0</v>
      </c>
      <c r="H217" s="34" t="s">
        <v>0</v>
      </c>
    </row>
    <row r="218" spans="2:8" x14ac:dyDescent="0.25">
      <c r="B218" s="16">
        <v>709024286</v>
      </c>
      <c r="C218" s="16" t="s">
        <v>484</v>
      </c>
      <c r="D218" s="19">
        <v>45659</v>
      </c>
      <c r="E218" s="16" t="s">
        <v>386</v>
      </c>
      <c r="F218" s="33">
        <v>-17.11</v>
      </c>
      <c r="G218" s="33" t="s">
        <v>0</v>
      </c>
      <c r="H218" s="33" t="s">
        <v>0</v>
      </c>
    </row>
    <row r="219" spans="2:8" x14ac:dyDescent="0.25">
      <c r="B219" s="22">
        <v>710233312</v>
      </c>
      <c r="C219" s="22" t="s">
        <v>482</v>
      </c>
      <c r="D219" s="24">
        <v>45660</v>
      </c>
      <c r="E219" s="22" t="s">
        <v>622</v>
      </c>
      <c r="F219" s="34">
        <v>0.17</v>
      </c>
      <c r="G219" s="34" t="s">
        <v>0</v>
      </c>
      <c r="H219" s="34" t="s">
        <v>0</v>
      </c>
    </row>
    <row r="220" spans="2:8" x14ac:dyDescent="0.25">
      <c r="B220" s="16">
        <v>710233313</v>
      </c>
      <c r="C220" s="16" t="s">
        <v>484</v>
      </c>
      <c r="D220" s="19">
        <v>45660</v>
      </c>
      <c r="E220" s="16" t="s">
        <v>562</v>
      </c>
      <c r="F220" s="33">
        <v>-0.05</v>
      </c>
      <c r="G220" s="33" t="s">
        <v>0</v>
      </c>
      <c r="H220" s="33" t="s">
        <v>0</v>
      </c>
    </row>
    <row r="221" spans="2:8" x14ac:dyDescent="0.25">
      <c r="B221" s="22">
        <v>710233388</v>
      </c>
      <c r="C221" s="22" t="s">
        <v>482</v>
      </c>
      <c r="D221" s="24">
        <v>45660</v>
      </c>
      <c r="E221" s="22" t="s">
        <v>622</v>
      </c>
      <c r="F221" s="34">
        <v>0.13</v>
      </c>
      <c r="G221" s="34" t="s">
        <v>0</v>
      </c>
      <c r="H221" s="34" t="s">
        <v>0</v>
      </c>
    </row>
    <row r="222" spans="2:8" x14ac:dyDescent="0.25">
      <c r="B222" s="16">
        <v>710233389</v>
      </c>
      <c r="C222" s="16" t="s">
        <v>484</v>
      </c>
      <c r="D222" s="19">
        <v>45660</v>
      </c>
      <c r="E222" s="16" t="s">
        <v>562</v>
      </c>
      <c r="F222" s="33">
        <v>-0.04</v>
      </c>
      <c r="G222" s="33" t="s">
        <v>0</v>
      </c>
      <c r="H222" s="33" t="s">
        <v>0</v>
      </c>
    </row>
    <row r="223" spans="2:8" x14ac:dyDescent="0.25">
      <c r="B223" s="22">
        <v>710233761</v>
      </c>
      <c r="C223" s="22" t="s">
        <v>482</v>
      </c>
      <c r="D223" s="24">
        <v>45660</v>
      </c>
      <c r="E223" s="22" t="s">
        <v>622</v>
      </c>
      <c r="F223" s="34">
        <v>0.13</v>
      </c>
      <c r="G223" s="34" t="s">
        <v>0</v>
      </c>
      <c r="H223" s="34" t="s">
        <v>0</v>
      </c>
    </row>
    <row r="224" spans="2:8" x14ac:dyDescent="0.25">
      <c r="B224" s="16">
        <v>710233762</v>
      </c>
      <c r="C224" s="16" t="s">
        <v>484</v>
      </c>
      <c r="D224" s="19">
        <v>45660</v>
      </c>
      <c r="E224" s="16" t="s">
        <v>562</v>
      </c>
      <c r="F224" s="33">
        <v>-0.04</v>
      </c>
      <c r="G224" s="33" t="s">
        <v>0</v>
      </c>
      <c r="H224" s="33" t="s">
        <v>0</v>
      </c>
    </row>
    <row r="225" spans="2:8" x14ac:dyDescent="0.25">
      <c r="B225" s="22">
        <v>712064979</v>
      </c>
      <c r="C225" s="22" t="s">
        <v>482</v>
      </c>
      <c r="D225" s="24">
        <v>45663</v>
      </c>
      <c r="E225" s="22" t="s">
        <v>559</v>
      </c>
      <c r="F225" s="34">
        <v>0.08</v>
      </c>
      <c r="G225" s="34" t="s">
        <v>0</v>
      </c>
      <c r="H225" s="34" t="s">
        <v>0</v>
      </c>
    </row>
    <row r="226" spans="2:8" x14ac:dyDescent="0.25">
      <c r="B226" s="16">
        <v>712064980</v>
      </c>
      <c r="C226" s="16" t="s">
        <v>484</v>
      </c>
      <c r="D226" s="19">
        <v>45663</v>
      </c>
      <c r="E226" s="16" t="s">
        <v>560</v>
      </c>
      <c r="F226" s="33">
        <v>-0.02</v>
      </c>
      <c r="G226" s="33" t="s">
        <v>0</v>
      </c>
      <c r="H226" s="33" t="s">
        <v>0</v>
      </c>
    </row>
    <row r="227" spans="2:8" x14ac:dyDescent="0.25">
      <c r="B227" s="22">
        <v>712075624</v>
      </c>
      <c r="C227" s="22" t="s">
        <v>482</v>
      </c>
      <c r="D227" s="24">
        <v>45663</v>
      </c>
      <c r="E227" s="22" t="s">
        <v>559</v>
      </c>
      <c r="F227" s="34">
        <v>0.12</v>
      </c>
      <c r="G227" s="34" t="s">
        <v>0</v>
      </c>
      <c r="H227" s="34" t="s">
        <v>0</v>
      </c>
    </row>
    <row r="228" spans="2:8" x14ac:dyDescent="0.25">
      <c r="B228" s="16">
        <v>712075625</v>
      </c>
      <c r="C228" s="16" t="s">
        <v>484</v>
      </c>
      <c r="D228" s="19">
        <v>45663</v>
      </c>
      <c r="E228" s="16" t="s">
        <v>560</v>
      </c>
      <c r="F228" s="33">
        <v>-0.04</v>
      </c>
      <c r="G228" s="33" t="s">
        <v>0</v>
      </c>
      <c r="H228" s="33" t="s">
        <v>0</v>
      </c>
    </row>
    <row r="229" spans="2:8" x14ac:dyDescent="0.25">
      <c r="B229" s="22">
        <v>712078079</v>
      </c>
      <c r="C229" s="22" t="s">
        <v>482</v>
      </c>
      <c r="D229" s="24">
        <v>45663</v>
      </c>
      <c r="E229" s="22" t="s">
        <v>559</v>
      </c>
      <c r="F229" s="34">
        <v>0.08</v>
      </c>
      <c r="G229" s="34" t="s">
        <v>0</v>
      </c>
      <c r="H229" s="34" t="s">
        <v>0</v>
      </c>
    </row>
    <row r="230" spans="2:8" x14ac:dyDescent="0.25">
      <c r="B230" s="16">
        <v>712078080</v>
      </c>
      <c r="C230" s="16" t="s">
        <v>484</v>
      </c>
      <c r="D230" s="19">
        <v>45663</v>
      </c>
      <c r="E230" s="16" t="s">
        <v>560</v>
      </c>
      <c r="F230" s="33">
        <v>-0.02</v>
      </c>
      <c r="G230" s="33" t="s">
        <v>0</v>
      </c>
      <c r="H230" s="33" t="s">
        <v>0</v>
      </c>
    </row>
    <row r="231" spans="2:8" x14ac:dyDescent="0.25">
      <c r="B231" s="22">
        <v>712080474</v>
      </c>
      <c r="C231" s="22" t="s">
        <v>482</v>
      </c>
      <c r="D231" s="24">
        <v>45663</v>
      </c>
      <c r="E231" s="22" t="s">
        <v>559</v>
      </c>
      <c r="F231" s="34">
        <v>0.16</v>
      </c>
      <c r="G231" s="34" t="s">
        <v>0</v>
      </c>
      <c r="H231" s="34" t="s">
        <v>0</v>
      </c>
    </row>
    <row r="232" spans="2:8" x14ac:dyDescent="0.25">
      <c r="B232" s="16">
        <v>712080475</v>
      </c>
      <c r="C232" s="16" t="s">
        <v>484</v>
      </c>
      <c r="D232" s="19">
        <v>45663</v>
      </c>
      <c r="E232" s="16" t="s">
        <v>560</v>
      </c>
      <c r="F232" s="33">
        <v>-0.05</v>
      </c>
      <c r="G232" s="33" t="s">
        <v>0</v>
      </c>
      <c r="H232" s="33" t="s">
        <v>0</v>
      </c>
    </row>
    <row r="233" spans="2:8" x14ac:dyDescent="0.25">
      <c r="B233" s="22">
        <v>712400723</v>
      </c>
      <c r="C233" s="22" t="s">
        <v>482</v>
      </c>
      <c r="D233" s="24">
        <v>45663</v>
      </c>
      <c r="E233" s="22" t="s">
        <v>389</v>
      </c>
      <c r="F233" s="34">
        <v>18.97</v>
      </c>
      <c r="G233" s="34" t="s">
        <v>0</v>
      </c>
      <c r="H233" s="34" t="s">
        <v>0</v>
      </c>
    </row>
    <row r="234" spans="2:8" x14ac:dyDescent="0.25">
      <c r="B234" s="16">
        <v>712401141</v>
      </c>
      <c r="C234" s="16" t="s">
        <v>482</v>
      </c>
      <c r="D234" s="19">
        <v>45663</v>
      </c>
      <c r="E234" s="16" t="s">
        <v>388</v>
      </c>
      <c r="F234" s="33">
        <v>1.51</v>
      </c>
      <c r="G234" s="33" t="s">
        <v>0</v>
      </c>
      <c r="H234" s="33" t="s">
        <v>0</v>
      </c>
    </row>
    <row r="235" spans="2:8" ht="31.5" x14ac:dyDescent="0.25">
      <c r="B235" s="22">
        <v>712515037</v>
      </c>
      <c r="C235" s="22" t="s">
        <v>482</v>
      </c>
      <c r="D235" s="24">
        <v>45663</v>
      </c>
      <c r="E235" s="22" t="s">
        <v>498</v>
      </c>
      <c r="F235" s="34">
        <v>85</v>
      </c>
      <c r="G235" s="34" t="s">
        <v>0</v>
      </c>
      <c r="H235" s="34" t="s">
        <v>0</v>
      </c>
    </row>
    <row r="236" spans="2:8" x14ac:dyDescent="0.25">
      <c r="B236" s="16">
        <v>712519621</v>
      </c>
      <c r="C236" s="16" t="s">
        <v>484</v>
      </c>
      <c r="D236" s="19">
        <v>45663</v>
      </c>
      <c r="E236" s="16" t="s">
        <v>391</v>
      </c>
      <c r="F236" s="33">
        <v>-14.99</v>
      </c>
      <c r="G236" s="33" t="s">
        <v>0</v>
      </c>
      <c r="H236" s="33" t="s">
        <v>0</v>
      </c>
    </row>
    <row r="237" spans="2:8" x14ac:dyDescent="0.25">
      <c r="B237" s="22">
        <v>712521445</v>
      </c>
      <c r="C237" s="22" t="s">
        <v>484</v>
      </c>
      <c r="D237" s="24">
        <v>45663</v>
      </c>
      <c r="E237" s="22" t="s">
        <v>394</v>
      </c>
      <c r="F237" s="34">
        <v>-14.98</v>
      </c>
      <c r="G237" s="34" t="s">
        <v>0</v>
      </c>
      <c r="H237" s="34" t="s">
        <v>0</v>
      </c>
    </row>
    <row r="238" spans="2:8" x14ac:dyDescent="0.25">
      <c r="B238" s="16">
        <v>712521626</v>
      </c>
      <c r="C238" s="16" t="s">
        <v>484</v>
      </c>
      <c r="D238" s="19">
        <v>45663</v>
      </c>
      <c r="E238" s="16" t="s">
        <v>392</v>
      </c>
      <c r="F238" s="33">
        <v>-14.96</v>
      </c>
      <c r="G238" s="33" t="s">
        <v>0</v>
      </c>
      <c r="H238" s="33" t="s">
        <v>0</v>
      </c>
    </row>
    <row r="239" spans="2:8" x14ac:dyDescent="0.25">
      <c r="B239" s="22">
        <v>712526325</v>
      </c>
      <c r="C239" s="22" t="s">
        <v>484</v>
      </c>
      <c r="D239" s="24">
        <v>45663</v>
      </c>
      <c r="E239" s="22" t="s">
        <v>395</v>
      </c>
      <c r="F239" s="34">
        <v>-15</v>
      </c>
      <c r="G239" s="34" t="s">
        <v>0</v>
      </c>
      <c r="H239" s="34" t="s">
        <v>0</v>
      </c>
    </row>
    <row r="240" spans="2:8" x14ac:dyDescent="0.25">
      <c r="B240" s="16">
        <v>712526871</v>
      </c>
      <c r="C240" s="16" t="s">
        <v>484</v>
      </c>
      <c r="D240" s="19">
        <v>45663</v>
      </c>
      <c r="E240" s="16" t="s">
        <v>393</v>
      </c>
      <c r="F240" s="33">
        <v>-9.99</v>
      </c>
      <c r="G240" s="33" t="s">
        <v>0</v>
      </c>
      <c r="H240" s="33" t="s">
        <v>0</v>
      </c>
    </row>
    <row r="241" spans="2:8" x14ac:dyDescent="0.25">
      <c r="B241" s="22">
        <v>712528706</v>
      </c>
      <c r="C241" s="22" t="s">
        <v>484</v>
      </c>
      <c r="D241" s="24">
        <v>45663</v>
      </c>
      <c r="E241" s="22" t="s">
        <v>396</v>
      </c>
      <c r="F241" s="34">
        <v>-14.99</v>
      </c>
      <c r="G241" s="34" t="s">
        <v>0</v>
      </c>
      <c r="H241" s="34" t="s">
        <v>0</v>
      </c>
    </row>
    <row r="242" spans="2:8" x14ac:dyDescent="0.25">
      <c r="B242" s="16">
        <v>712529073</v>
      </c>
      <c r="C242" s="16" t="s">
        <v>484</v>
      </c>
      <c r="D242" s="19">
        <v>45663</v>
      </c>
      <c r="E242" s="16" t="s">
        <v>397</v>
      </c>
      <c r="F242" s="33">
        <v>-10</v>
      </c>
      <c r="G242" s="33" t="s">
        <v>0</v>
      </c>
      <c r="H242" s="33" t="s">
        <v>0</v>
      </c>
    </row>
    <row r="243" spans="2:8" x14ac:dyDescent="0.25">
      <c r="B243" s="22">
        <v>713444257</v>
      </c>
      <c r="C243" s="22" t="s">
        <v>482</v>
      </c>
      <c r="D243" s="24">
        <v>45664</v>
      </c>
      <c r="E243" s="22" t="s">
        <v>623</v>
      </c>
      <c r="F243" s="34">
        <v>0</v>
      </c>
      <c r="G243" s="34" t="s">
        <v>0</v>
      </c>
      <c r="H243" s="34" t="s">
        <v>0</v>
      </c>
    </row>
    <row r="244" spans="2:8" x14ac:dyDescent="0.25">
      <c r="B244" s="16">
        <v>714995334</v>
      </c>
      <c r="C244" s="16" t="s">
        <v>482</v>
      </c>
      <c r="D244" s="19">
        <v>45666</v>
      </c>
      <c r="E244" s="16" t="s">
        <v>624</v>
      </c>
      <c r="F244" s="33">
        <v>0.05</v>
      </c>
      <c r="G244" s="33" t="s">
        <v>0</v>
      </c>
      <c r="H244" s="33" t="s">
        <v>0</v>
      </c>
    </row>
    <row r="245" spans="2:8" x14ac:dyDescent="0.25">
      <c r="B245" s="22">
        <v>714995335</v>
      </c>
      <c r="C245" s="22" t="s">
        <v>484</v>
      </c>
      <c r="D245" s="24">
        <v>45666</v>
      </c>
      <c r="E245" s="22" t="s">
        <v>570</v>
      </c>
      <c r="F245" s="34">
        <v>-0.01</v>
      </c>
      <c r="G245" s="34" t="s">
        <v>0</v>
      </c>
      <c r="H245" s="34" t="s">
        <v>0</v>
      </c>
    </row>
    <row r="246" spans="2:8" x14ac:dyDescent="0.25">
      <c r="B246" s="16">
        <v>715010751</v>
      </c>
      <c r="C246" s="16" t="s">
        <v>482</v>
      </c>
      <c r="D246" s="19">
        <v>45666</v>
      </c>
      <c r="E246" s="16" t="s">
        <v>624</v>
      </c>
      <c r="F246" s="33">
        <v>0.05</v>
      </c>
      <c r="G246" s="33" t="s">
        <v>0</v>
      </c>
      <c r="H246" s="33" t="s">
        <v>0</v>
      </c>
    </row>
    <row r="247" spans="2:8" x14ac:dyDescent="0.25">
      <c r="B247" s="22">
        <v>715010752</v>
      </c>
      <c r="C247" s="22" t="s">
        <v>484</v>
      </c>
      <c r="D247" s="24">
        <v>45666</v>
      </c>
      <c r="E247" s="22" t="s">
        <v>570</v>
      </c>
      <c r="F247" s="34">
        <v>-0.01</v>
      </c>
      <c r="G247" s="34" t="s">
        <v>0</v>
      </c>
      <c r="H247" s="34" t="s">
        <v>0</v>
      </c>
    </row>
    <row r="248" spans="2:8" x14ac:dyDescent="0.25">
      <c r="B248" s="16">
        <v>715022436</v>
      </c>
      <c r="C248" s="16" t="s">
        <v>482</v>
      </c>
      <c r="D248" s="19">
        <v>45666</v>
      </c>
      <c r="E248" s="16" t="s">
        <v>624</v>
      </c>
      <c r="F248" s="33">
        <v>0.04</v>
      </c>
      <c r="G248" s="33" t="s">
        <v>0</v>
      </c>
      <c r="H248" s="33" t="s">
        <v>0</v>
      </c>
    </row>
    <row r="249" spans="2:8" x14ac:dyDescent="0.25">
      <c r="B249" s="22">
        <v>715022437</v>
      </c>
      <c r="C249" s="22" t="s">
        <v>484</v>
      </c>
      <c r="D249" s="24">
        <v>45666</v>
      </c>
      <c r="E249" s="22" t="s">
        <v>570</v>
      </c>
      <c r="F249" s="34">
        <v>-0.01</v>
      </c>
      <c r="G249" s="34" t="s">
        <v>0</v>
      </c>
      <c r="H249" s="34" t="s">
        <v>0</v>
      </c>
    </row>
    <row r="250" spans="2:8" x14ac:dyDescent="0.25">
      <c r="B250" s="16">
        <v>715029197</v>
      </c>
      <c r="C250" s="16" t="s">
        <v>482</v>
      </c>
      <c r="D250" s="19">
        <v>45666</v>
      </c>
      <c r="E250" s="16" t="s">
        <v>624</v>
      </c>
      <c r="F250" s="33">
        <v>7.0000000000000007E-2</v>
      </c>
      <c r="G250" s="33" t="s">
        <v>0</v>
      </c>
      <c r="H250" s="33" t="s">
        <v>0</v>
      </c>
    </row>
    <row r="251" spans="2:8" x14ac:dyDescent="0.25">
      <c r="B251" s="22">
        <v>715029198</v>
      </c>
      <c r="C251" s="22" t="s">
        <v>484</v>
      </c>
      <c r="D251" s="24">
        <v>45666</v>
      </c>
      <c r="E251" s="22" t="s">
        <v>570</v>
      </c>
      <c r="F251" s="34">
        <v>-0.01</v>
      </c>
      <c r="G251" s="34" t="s">
        <v>0</v>
      </c>
      <c r="H251" s="34" t="s">
        <v>0</v>
      </c>
    </row>
    <row r="252" spans="2:8" x14ac:dyDescent="0.25">
      <c r="B252" s="16">
        <v>715727025</v>
      </c>
      <c r="C252" s="16" t="s">
        <v>482</v>
      </c>
      <c r="D252" s="19">
        <v>45667</v>
      </c>
      <c r="E252" s="16" t="s">
        <v>612</v>
      </c>
      <c r="F252" s="33">
        <v>0.7</v>
      </c>
      <c r="G252" s="33" t="s">
        <v>0</v>
      </c>
      <c r="H252" s="33" t="s">
        <v>0</v>
      </c>
    </row>
    <row r="253" spans="2:8" x14ac:dyDescent="0.25">
      <c r="B253" s="22">
        <v>715727026</v>
      </c>
      <c r="C253" s="22" t="s">
        <v>484</v>
      </c>
      <c r="D253" s="24">
        <v>45667</v>
      </c>
      <c r="E253" s="22" t="s">
        <v>613</v>
      </c>
      <c r="F253" s="34">
        <v>-0.21</v>
      </c>
      <c r="G253" s="34" t="s">
        <v>0</v>
      </c>
      <c r="H253" s="34" t="s">
        <v>0</v>
      </c>
    </row>
    <row r="254" spans="2:8" x14ac:dyDescent="0.25">
      <c r="B254" s="16">
        <v>715728830</v>
      </c>
      <c r="C254" s="16" t="s">
        <v>482</v>
      </c>
      <c r="D254" s="19">
        <v>45667</v>
      </c>
      <c r="E254" s="16" t="s">
        <v>612</v>
      </c>
      <c r="F254" s="33">
        <v>0.38</v>
      </c>
      <c r="G254" s="33" t="s">
        <v>0</v>
      </c>
      <c r="H254" s="33" t="s">
        <v>0</v>
      </c>
    </row>
    <row r="255" spans="2:8" x14ac:dyDescent="0.25">
      <c r="B255" s="22">
        <v>715728831</v>
      </c>
      <c r="C255" s="22" t="s">
        <v>484</v>
      </c>
      <c r="D255" s="24">
        <v>45667</v>
      </c>
      <c r="E255" s="22" t="s">
        <v>613</v>
      </c>
      <c r="F255" s="34">
        <v>-0.11</v>
      </c>
      <c r="G255" s="34" t="s">
        <v>0</v>
      </c>
      <c r="H255" s="34" t="s">
        <v>0</v>
      </c>
    </row>
    <row r="256" spans="2:8" x14ac:dyDescent="0.25">
      <c r="B256" s="16">
        <v>715763647</v>
      </c>
      <c r="C256" s="16" t="s">
        <v>482</v>
      </c>
      <c r="D256" s="19">
        <v>45667</v>
      </c>
      <c r="E256" s="16" t="s">
        <v>612</v>
      </c>
      <c r="F256" s="33">
        <v>0.4</v>
      </c>
      <c r="G256" s="33" t="s">
        <v>0</v>
      </c>
      <c r="H256" s="33" t="s">
        <v>0</v>
      </c>
    </row>
    <row r="257" spans="2:8" x14ac:dyDescent="0.25">
      <c r="B257" s="22">
        <v>715763648</v>
      </c>
      <c r="C257" s="22" t="s">
        <v>484</v>
      </c>
      <c r="D257" s="24">
        <v>45667</v>
      </c>
      <c r="E257" s="22" t="s">
        <v>613</v>
      </c>
      <c r="F257" s="34">
        <v>-0.12</v>
      </c>
      <c r="G257" s="34" t="s">
        <v>0</v>
      </c>
      <c r="H257" s="34" t="s">
        <v>0</v>
      </c>
    </row>
    <row r="258" spans="2:8" x14ac:dyDescent="0.25">
      <c r="B258" s="16">
        <v>716180074</v>
      </c>
      <c r="C258" s="16" t="s">
        <v>482</v>
      </c>
      <c r="D258" s="19">
        <v>45667</v>
      </c>
      <c r="E258" s="16" t="s">
        <v>399</v>
      </c>
      <c r="F258" s="33">
        <v>10.92</v>
      </c>
      <c r="G258" s="33" t="s">
        <v>0</v>
      </c>
      <c r="H258" s="33" t="s">
        <v>0</v>
      </c>
    </row>
    <row r="259" spans="2:8" x14ac:dyDescent="0.25">
      <c r="B259" s="22">
        <v>716196321</v>
      </c>
      <c r="C259" s="22" t="s">
        <v>484</v>
      </c>
      <c r="D259" s="24">
        <v>45667</v>
      </c>
      <c r="E259" s="22" t="s">
        <v>400</v>
      </c>
      <c r="F259" s="34">
        <v>-14.98</v>
      </c>
      <c r="G259" s="34" t="s">
        <v>0</v>
      </c>
      <c r="H259" s="34" t="s">
        <v>0</v>
      </c>
    </row>
    <row r="260" spans="2:8" x14ac:dyDescent="0.25">
      <c r="B260" s="16">
        <v>717270768</v>
      </c>
      <c r="C260" s="16" t="s">
        <v>484</v>
      </c>
      <c r="D260" s="19">
        <v>45670</v>
      </c>
      <c r="E260" s="16" t="s">
        <v>625</v>
      </c>
      <c r="F260" s="33">
        <v>-0.01</v>
      </c>
      <c r="G260" s="33" t="s">
        <v>0</v>
      </c>
      <c r="H260" s="33" t="s">
        <v>0</v>
      </c>
    </row>
    <row r="261" spans="2:8" x14ac:dyDescent="0.25">
      <c r="B261" s="22">
        <v>723110980</v>
      </c>
      <c r="C261" s="22" t="s">
        <v>482</v>
      </c>
      <c r="D261" s="24">
        <v>45678</v>
      </c>
      <c r="E261" s="22" t="s">
        <v>573</v>
      </c>
      <c r="F261" s="34">
        <v>0.15</v>
      </c>
      <c r="G261" s="34" t="s">
        <v>0</v>
      </c>
      <c r="H261" s="34" t="s">
        <v>0</v>
      </c>
    </row>
    <row r="262" spans="2:8" x14ac:dyDescent="0.25">
      <c r="B262" s="16">
        <v>723110981</v>
      </c>
      <c r="C262" s="16" t="s">
        <v>484</v>
      </c>
      <c r="D262" s="19">
        <v>45678</v>
      </c>
      <c r="E262" s="16" t="s">
        <v>574</v>
      </c>
      <c r="F262" s="33">
        <v>-0.05</v>
      </c>
      <c r="G262" s="33" t="s">
        <v>0</v>
      </c>
      <c r="H262" s="33" t="s">
        <v>0</v>
      </c>
    </row>
    <row r="263" spans="2:8" x14ac:dyDescent="0.25">
      <c r="B263" s="22">
        <v>723481729</v>
      </c>
      <c r="C263" s="22" t="s">
        <v>482</v>
      </c>
      <c r="D263" s="24">
        <v>45678</v>
      </c>
      <c r="E263" s="22" t="s">
        <v>402</v>
      </c>
      <c r="F263" s="34">
        <v>19.989999999999998</v>
      </c>
      <c r="G263" s="34" t="s">
        <v>0</v>
      </c>
      <c r="H263" s="34" t="s">
        <v>0</v>
      </c>
    </row>
    <row r="264" spans="2:8" x14ac:dyDescent="0.25">
      <c r="B264" s="16">
        <v>723626333</v>
      </c>
      <c r="C264" s="16" t="s">
        <v>484</v>
      </c>
      <c r="D264" s="19">
        <v>45678</v>
      </c>
      <c r="E264" s="16" t="s">
        <v>404</v>
      </c>
      <c r="F264" s="33">
        <v>-10.029999999999999</v>
      </c>
      <c r="G264" s="33" t="s">
        <v>0</v>
      </c>
      <c r="H264" s="33" t="s">
        <v>0</v>
      </c>
    </row>
    <row r="265" spans="2:8" x14ac:dyDescent="0.25">
      <c r="B265" s="22">
        <v>723626569</v>
      </c>
      <c r="C265" s="22" t="s">
        <v>484</v>
      </c>
      <c r="D265" s="24">
        <v>45678</v>
      </c>
      <c r="E265" s="22" t="s">
        <v>403</v>
      </c>
      <c r="F265" s="34">
        <v>-14.98</v>
      </c>
      <c r="G265" s="34" t="s">
        <v>0</v>
      </c>
      <c r="H265" s="34" t="s">
        <v>0</v>
      </c>
    </row>
    <row r="266" spans="2:8" x14ac:dyDescent="0.25">
      <c r="B266" s="16">
        <v>724327714</v>
      </c>
      <c r="C266" s="16" t="s">
        <v>482</v>
      </c>
      <c r="D266" s="19">
        <v>45679</v>
      </c>
      <c r="E266" s="16" t="s">
        <v>626</v>
      </c>
      <c r="F266" s="33">
        <v>0</v>
      </c>
      <c r="G266" s="33" t="s">
        <v>0</v>
      </c>
      <c r="H266" s="33" t="s">
        <v>0</v>
      </c>
    </row>
    <row r="267" spans="2:8" x14ac:dyDescent="0.25">
      <c r="B267" s="22">
        <v>725165195</v>
      </c>
      <c r="C267" s="22" t="s">
        <v>482</v>
      </c>
      <c r="D267" s="24">
        <v>45680</v>
      </c>
      <c r="E267" s="22" t="s">
        <v>82</v>
      </c>
      <c r="F267" s="34">
        <v>25.28</v>
      </c>
      <c r="G267" s="34" t="s">
        <v>0</v>
      </c>
      <c r="H267" s="34" t="s">
        <v>0</v>
      </c>
    </row>
    <row r="268" spans="2:8" x14ac:dyDescent="0.25">
      <c r="B268" s="16">
        <v>725165197</v>
      </c>
      <c r="C268" s="16" t="s">
        <v>482</v>
      </c>
      <c r="D268" s="19">
        <v>45680</v>
      </c>
      <c r="E268" s="16" t="s">
        <v>86</v>
      </c>
      <c r="F268" s="33">
        <v>10.99</v>
      </c>
      <c r="G268" s="33" t="s">
        <v>0</v>
      </c>
      <c r="H268" s="33" t="s">
        <v>0</v>
      </c>
    </row>
    <row r="269" spans="2:8" x14ac:dyDescent="0.25">
      <c r="B269" s="22">
        <v>725653199</v>
      </c>
      <c r="C269" s="22" t="s">
        <v>482</v>
      </c>
      <c r="D269" s="24">
        <v>45681</v>
      </c>
      <c r="E269" s="22" t="s">
        <v>563</v>
      </c>
      <c r="F269" s="34">
        <v>0.16</v>
      </c>
      <c r="G269" s="34" t="s">
        <v>0</v>
      </c>
      <c r="H269" s="34" t="s">
        <v>0</v>
      </c>
    </row>
    <row r="270" spans="2:8" x14ac:dyDescent="0.25">
      <c r="B270" s="16">
        <v>725653200</v>
      </c>
      <c r="C270" s="16" t="s">
        <v>484</v>
      </c>
      <c r="D270" s="19">
        <v>45681</v>
      </c>
      <c r="E270" s="16" t="s">
        <v>564</v>
      </c>
      <c r="F270" s="33">
        <v>-0.02</v>
      </c>
      <c r="G270" s="33" t="s">
        <v>0</v>
      </c>
      <c r="H270" s="33" t="s">
        <v>0</v>
      </c>
    </row>
    <row r="271" spans="2:8" x14ac:dyDescent="0.25">
      <c r="B271" s="22">
        <v>725653234</v>
      </c>
      <c r="C271" s="22" t="s">
        <v>482</v>
      </c>
      <c r="D271" s="24">
        <v>45681</v>
      </c>
      <c r="E271" s="22" t="s">
        <v>563</v>
      </c>
      <c r="F271" s="34">
        <v>0.17</v>
      </c>
      <c r="G271" s="34" t="s">
        <v>0</v>
      </c>
      <c r="H271" s="34" t="s">
        <v>0</v>
      </c>
    </row>
    <row r="272" spans="2:8" x14ac:dyDescent="0.25">
      <c r="B272" s="16">
        <v>725653235</v>
      </c>
      <c r="C272" s="16" t="s">
        <v>484</v>
      </c>
      <c r="D272" s="19">
        <v>45681</v>
      </c>
      <c r="E272" s="16" t="s">
        <v>564</v>
      </c>
      <c r="F272" s="33">
        <v>-0.03</v>
      </c>
      <c r="G272" s="33" t="s">
        <v>0</v>
      </c>
      <c r="H272" s="33" t="s">
        <v>0</v>
      </c>
    </row>
    <row r="273" spans="2:8" x14ac:dyDescent="0.25">
      <c r="B273" s="22">
        <v>725921636</v>
      </c>
      <c r="C273" s="22" t="s">
        <v>482</v>
      </c>
      <c r="D273" s="24">
        <v>45681</v>
      </c>
      <c r="E273" s="22" t="s">
        <v>567</v>
      </c>
      <c r="F273" s="34">
        <v>0</v>
      </c>
      <c r="G273" s="34" t="s">
        <v>0</v>
      </c>
      <c r="H273" s="34" t="s">
        <v>0</v>
      </c>
    </row>
    <row r="274" spans="2:8" x14ac:dyDescent="0.25">
      <c r="B274" s="16">
        <v>728512436</v>
      </c>
      <c r="C274" s="16" t="s">
        <v>484</v>
      </c>
      <c r="D274" s="19">
        <v>45685</v>
      </c>
      <c r="E274" s="16" t="s">
        <v>405</v>
      </c>
      <c r="F274" s="33">
        <v>-14.97</v>
      </c>
      <c r="G274" s="33" t="s">
        <v>0</v>
      </c>
      <c r="H274" s="33" t="s">
        <v>0</v>
      </c>
    </row>
    <row r="275" spans="2:8" x14ac:dyDescent="0.25">
      <c r="B275" s="22">
        <v>728515250</v>
      </c>
      <c r="C275" s="22" t="s">
        <v>484</v>
      </c>
      <c r="D275" s="24">
        <v>45685</v>
      </c>
      <c r="E275" s="22" t="s">
        <v>406</v>
      </c>
      <c r="F275" s="34">
        <v>-10.99</v>
      </c>
      <c r="G275" s="34" t="s">
        <v>0</v>
      </c>
      <c r="H275" s="34" t="s">
        <v>0</v>
      </c>
    </row>
    <row r="276" spans="2:8" x14ac:dyDescent="0.25">
      <c r="B276" s="16">
        <v>728515779</v>
      </c>
      <c r="C276" s="16" t="s">
        <v>484</v>
      </c>
      <c r="D276" s="19">
        <v>45685</v>
      </c>
      <c r="E276" s="16" t="s">
        <v>407</v>
      </c>
      <c r="F276" s="33">
        <v>-10</v>
      </c>
      <c r="G276" s="33" t="s">
        <v>0</v>
      </c>
      <c r="H276" s="33" t="s">
        <v>0</v>
      </c>
    </row>
    <row r="277" spans="2:8" x14ac:dyDescent="0.25">
      <c r="B277" s="22">
        <v>728517290</v>
      </c>
      <c r="C277" s="22" t="s">
        <v>482</v>
      </c>
      <c r="D277" s="24">
        <v>45685</v>
      </c>
      <c r="E277" s="22" t="s">
        <v>409</v>
      </c>
      <c r="F277" s="34">
        <v>19.98</v>
      </c>
      <c r="G277" s="34" t="s">
        <v>0</v>
      </c>
      <c r="H277" s="34" t="s">
        <v>0</v>
      </c>
    </row>
    <row r="278" spans="2:8" x14ac:dyDescent="0.25">
      <c r="B278" s="16">
        <v>728517292</v>
      </c>
      <c r="C278" s="16" t="s">
        <v>482</v>
      </c>
      <c r="D278" s="19">
        <v>45685</v>
      </c>
      <c r="E278" s="16" t="s">
        <v>411</v>
      </c>
      <c r="F278" s="33">
        <v>19.98</v>
      </c>
      <c r="G278" s="33" t="s">
        <v>0</v>
      </c>
      <c r="H278" s="33" t="s">
        <v>0</v>
      </c>
    </row>
    <row r="279" spans="2:8" x14ac:dyDescent="0.25">
      <c r="B279" s="22">
        <v>728517294</v>
      </c>
      <c r="C279" s="22" t="s">
        <v>482</v>
      </c>
      <c r="D279" s="24">
        <v>45685</v>
      </c>
      <c r="E279" s="22" t="s">
        <v>413</v>
      </c>
      <c r="F279" s="34">
        <v>14.98</v>
      </c>
      <c r="G279" s="34" t="s">
        <v>0</v>
      </c>
      <c r="H279" s="34" t="s">
        <v>0</v>
      </c>
    </row>
    <row r="280" spans="2:8" x14ac:dyDescent="0.25">
      <c r="B280" s="16">
        <v>729140247</v>
      </c>
      <c r="C280" s="16" t="s">
        <v>482</v>
      </c>
      <c r="D280" s="19">
        <v>45686</v>
      </c>
      <c r="E280" s="16" t="s">
        <v>627</v>
      </c>
      <c r="F280" s="33">
        <v>0</v>
      </c>
      <c r="G280" s="33" t="s">
        <v>0</v>
      </c>
      <c r="H280" s="33" t="s">
        <v>0</v>
      </c>
    </row>
    <row r="281" spans="2:8" x14ac:dyDescent="0.25">
      <c r="B281" s="22">
        <v>729340471</v>
      </c>
      <c r="C281" s="22" t="s">
        <v>484</v>
      </c>
      <c r="D281" s="24">
        <v>45686</v>
      </c>
      <c r="E281" s="22" t="s">
        <v>414</v>
      </c>
      <c r="F281" s="34">
        <v>-44.24</v>
      </c>
      <c r="G281" s="34" t="s">
        <v>0</v>
      </c>
      <c r="H281" s="34" t="s">
        <v>0</v>
      </c>
    </row>
    <row r="282" spans="2:8" x14ac:dyDescent="0.25">
      <c r="B282" s="16">
        <v>730345560</v>
      </c>
      <c r="C282" s="16" t="s">
        <v>484</v>
      </c>
      <c r="D282" s="19">
        <v>45687</v>
      </c>
      <c r="E282" s="16" t="s">
        <v>415</v>
      </c>
      <c r="F282" s="33">
        <v>-10</v>
      </c>
      <c r="G282" s="33" t="s">
        <v>0</v>
      </c>
      <c r="H282" s="33" t="s">
        <v>0</v>
      </c>
    </row>
    <row r="283" spans="2:8" x14ac:dyDescent="0.25">
      <c r="B283" s="22">
        <v>730345829</v>
      </c>
      <c r="C283" s="22" t="s">
        <v>484</v>
      </c>
      <c r="D283" s="24">
        <v>45687</v>
      </c>
      <c r="E283" s="22" t="s">
        <v>416</v>
      </c>
      <c r="F283" s="34">
        <v>-10</v>
      </c>
      <c r="G283" s="34" t="s">
        <v>0</v>
      </c>
      <c r="H283" s="34" t="s">
        <v>0</v>
      </c>
    </row>
    <row r="284" spans="2:8" ht="31.5" x14ac:dyDescent="0.25">
      <c r="B284" s="16">
        <v>735229761</v>
      </c>
      <c r="C284" s="16" t="s">
        <v>482</v>
      </c>
      <c r="D284" s="19">
        <v>45692</v>
      </c>
      <c r="E284" s="16" t="s">
        <v>499</v>
      </c>
      <c r="F284" s="33">
        <v>85</v>
      </c>
      <c r="G284" s="33" t="s">
        <v>0</v>
      </c>
      <c r="H284" s="33" t="s">
        <v>0</v>
      </c>
    </row>
    <row r="285" spans="2:8" x14ac:dyDescent="0.25">
      <c r="B285" s="22">
        <v>735235949</v>
      </c>
      <c r="C285" s="22" t="s">
        <v>484</v>
      </c>
      <c r="D285" s="24">
        <v>45692</v>
      </c>
      <c r="E285" s="22" t="s">
        <v>418</v>
      </c>
      <c r="F285" s="34">
        <v>-19.989999999999998</v>
      </c>
      <c r="G285" s="34" t="s">
        <v>0</v>
      </c>
      <c r="H285" s="34" t="s">
        <v>0</v>
      </c>
    </row>
    <row r="286" spans="2:8" x14ac:dyDescent="0.25">
      <c r="B286" s="16">
        <v>735236504</v>
      </c>
      <c r="C286" s="16" t="s">
        <v>484</v>
      </c>
      <c r="D286" s="19">
        <v>45692</v>
      </c>
      <c r="E286" s="16" t="s">
        <v>419</v>
      </c>
      <c r="F286" s="33">
        <v>-10</v>
      </c>
      <c r="G286" s="33" t="s">
        <v>0</v>
      </c>
      <c r="H286" s="33" t="s">
        <v>0</v>
      </c>
    </row>
    <row r="287" spans="2:8" x14ac:dyDescent="0.25">
      <c r="B287" s="22">
        <v>736194701</v>
      </c>
      <c r="C287" s="22" t="s">
        <v>484</v>
      </c>
      <c r="D287" s="24">
        <v>45693</v>
      </c>
      <c r="E287" s="22" t="s">
        <v>421</v>
      </c>
      <c r="F287" s="34">
        <v>-10.99</v>
      </c>
      <c r="G287" s="34" t="s">
        <v>0</v>
      </c>
      <c r="H287" s="34" t="s">
        <v>0</v>
      </c>
    </row>
    <row r="288" spans="2:8" x14ac:dyDescent="0.25">
      <c r="B288" s="16">
        <v>736194906</v>
      </c>
      <c r="C288" s="16" t="s">
        <v>484</v>
      </c>
      <c r="D288" s="19">
        <v>45693</v>
      </c>
      <c r="E288" s="16" t="s">
        <v>420</v>
      </c>
      <c r="F288" s="33">
        <v>-10.49</v>
      </c>
      <c r="G288" s="33" t="s">
        <v>0</v>
      </c>
      <c r="H288" s="33" t="s">
        <v>0</v>
      </c>
    </row>
    <row r="289" spans="2:8" x14ac:dyDescent="0.25">
      <c r="B289" s="22">
        <v>736197918</v>
      </c>
      <c r="C289" s="22" t="s">
        <v>484</v>
      </c>
      <c r="D289" s="24">
        <v>45693</v>
      </c>
      <c r="E289" s="22" t="s">
        <v>422</v>
      </c>
      <c r="F289" s="34">
        <v>-20.36</v>
      </c>
      <c r="G289" s="34" t="s">
        <v>0</v>
      </c>
      <c r="H289" s="34" t="s">
        <v>0</v>
      </c>
    </row>
    <row r="290" spans="2:8" x14ac:dyDescent="0.25">
      <c r="B290" s="16">
        <v>737482234</v>
      </c>
      <c r="C290" s="16" t="s">
        <v>482</v>
      </c>
      <c r="D290" s="19">
        <v>45695</v>
      </c>
      <c r="E290" s="16" t="s">
        <v>628</v>
      </c>
      <c r="F290" s="33">
        <v>0.02</v>
      </c>
      <c r="G290" s="33" t="s">
        <v>0</v>
      </c>
      <c r="H290" s="33" t="s">
        <v>0</v>
      </c>
    </row>
    <row r="291" spans="2:8" x14ac:dyDescent="0.25">
      <c r="B291" s="22">
        <v>737482235</v>
      </c>
      <c r="C291" s="22" t="s">
        <v>484</v>
      </c>
      <c r="D291" s="24">
        <v>45695</v>
      </c>
      <c r="E291" s="22" t="s">
        <v>617</v>
      </c>
      <c r="F291" s="34">
        <v>-0.01</v>
      </c>
      <c r="G291" s="34" t="s">
        <v>0</v>
      </c>
      <c r="H291" s="34" t="s">
        <v>0</v>
      </c>
    </row>
    <row r="292" spans="2:8" x14ac:dyDescent="0.25">
      <c r="B292" s="16">
        <v>737488582</v>
      </c>
      <c r="C292" s="16" t="s">
        <v>482</v>
      </c>
      <c r="D292" s="19">
        <v>45695</v>
      </c>
      <c r="E292" s="16" t="s">
        <v>628</v>
      </c>
      <c r="F292" s="33">
        <v>0.03</v>
      </c>
      <c r="G292" s="33" t="s">
        <v>0</v>
      </c>
      <c r="H292" s="33" t="s">
        <v>0</v>
      </c>
    </row>
    <row r="293" spans="2:8" x14ac:dyDescent="0.25">
      <c r="B293" s="22">
        <v>737488583</v>
      </c>
      <c r="C293" s="22" t="s">
        <v>484</v>
      </c>
      <c r="D293" s="24">
        <v>45695</v>
      </c>
      <c r="E293" s="22" t="s">
        <v>617</v>
      </c>
      <c r="F293" s="34">
        <v>-0.01</v>
      </c>
      <c r="G293" s="34" t="s">
        <v>0</v>
      </c>
      <c r="H293" s="34" t="s">
        <v>0</v>
      </c>
    </row>
    <row r="294" spans="2:8" x14ac:dyDescent="0.25">
      <c r="B294" s="16">
        <v>737489995</v>
      </c>
      <c r="C294" s="16" t="s">
        <v>482</v>
      </c>
      <c r="D294" s="19">
        <v>45695</v>
      </c>
      <c r="E294" s="16" t="s">
        <v>628</v>
      </c>
      <c r="F294" s="33">
        <v>0.03</v>
      </c>
      <c r="G294" s="33" t="s">
        <v>0</v>
      </c>
      <c r="H294" s="33" t="s">
        <v>0</v>
      </c>
    </row>
    <row r="295" spans="2:8" x14ac:dyDescent="0.25">
      <c r="B295" s="22">
        <v>737489996</v>
      </c>
      <c r="C295" s="22" t="s">
        <v>484</v>
      </c>
      <c r="D295" s="24">
        <v>45695</v>
      </c>
      <c r="E295" s="22" t="s">
        <v>617</v>
      </c>
      <c r="F295" s="34">
        <v>-0.01</v>
      </c>
      <c r="G295" s="34" t="s">
        <v>0</v>
      </c>
      <c r="H295" s="34" t="s">
        <v>0</v>
      </c>
    </row>
    <row r="296" spans="2:8" x14ac:dyDescent="0.25">
      <c r="B296" s="16">
        <v>738132556</v>
      </c>
      <c r="C296" s="16" t="s">
        <v>482</v>
      </c>
      <c r="D296" s="19">
        <v>45695</v>
      </c>
      <c r="E296" s="16" t="s">
        <v>424</v>
      </c>
      <c r="F296" s="33">
        <v>13.99</v>
      </c>
      <c r="G296" s="33" t="s">
        <v>0</v>
      </c>
      <c r="H296" s="33" t="s">
        <v>0</v>
      </c>
    </row>
    <row r="297" spans="2:8" x14ac:dyDescent="0.25">
      <c r="B297" s="22">
        <v>738132558</v>
      </c>
      <c r="C297" s="22" t="s">
        <v>482</v>
      </c>
      <c r="D297" s="24">
        <v>45695</v>
      </c>
      <c r="E297" s="22" t="s">
        <v>426</v>
      </c>
      <c r="F297" s="34">
        <v>10</v>
      </c>
      <c r="G297" s="34" t="s">
        <v>0</v>
      </c>
      <c r="H297" s="34" t="s">
        <v>0</v>
      </c>
    </row>
    <row r="298" spans="2:8" x14ac:dyDescent="0.25">
      <c r="B298" s="16">
        <v>738132560</v>
      </c>
      <c r="C298" s="16" t="s">
        <v>482</v>
      </c>
      <c r="D298" s="19">
        <v>45695</v>
      </c>
      <c r="E298" s="16" t="s">
        <v>428</v>
      </c>
      <c r="F298" s="33">
        <v>9.9600000000000009</v>
      </c>
      <c r="G298" s="33" t="s">
        <v>0</v>
      </c>
      <c r="H298" s="33" t="s">
        <v>0</v>
      </c>
    </row>
    <row r="299" spans="2:8" x14ac:dyDescent="0.25">
      <c r="B299" s="22">
        <v>738134321</v>
      </c>
      <c r="C299" s="22" t="s">
        <v>484</v>
      </c>
      <c r="D299" s="24">
        <v>45695</v>
      </c>
      <c r="E299" s="22" t="s">
        <v>429</v>
      </c>
      <c r="F299" s="34">
        <v>-10.49</v>
      </c>
      <c r="G299" s="34" t="s">
        <v>0</v>
      </c>
      <c r="H299" s="34" t="s">
        <v>0</v>
      </c>
    </row>
    <row r="300" spans="2:8" x14ac:dyDescent="0.25">
      <c r="B300" s="16">
        <v>738134914</v>
      </c>
      <c r="C300" s="16" t="s">
        <v>484</v>
      </c>
      <c r="D300" s="19">
        <v>45695</v>
      </c>
      <c r="E300" s="16" t="s">
        <v>430</v>
      </c>
      <c r="F300" s="33">
        <v>-10</v>
      </c>
      <c r="G300" s="33" t="s">
        <v>0</v>
      </c>
      <c r="H300" s="33" t="s">
        <v>0</v>
      </c>
    </row>
    <row r="301" spans="2:8" x14ac:dyDescent="0.25">
      <c r="B301" s="22">
        <v>738135708</v>
      </c>
      <c r="C301" s="22" t="s">
        <v>484</v>
      </c>
      <c r="D301" s="24">
        <v>45695</v>
      </c>
      <c r="E301" s="22" t="s">
        <v>431</v>
      </c>
      <c r="F301" s="34">
        <v>-10.98</v>
      </c>
      <c r="G301" s="34" t="s">
        <v>0</v>
      </c>
      <c r="H301" s="34" t="s">
        <v>0</v>
      </c>
    </row>
    <row r="302" spans="2:8" x14ac:dyDescent="0.25">
      <c r="B302" s="16">
        <v>738137014</v>
      </c>
      <c r="C302" s="16" t="s">
        <v>484</v>
      </c>
      <c r="D302" s="19">
        <v>45695</v>
      </c>
      <c r="E302" s="16" t="s">
        <v>432</v>
      </c>
      <c r="F302" s="33">
        <v>-10</v>
      </c>
      <c r="G302" s="33" t="s">
        <v>0</v>
      </c>
      <c r="H302" s="33" t="s">
        <v>0</v>
      </c>
    </row>
    <row r="303" spans="2:8" x14ac:dyDescent="0.25">
      <c r="B303" s="22">
        <v>739025187</v>
      </c>
      <c r="C303" s="22" t="s">
        <v>482</v>
      </c>
      <c r="D303" s="24">
        <v>45698</v>
      </c>
      <c r="E303" s="22" t="s">
        <v>629</v>
      </c>
      <c r="F303" s="34">
        <v>0</v>
      </c>
      <c r="G303" s="34" t="s">
        <v>0</v>
      </c>
      <c r="H303" s="34" t="s">
        <v>0</v>
      </c>
    </row>
    <row r="304" spans="2:8" x14ac:dyDescent="0.25">
      <c r="B304" s="16">
        <v>740418557</v>
      </c>
      <c r="C304" s="16" t="s">
        <v>484</v>
      </c>
      <c r="D304" s="19">
        <v>45699</v>
      </c>
      <c r="E304" s="16" t="s">
        <v>433</v>
      </c>
      <c r="F304" s="33">
        <v>-10</v>
      </c>
      <c r="G304" s="33" t="s">
        <v>0</v>
      </c>
      <c r="H304" s="33" t="s">
        <v>0</v>
      </c>
    </row>
    <row r="305" spans="2:8" x14ac:dyDescent="0.25">
      <c r="B305" s="22">
        <v>741917858</v>
      </c>
      <c r="C305" s="22" t="s">
        <v>482</v>
      </c>
      <c r="D305" s="24">
        <v>45701</v>
      </c>
      <c r="E305" s="22" t="s">
        <v>597</v>
      </c>
      <c r="F305" s="34">
        <v>0.01</v>
      </c>
      <c r="G305" s="34" t="s">
        <v>0</v>
      </c>
      <c r="H305" s="34" t="s">
        <v>0</v>
      </c>
    </row>
    <row r="306" spans="2:8" x14ac:dyDescent="0.25">
      <c r="B306" s="16">
        <v>741966505</v>
      </c>
      <c r="C306" s="16" t="s">
        <v>482</v>
      </c>
      <c r="D306" s="19">
        <v>45701</v>
      </c>
      <c r="E306" s="16" t="s">
        <v>597</v>
      </c>
      <c r="F306" s="33">
        <v>0.02</v>
      </c>
      <c r="G306" s="33" t="s">
        <v>0</v>
      </c>
      <c r="H306" s="33" t="s">
        <v>0</v>
      </c>
    </row>
    <row r="307" spans="2:8" x14ac:dyDescent="0.25">
      <c r="B307" s="22">
        <v>741966506</v>
      </c>
      <c r="C307" s="22" t="s">
        <v>484</v>
      </c>
      <c r="D307" s="24">
        <v>45701</v>
      </c>
      <c r="E307" s="22" t="s">
        <v>598</v>
      </c>
      <c r="F307" s="34">
        <v>-0.01</v>
      </c>
      <c r="G307" s="34" t="s">
        <v>0</v>
      </c>
      <c r="H307" s="34" t="s">
        <v>0</v>
      </c>
    </row>
    <row r="308" spans="2:8" x14ac:dyDescent="0.25">
      <c r="B308" s="16">
        <v>742084649</v>
      </c>
      <c r="C308" s="16" t="s">
        <v>482</v>
      </c>
      <c r="D308" s="19">
        <v>45701</v>
      </c>
      <c r="E308" s="16" t="s">
        <v>597</v>
      </c>
      <c r="F308" s="33">
        <v>0.02</v>
      </c>
      <c r="G308" s="33" t="s">
        <v>0</v>
      </c>
      <c r="H308" s="33" t="s">
        <v>0</v>
      </c>
    </row>
    <row r="309" spans="2:8" x14ac:dyDescent="0.25">
      <c r="B309" s="22">
        <v>742084650</v>
      </c>
      <c r="C309" s="22" t="s">
        <v>484</v>
      </c>
      <c r="D309" s="24">
        <v>45701</v>
      </c>
      <c r="E309" s="22" t="s">
        <v>598</v>
      </c>
      <c r="F309" s="34">
        <v>-0.01</v>
      </c>
      <c r="G309" s="34" t="s">
        <v>0</v>
      </c>
      <c r="H309" s="34" t="s">
        <v>0</v>
      </c>
    </row>
    <row r="310" spans="2:8" ht="31.5" x14ac:dyDescent="0.25">
      <c r="B310" s="16">
        <v>742789984</v>
      </c>
      <c r="C310" s="16" t="s">
        <v>482</v>
      </c>
      <c r="D310" s="19">
        <v>45702</v>
      </c>
      <c r="E310" s="16" t="s">
        <v>500</v>
      </c>
      <c r="F310" s="33">
        <v>85</v>
      </c>
      <c r="G310" s="33" t="s">
        <v>0</v>
      </c>
      <c r="H310" s="33" t="s">
        <v>0</v>
      </c>
    </row>
    <row r="311" spans="2:8" x14ac:dyDescent="0.25">
      <c r="B311" s="22">
        <v>745610340</v>
      </c>
      <c r="C311" s="22" t="s">
        <v>482</v>
      </c>
      <c r="D311" s="24">
        <v>45706</v>
      </c>
      <c r="E311" s="22" t="s">
        <v>443</v>
      </c>
      <c r="F311" s="34">
        <v>14.03</v>
      </c>
      <c r="G311" s="34" t="s">
        <v>0</v>
      </c>
      <c r="H311" s="34" t="s">
        <v>0</v>
      </c>
    </row>
    <row r="312" spans="2:8" x14ac:dyDescent="0.25">
      <c r="B312" s="16">
        <v>745610909</v>
      </c>
      <c r="C312" s="16" t="s">
        <v>482</v>
      </c>
      <c r="D312" s="19">
        <v>45706</v>
      </c>
      <c r="E312" s="16" t="s">
        <v>438</v>
      </c>
      <c r="F312" s="33">
        <v>0.96</v>
      </c>
      <c r="G312" s="33" t="s">
        <v>0</v>
      </c>
      <c r="H312" s="33" t="s">
        <v>0</v>
      </c>
    </row>
    <row r="313" spans="2:8" x14ac:dyDescent="0.25">
      <c r="B313" s="22">
        <v>745610911</v>
      </c>
      <c r="C313" s="22" t="s">
        <v>482</v>
      </c>
      <c r="D313" s="24">
        <v>45706</v>
      </c>
      <c r="E313" s="22" t="s">
        <v>440</v>
      </c>
      <c r="F313" s="34">
        <v>14.83</v>
      </c>
      <c r="G313" s="34" t="s">
        <v>0</v>
      </c>
      <c r="H313" s="34" t="s">
        <v>0</v>
      </c>
    </row>
    <row r="314" spans="2:8" x14ac:dyDescent="0.25">
      <c r="B314" s="16">
        <v>745610913</v>
      </c>
      <c r="C314" s="16" t="s">
        <v>482</v>
      </c>
      <c r="D314" s="19">
        <v>45706</v>
      </c>
      <c r="E314" s="16" t="s">
        <v>442</v>
      </c>
      <c r="F314" s="33">
        <v>12.96</v>
      </c>
      <c r="G314" s="33" t="s">
        <v>0</v>
      </c>
      <c r="H314" s="33" t="s">
        <v>0</v>
      </c>
    </row>
    <row r="315" spans="2:8" x14ac:dyDescent="0.25">
      <c r="B315" s="22">
        <v>745970924</v>
      </c>
      <c r="C315" s="22" t="s">
        <v>484</v>
      </c>
      <c r="D315" s="24">
        <v>45706</v>
      </c>
      <c r="E315" s="22" t="s">
        <v>444</v>
      </c>
      <c r="F315" s="34">
        <v>-20.65</v>
      </c>
      <c r="G315" s="34" t="s">
        <v>0</v>
      </c>
      <c r="H315" s="34" t="s">
        <v>0</v>
      </c>
    </row>
    <row r="316" spans="2:8" x14ac:dyDescent="0.25">
      <c r="B316" s="16">
        <v>745971691</v>
      </c>
      <c r="C316" s="16" t="s">
        <v>484</v>
      </c>
      <c r="D316" s="19">
        <v>45706</v>
      </c>
      <c r="E316" s="16" t="s">
        <v>445</v>
      </c>
      <c r="F316" s="33">
        <v>-20</v>
      </c>
      <c r="G316" s="33" t="s">
        <v>0</v>
      </c>
      <c r="H316" s="33" t="s">
        <v>0</v>
      </c>
    </row>
    <row r="317" spans="2:8" x14ac:dyDescent="0.25">
      <c r="B317" s="22">
        <v>746975241</v>
      </c>
      <c r="C317" s="22" t="s">
        <v>482</v>
      </c>
      <c r="D317" s="24">
        <v>45707</v>
      </c>
      <c r="E317" s="22" t="s">
        <v>630</v>
      </c>
      <c r="F317" s="34">
        <v>0</v>
      </c>
      <c r="G317" s="34" t="s">
        <v>0</v>
      </c>
      <c r="H317" s="34" t="s">
        <v>0</v>
      </c>
    </row>
    <row r="318" spans="2:8" x14ac:dyDescent="0.25">
      <c r="B318" s="16">
        <v>747909376</v>
      </c>
      <c r="C318" s="16" t="s">
        <v>484</v>
      </c>
      <c r="D318" s="19">
        <v>45708</v>
      </c>
      <c r="E318" s="16" t="s">
        <v>446</v>
      </c>
      <c r="F318" s="33">
        <v>-14.98</v>
      </c>
      <c r="G318" s="33" t="s">
        <v>0</v>
      </c>
      <c r="H318" s="33" t="s">
        <v>0</v>
      </c>
    </row>
    <row r="319" spans="2:8" x14ac:dyDescent="0.25">
      <c r="B319" s="22">
        <v>747910108</v>
      </c>
      <c r="C319" s="22" t="s">
        <v>484</v>
      </c>
      <c r="D319" s="24">
        <v>45708</v>
      </c>
      <c r="E319" s="22" t="s">
        <v>447</v>
      </c>
      <c r="F319" s="34">
        <v>-10</v>
      </c>
      <c r="G319" s="34" t="s">
        <v>0</v>
      </c>
      <c r="H319" s="34" t="s">
        <v>0</v>
      </c>
    </row>
    <row r="320" spans="2:8" x14ac:dyDescent="0.25">
      <c r="B320" s="16">
        <v>747913035</v>
      </c>
      <c r="C320" s="16" t="s">
        <v>484</v>
      </c>
      <c r="D320" s="19">
        <v>45708</v>
      </c>
      <c r="E320" s="16" t="s">
        <v>450</v>
      </c>
      <c r="F320" s="33">
        <v>-19.98</v>
      </c>
      <c r="G320" s="33" t="s">
        <v>0</v>
      </c>
      <c r="H320" s="33" t="s">
        <v>0</v>
      </c>
    </row>
    <row r="321" spans="2:8" x14ac:dyDescent="0.25">
      <c r="B321" s="22">
        <v>747913673</v>
      </c>
      <c r="C321" s="22" t="s">
        <v>484</v>
      </c>
      <c r="D321" s="24">
        <v>45708</v>
      </c>
      <c r="E321" s="22" t="s">
        <v>448</v>
      </c>
      <c r="F321" s="34">
        <v>-2.82</v>
      </c>
      <c r="G321" s="34" t="s">
        <v>0</v>
      </c>
      <c r="H321" s="34" t="s">
        <v>0</v>
      </c>
    </row>
    <row r="322" spans="2:8" x14ac:dyDescent="0.25">
      <c r="B322" s="16">
        <v>747913744</v>
      </c>
      <c r="C322" s="16" t="s">
        <v>484</v>
      </c>
      <c r="D322" s="19">
        <v>45708</v>
      </c>
      <c r="E322" s="16" t="s">
        <v>451</v>
      </c>
      <c r="F322" s="33">
        <v>-17.18</v>
      </c>
      <c r="G322" s="33" t="s">
        <v>0</v>
      </c>
      <c r="H322" s="33" t="s">
        <v>0</v>
      </c>
    </row>
    <row r="323" spans="2:8" x14ac:dyDescent="0.25">
      <c r="B323" s="22">
        <v>747914573</v>
      </c>
      <c r="C323" s="22" t="s">
        <v>484</v>
      </c>
      <c r="D323" s="24">
        <v>45708</v>
      </c>
      <c r="E323" s="22" t="s">
        <v>449</v>
      </c>
      <c r="F323" s="34">
        <v>-9.99</v>
      </c>
      <c r="G323" s="34" t="s">
        <v>0</v>
      </c>
      <c r="H323" s="34" t="s">
        <v>0</v>
      </c>
    </row>
    <row r="324" spans="2:8" x14ac:dyDescent="0.25">
      <c r="B324" s="16">
        <v>748514779</v>
      </c>
      <c r="C324" s="16" t="s">
        <v>482</v>
      </c>
      <c r="D324" s="19">
        <v>45709</v>
      </c>
      <c r="E324" s="16" t="s">
        <v>631</v>
      </c>
      <c r="F324" s="33">
        <v>0.23</v>
      </c>
      <c r="G324" s="33" t="s">
        <v>0</v>
      </c>
      <c r="H324" s="33" t="s">
        <v>0</v>
      </c>
    </row>
    <row r="325" spans="2:8" x14ac:dyDescent="0.25">
      <c r="B325" s="22">
        <v>748514780</v>
      </c>
      <c r="C325" s="22" t="s">
        <v>484</v>
      </c>
      <c r="D325" s="24">
        <v>45709</v>
      </c>
      <c r="E325" s="22" t="s">
        <v>632</v>
      </c>
      <c r="F325" s="34">
        <v>-7.0000000000000007E-2</v>
      </c>
      <c r="G325" s="34" t="s">
        <v>0</v>
      </c>
      <c r="H325" s="34" t="s">
        <v>0</v>
      </c>
    </row>
    <row r="326" spans="2:8" x14ac:dyDescent="0.25">
      <c r="B326" s="16">
        <v>748515262</v>
      </c>
      <c r="C326" s="16" t="s">
        <v>482</v>
      </c>
      <c r="D326" s="19">
        <v>45709</v>
      </c>
      <c r="E326" s="16" t="s">
        <v>631</v>
      </c>
      <c r="F326" s="33">
        <v>0.1</v>
      </c>
      <c r="G326" s="33" t="s">
        <v>0</v>
      </c>
      <c r="H326" s="33" t="s">
        <v>0</v>
      </c>
    </row>
    <row r="327" spans="2:8" x14ac:dyDescent="0.25">
      <c r="B327" s="22">
        <v>748515263</v>
      </c>
      <c r="C327" s="22" t="s">
        <v>484</v>
      </c>
      <c r="D327" s="24">
        <v>45709</v>
      </c>
      <c r="E327" s="22" t="s">
        <v>632</v>
      </c>
      <c r="F327" s="34">
        <v>-0.03</v>
      </c>
      <c r="G327" s="34" t="s">
        <v>0</v>
      </c>
      <c r="H327" s="34" t="s">
        <v>0</v>
      </c>
    </row>
    <row r="328" spans="2:8" x14ac:dyDescent="0.25">
      <c r="B328" s="16">
        <v>748515432</v>
      </c>
      <c r="C328" s="16" t="s">
        <v>482</v>
      </c>
      <c r="D328" s="19">
        <v>45709</v>
      </c>
      <c r="E328" s="16" t="s">
        <v>631</v>
      </c>
      <c r="F328" s="33">
        <v>0.12</v>
      </c>
      <c r="G328" s="33" t="s">
        <v>0</v>
      </c>
      <c r="H328" s="33" t="s">
        <v>0</v>
      </c>
    </row>
    <row r="329" spans="2:8" x14ac:dyDescent="0.25">
      <c r="B329" s="22">
        <v>748515433</v>
      </c>
      <c r="C329" s="22" t="s">
        <v>484</v>
      </c>
      <c r="D329" s="24">
        <v>45709</v>
      </c>
      <c r="E329" s="22" t="s">
        <v>632</v>
      </c>
      <c r="F329" s="34">
        <v>-0.04</v>
      </c>
      <c r="G329" s="34" t="s">
        <v>0</v>
      </c>
      <c r="H329" s="34" t="s">
        <v>0</v>
      </c>
    </row>
    <row r="330" spans="2:8" ht="31.5" x14ac:dyDescent="0.25">
      <c r="B330" s="16">
        <v>755126956</v>
      </c>
      <c r="C330" s="16" t="s">
        <v>482</v>
      </c>
      <c r="D330" s="19">
        <v>45716</v>
      </c>
      <c r="E330" s="16" t="s">
        <v>501</v>
      </c>
      <c r="F330" s="33">
        <v>85</v>
      </c>
      <c r="G330" s="33" t="s">
        <v>0</v>
      </c>
      <c r="H330" s="33" t="s">
        <v>0</v>
      </c>
    </row>
    <row r="331" spans="2:8" x14ac:dyDescent="0.25">
      <c r="B331" s="22">
        <v>755131727</v>
      </c>
      <c r="C331" s="22" t="s">
        <v>484</v>
      </c>
      <c r="D331" s="24">
        <v>45716</v>
      </c>
      <c r="E331" s="22" t="s">
        <v>74</v>
      </c>
      <c r="F331" s="34">
        <v>-34.979999999999997</v>
      </c>
      <c r="G331" s="34" t="s">
        <v>0</v>
      </c>
      <c r="H331" s="34" t="s">
        <v>0</v>
      </c>
    </row>
    <row r="332" spans="2:8" x14ac:dyDescent="0.25">
      <c r="B332" s="16">
        <v>755132266</v>
      </c>
      <c r="C332" s="16" t="s">
        <v>484</v>
      </c>
      <c r="D332" s="19">
        <v>45716</v>
      </c>
      <c r="E332" s="16" t="s">
        <v>76</v>
      </c>
      <c r="F332" s="33">
        <v>-44.49</v>
      </c>
      <c r="G332" s="33" t="s">
        <v>0</v>
      </c>
      <c r="H332" s="33" t="s">
        <v>0</v>
      </c>
    </row>
    <row r="333" spans="2:8" x14ac:dyDescent="0.25">
      <c r="B333" s="22">
        <v>755132884</v>
      </c>
      <c r="C333" s="22" t="s">
        <v>484</v>
      </c>
      <c r="D333" s="24">
        <v>45716</v>
      </c>
      <c r="E333" s="22" t="s">
        <v>75</v>
      </c>
      <c r="F333" s="34">
        <v>-14.99</v>
      </c>
      <c r="G333" s="34" t="s">
        <v>0</v>
      </c>
      <c r="H333" s="34" t="s">
        <v>0</v>
      </c>
    </row>
    <row r="334" spans="2:8" x14ac:dyDescent="0.25">
      <c r="B334" s="16">
        <v>762196232</v>
      </c>
      <c r="C334" s="16" t="s">
        <v>482</v>
      </c>
      <c r="D334" s="19">
        <v>45723</v>
      </c>
      <c r="E334" s="16" t="s">
        <v>553</v>
      </c>
      <c r="F334" s="33">
        <v>0</v>
      </c>
      <c r="G334" s="33" t="s">
        <v>0</v>
      </c>
      <c r="H334" s="33" t="s">
        <v>0</v>
      </c>
    </row>
    <row r="335" spans="2:8" x14ac:dyDescent="0.25">
      <c r="B335" s="22">
        <v>765059993</v>
      </c>
      <c r="C335" s="22" t="s">
        <v>482</v>
      </c>
      <c r="D335" s="24">
        <v>45727</v>
      </c>
      <c r="E335" s="22" t="s">
        <v>120</v>
      </c>
      <c r="F335" s="34">
        <v>52.08</v>
      </c>
      <c r="G335" s="34" t="s">
        <v>0</v>
      </c>
      <c r="H335" s="34" t="s">
        <v>0</v>
      </c>
    </row>
    <row r="336" spans="2:8" x14ac:dyDescent="0.25">
      <c r="B336" s="16">
        <v>766041827</v>
      </c>
      <c r="C336" s="16" t="s">
        <v>484</v>
      </c>
      <c r="D336" s="19">
        <v>45727</v>
      </c>
      <c r="E336" s="16" t="s">
        <v>158</v>
      </c>
      <c r="F336" s="33">
        <v>-19.989999999999998</v>
      </c>
      <c r="G336" s="33" t="s">
        <v>0</v>
      </c>
      <c r="H336" s="33" t="s">
        <v>0</v>
      </c>
    </row>
    <row r="337" spans="2:8" x14ac:dyDescent="0.25">
      <c r="B337" s="22">
        <v>766042210</v>
      </c>
      <c r="C337" s="22" t="s">
        <v>484</v>
      </c>
      <c r="D337" s="24">
        <v>45727</v>
      </c>
      <c r="E337" s="22" t="s">
        <v>159</v>
      </c>
      <c r="F337" s="34">
        <v>-15</v>
      </c>
      <c r="G337" s="34" t="s">
        <v>0</v>
      </c>
      <c r="H337" s="34" t="s">
        <v>0</v>
      </c>
    </row>
    <row r="338" spans="2:8" x14ac:dyDescent="0.25">
      <c r="B338" s="16">
        <v>766042387</v>
      </c>
      <c r="C338" s="16" t="s">
        <v>484</v>
      </c>
      <c r="D338" s="19">
        <v>45727</v>
      </c>
      <c r="E338" s="16" t="s">
        <v>160</v>
      </c>
      <c r="F338" s="33">
        <v>-14.99</v>
      </c>
      <c r="G338" s="33" t="s">
        <v>0</v>
      </c>
      <c r="H338" s="33" t="s">
        <v>0</v>
      </c>
    </row>
    <row r="339" spans="2:8" x14ac:dyDescent="0.25">
      <c r="B339" s="22">
        <v>767747257</v>
      </c>
      <c r="C339" s="22" t="s">
        <v>482</v>
      </c>
      <c r="D339" s="24">
        <v>45729</v>
      </c>
      <c r="E339" s="22" t="s">
        <v>547</v>
      </c>
      <c r="F339" s="34">
        <v>0.02</v>
      </c>
      <c r="G339" s="34" t="s">
        <v>0</v>
      </c>
      <c r="H339" s="34" t="s">
        <v>0</v>
      </c>
    </row>
    <row r="340" spans="2:8" x14ac:dyDescent="0.25">
      <c r="B340" s="16">
        <v>767747258</v>
      </c>
      <c r="C340" s="16" t="s">
        <v>484</v>
      </c>
      <c r="D340" s="19">
        <v>45729</v>
      </c>
      <c r="E340" s="16" t="s">
        <v>548</v>
      </c>
      <c r="F340" s="33">
        <v>-0.01</v>
      </c>
      <c r="G340" s="33" t="s">
        <v>0</v>
      </c>
      <c r="H340" s="33" t="s">
        <v>0</v>
      </c>
    </row>
    <row r="341" spans="2:8" x14ac:dyDescent="0.25">
      <c r="B341" s="22">
        <v>767758629</v>
      </c>
      <c r="C341" s="22" t="s">
        <v>482</v>
      </c>
      <c r="D341" s="24">
        <v>45729</v>
      </c>
      <c r="E341" s="22" t="s">
        <v>547</v>
      </c>
      <c r="F341" s="34">
        <v>0.02</v>
      </c>
      <c r="G341" s="34" t="s">
        <v>0</v>
      </c>
      <c r="H341" s="34" t="s">
        <v>0</v>
      </c>
    </row>
    <row r="342" spans="2:8" x14ac:dyDescent="0.25">
      <c r="B342" s="16">
        <v>767758630</v>
      </c>
      <c r="C342" s="16" t="s">
        <v>484</v>
      </c>
      <c r="D342" s="19">
        <v>45729</v>
      </c>
      <c r="E342" s="16" t="s">
        <v>548</v>
      </c>
      <c r="F342" s="33">
        <v>-0.01</v>
      </c>
      <c r="G342" s="33" t="s">
        <v>0</v>
      </c>
      <c r="H342" s="33" t="s">
        <v>0</v>
      </c>
    </row>
    <row r="343" spans="2:8" x14ac:dyDescent="0.25">
      <c r="B343" s="22">
        <v>767779319</v>
      </c>
      <c r="C343" s="22" t="s">
        <v>482</v>
      </c>
      <c r="D343" s="24">
        <v>45729</v>
      </c>
      <c r="E343" s="22" t="s">
        <v>547</v>
      </c>
      <c r="F343" s="34">
        <v>0.02</v>
      </c>
      <c r="G343" s="34" t="s">
        <v>0</v>
      </c>
      <c r="H343" s="34" t="s">
        <v>0</v>
      </c>
    </row>
    <row r="344" spans="2:8" x14ac:dyDescent="0.25">
      <c r="B344" s="16">
        <v>767779320</v>
      </c>
      <c r="C344" s="16" t="s">
        <v>484</v>
      </c>
      <c r="D344" s="19">
        <v>45729</v>
      </c>
      <c r="E344" s="16" t="s">
        <v>548</v>
      </c>
      <c r="F344" s="33">
        <v>-0.01</v>
      </c>
      <c r="G344" s="33" t="s">
        <v>0</v>
      </c>
      <c r="H344" s="33" t="s">
        <v>0</v>
      </c>
    </row>
    <row r="345" spans="2:8" x14ac:dyDescent="0.25">
      <c r="B345" s="22">
        <v>767786766</v>
      </c>
      <c r="C345" s="22" t="s">
        <v>482</v>
      </c>
      <c r="D345" s="24">
        <v>45729</v>
      </c>
      <c r="E345" s="22" t="s">
        <v>547</v>
      </c>
      <c r="F345" s="34">
        <v>0.04</v>
      </c>
      <c r="G345" s="34" t="s">
        <v>0</v>
      </c>
      <c r="H345" s="34" t="s">
        <v>0</v>
      </c>
    </row>
    <row r="346" spans="2:8" x14ac:dyDescent="0.25">
      <c r="B346" s="16">
        <v>767786767</v>
      </c>
      <c r="C346" s="16" t="s">
        <v>484</v>
      </c>
      <c r="D346" s="19">
        <v>45729</v>
      </c>
      <c r="E346" s="16" t="s">
        <v>548</v>
      </c>
      <c r="F346" s="33">
        <v>-0.01</v>
      </c>
      <c r="G346" s="33" t="s">
        <v>0</v>
      </c>
      <c r="H346" s="33" t="s">
        <v>0</v>
      </c>
    </row>
    <row r="347" spans="2:8" x14ac:dyDescent="0.25">
      <c r="B347" s="22">
        <v>767790405</v>
      </c>
      <c r="C347" s="22" t="s">
        <v>482</v>
      </c>
      <c r="D347" s="24">
        <v>45729</v>
      </c>
      <c r="E347" s="22" t="s">
        <v>547</v>
      </c>
      <c r="F347" s="34">
        <v>0.03</v>
      </c>
      <c r="G347" s="34" t="s">
        <v>0</v>
      </c>
      <c r="H347" s="34" t="s">
        <v>0</v>
      </c>
    </row>
    <row r="348" spans="2:8" x14ac:dyDescent="0.25">
      <c r="B348" s="16">
        <v>767790406</v>
      </c>
      <c r="C348" s="16" t="s">
        <v>484</v>
      </c>
      <c r="D348" s="19">
        <v>45729</v>
      </c>
      <c r="E348" s="16" t="s">
        <v>548</v>
      </c>
      <c r="F348" s="33">
        <v>-0.01</v>
      </c>
      <c r="G348" s="33" t="s">
        <v>0</v>
      </c>
      <c r="H348" s="33" t="s">
        <v>0</v>
      </c>
    </row>
    <row r="349" spans="2:8" x14ac:dyDescent="0.25">
      <c r="B349" s="22">
        <v>769122474</v>
      </c>
      <c r="C349" s="22" t="s">
        <v>482</v>
      </c>
      <c r="D349" s="24">
        <v>45730</v>
      </c>
      <c r="E349" s="22" t="s">
        <v>549</v>
      </c>
      <c r="F349" s="34">
        <v>0.09</v>
      </c>
      <c r="G349" s="34" t="s">
        <v>0</v>
      </c>
      <c r="H349" s="34" t="s">
        <v>0</v>
      </c>
    </row>
    <row r="350" spans="2:8" x14ac:dyDescent="0.25">
      <c r="B350" s="16">
        <v>769122475</v>
      </c>
      <c r="C350" s="16" t="s">
        <v>484</v>
      </c>
      <c r="D350" s="19">
        <v>45730</v>
      </c>
      <c r="E350" s="16" t="s">
        <v>550</v>
      </c>
      <c r="F350" s="33">
        <v>-0.03</v>
      </c>
      <c r="G350" s="33" t="s">
        <v>0</v>
      </c>
      <c r="H350" s="33" t="s">
        <v>0</v>
      </c>
    </row>
    <row r="351" spans="2:8" x14ac:dyDescent="0.25">
      <c r="B351" s="22">
        <v>769122538</v>
      </c>
      <c r="C351" s="22" t="s">
        <v>482</v>
      </c>
      <c r="D351" s="24">
        <v>45730</v>
      </c>
      <c r="E351" s="22" t="s">
        <v>549</v>
      </c>
      <c r="F351" s="34">
        <v>0.1</v>
      </c>
      <c r="G351" s="34" t="s">
        <v>0</v>
      </c>
      <c r="H351" s="34" t="s">
        <v>0</v>
      </c>
    </row>
    <row r="352" spans="2:8" x14ac:dyDescent="0.25">
      <c r="B352" s="16">
        <v>769122539</v>
      </c>
      <c r="C352" s="16" t="s">
        <v>484</v>
      </c>
      <c r="D352" s="19">
        <v>45730</v>
      </c>
      <c r="E352" s="16" t="s">
        <v>550</v>
      </c>
      <c r="F352" s="33">
        <v>-0.03</v>
      </c>
      <c r="G352" s="33" t="s">
        <v>0</v>
      </c>
      <c r="H352" s="33" t="s">
        <v>0</v>
      </c>
    </row>
    <row r="353" spans="2:8" x14ac:dyDescent="0.25">
      <c r="B353" s="22">
        <v>769122586</v>
      </c>
      <c r="C353" s="22" t="s">
        <v>482</v>
      </c>
      <c r="D353" s="24">
        <v>45730</v>
      </c>
      <c r="E353" s="22" t="s">
        <v>549</v>
      </c>
      <c r="F353" s="34">
        <v>0.11</v>
      </c>
      <c r="G353" s="34" t="s">
        <v>0</v>
      </c>
      <c r="H353" s="34" t="s">
        <v>0</v>
      </c>
    </row>
    <row r="354" spans="2:8" x14ac:dyDescent="0.25">
      <c r="B354" s="16">
        <v>769122587</v>
      </c>
      <c r="C354" s="16" t="s">
        <v>484</v>
      </c>
      <c r="D354" s="19">
        <v>45730</v>
      </c>
      <c r="E354" s="16" t="s">
        <v>550</v>
      </c>
      <c r="F354" s="33">
        <v>-0.03</v>
      </c>
      <c r="G354" s="33" t="s">
        <v>0</v>
      </c>
      <c r="H354" s="33" t="s">
        <v>0</v>
      </c>
    </row>
    <row r="355" spans="2:8" ht="31.5" x14ac:dyDescent="0.25">
      <c r="B355" s="22">
        <v>769767690</v>
      </c>
      <c r="C355" s="22" t="s">
        <v>482</v>
      </c>
      <c r="D355" s="24">
        <v>45730</v>
      </c>
      <c r="E355" s="22" t="s">
        <v>502</v>
      </c>
      <c r="F355" s="34">
        <v>85</v>
      </c>
      <c r="G355" s="34" t="s">
        <v>0</v>
      </c>
      <c r="H355" s="34" t="s">
        <v>0</v>
      </c>
    </row>
    <row r="356" spans="2:8" x14ac:dyDescent="0.25">
      <c r="B356" s="16">
        <v>770460423</v>
      </c>
      <c r="C356" s="16" t="s">
        <v>482</v>
      </c>
      <c r="D356" s="19">
        <v>45733</v>
      </c>
      <c r="E356" s="16" t="s">
        <v>544</v>
      </c>
      <c r="F356" s="33">
        <v>0.17</v>
      </c>
      <c r="G356" s="33" t="s">
        <v>0</v>
      </c>
      <c r="H356" s="33" t="s">
        <v>0</v>
      </c>
    </row>
    <row r="357" spans="2:8" x14ac:dyDescent="0.25">
      <c r="B357" s="22">
        <v>770460424</v>
      </c>
      <c r="C357" s="22" t="s">
        <v>484</v>
      </c>
      <c r="D357" s="24">
        <v>45733</v>
      </c>
      <c r="E357" s="22" t="s">
        <v>545</v>
      </c>
      <c r="F357" s="34">
        <v>-0.05</v>
      </c>
      <c r="G357" s="34" t="s">
        <v>0</v>
      </c>
      <c r="H357" s="34" t="s">
        <v>0</v>
      </c>
    </row>
    <row r="358" spans="2:8" x14ac:dyDescent="0.25">
      <c r="B358" s="16">
        <v>770463509</v>
      </c>
      <c r="C358" s="16" t="s">
        <v>482</v>
      </c>
      <c r="D358" s="19">
        <v>45733</v>
      </c>
      <c r="E358" s="16" t="s">
        <v>544</v>
      </c>
      <c r="F358" s="33">
        <v>0.15</v>
      </c>
      <c r="G358" s="33" t="s">
        <v>0</v>
      </c>
      <c r="H358" s="33" t="s">
        <v>0</v>
      </c>
    </row>
    <row r="359" spans="2:8" x14ac:dyDescent="0.25">
      <c r="B359" s="22">
        <v>770463510</v>
      </c>
      <c r="C359" s="22" t="s">
        <v>484</v>
      </c>
      <c r="D359" s="24">
        <v>45733</v>
      </c>
      <c r="E359" s="22" t="s">
        <v>545</v>
      </c>
      <c r="F359" s="34">
        <v>-0.05</v>
      </c>
      <c r="G359" s="34" t="s">
        <v>0</v>
      </c>
      <c r="H359" s="34" t="s">
        <v>0</v>
      </c>
    </row>
    <row r="360" spans="2:8" x14ac:dyDescent="0.25">
      <c r="B360" s="16">
        <v>770464758</v>
      </c>
      <c r="C360" s="16" t="s">
        <v>482</v>
      </c>
      <c r="D360" s="19">
        <v>45733</v>
      </c>
      <c r="E360" s="16" t="s">
        <v>544</v>
      </c>
      <c r="F360" s="33">
        <v>0.11</v>
      </c>
      <c r="G360" s="33" t="s">
        <v>0</v>
      </c>
      <c r="H360" s="33" t="s">
        <v>0</v>
      </c>
    </row>
    <row r="361" spans="2:8" x14ac:dyDescent="0.25">
      <c r="B361" s="22">
        <v>770464759</v>
      </c>
      <c r="C361" s="22" t="s">
        <v>484</v>
      </c>
      <c r="D361" s="24">
        <v>45733</v>
      </c>
      <c r="E361" s="22" t="s">
        <v>545</v>
      </c>
      <c r="F361" s="34">
        <v>-0.03</v>
      </c>
      <c r="G361" s="34" t="s">
        <v>0</v>
      </c>
      <c r="H361" s="34" t="s">
        <v>0</v>
      </c>
    </row>
    <row r="362" spans="2:8" x14ac:dyDescent="0.25">
      <c r="B362" s="16">
        <v>770624973</v>
      </c>
      <c r="C362" s="16" t="s">
        <v>482</v>
      </c>
      <c r="D362" s="19">
        <v>45733</v>
      </c>
      <c r="E362" s="16" t="s">
        <v>546</v>
      </c>
      <c r="F362" s="33">
        <v>0.01</v>
      </c>
      <c r="G362" s="33" t="s">
        <v>0</v>
      </c>
      <c r="H362" s="33" t="s">
        <v>0</v>
      </c>
    </row>
    <row r="363" spans="2:8" x14ac:dyDescent="0.25">
      <c r="B363" s="22">
        <v>772507751</v>
      </c>
      <c r="C363" s="22" t="s">
        <v>484</v>
      </c>
      <c r="D363" s="24">
        <v>45734</v>
      </c>
      <c r="E363" s="22" t="s">
        <v>90</v>
      </c>
      <c r="F363" s="34">
        <v>-11</v>
      </c>
      <c r="G363" s="34" t="s">
        <v>0</v>
      </c>
      <c r="H363" s="34" t="s">
        <v>0</v>
      </c>
    </row>
    <row r="364" spans="2:8" x14ac:dyDescent="0.25">
      <c r="B364" s="16">
        <v>772508164</v>
      </c>
      <c r="C364" s="16" t="s">
        <v>484</v>
      </c>
      <c r="D364" s="19">
        <v>45734</v>
      </c>
      <c r="E364" s="16" t="s">
        <v>95</v>
      </c>
      <c r="F364" s="33">
        <v>-19.98</v>
      </c>
      <c r="G364" s="33" t="s">
        <v>0</v>
      </c>
      <c r="H364" s="33" t="s">
        <v>0</v>
      </c>
    </row>
    <row r="365" spans="2:8" x14ac:dyDescent="0.25">
      <c r="B365" s="22">
        <v>777003245</v>
      </c>
      <c r="C365" s="22" t="s">
        <v>482</v>
      </c>
      <c r="D365" s="24">
        <v>45741</v>
      </c>
      <c r="E365" s="22" t="s">
        <v>551</v>
      </c>
      <c r="F365" s="34">
        <v>0.05</v>
      </c>
      <c r="G365" s="34" t="s">
        <v>0</v>
      </c>
      <c r="H365" s="34" t="s">
        <v>0</v>
      </c>
    </row>
    <row r="366" spans="2:8" x14ac:dyDescent="0.25">
      <c r="B366" s="16">
        <v>777003246</v>
      </c>
      <c r="C366" s="16" t="s">
        <v>484</v>
      </c>
      <c r="D366" s="19">
        <v>45741</v>
      </c>
      <c r="E366" s="16" t="s">
        <v>552</v>
      </c>
      <c r="F366" s="33">
        <v>-0.02</v>
      </c>
      <c r="G366" s="33" t="s">
        <v>0</v>
      </c>
      <c r="H366" s="33" t="s">
        <v>0</v>
      </c>
    </row>
    <row r="367" spans="2:8" x14ac:dyDescent="0.25">
      <c r="B367" s="22">
        <v>777003247</v>
      </c>
      <c r="C367" s="22" t="s">
        <v>482</v>
      </c>
      <c r="D367" s="24">
        <v>45741</v>
      </c>
      <c r="E367" s="22" t="s">
        <v>551</v>
      </c>
      <c r="F367" s="34">
        <v>0.05</v>
      </c>
      <c r="G367" s="34" t="s">
        <v>0</v>
      </c>
      <c r="H367" s="34" t="s">
        <v>0</v>
      </c>
    </row>
    <row r="368" spans="2:8" x14ac:dyDescent="0.25">
      <c r="B368" s="16">
        <v>777003248</v>
      </c>
      <c r="C368" s="16" t="s">
        <v>484</v>
      </c>
      <c r="D368" s="19">
        <v>45741</v>
      </c>
      <c r="E368" s="16" t="s">
        <v>552</v>
      </c>
      <c r="F368" s="33">
        <v>-0.02</v>
      </c>
      <c r="G368" s="33" t="s">
        <v>0</v>
      </c>
      <c r="H368" s="33" t="s">
        <v>0</v>
      </c>
    </row>
    <row r="369" spans="2:8" x14ac:dyDescent="0.25">
      <c r="B369" s="22">
        <v>777634904</v>
      </c>
      <c r="C369" s="22" t="s">
        <v>482</v>
      </c>
      <c r="D369" s="24">
        <v>45741</v>
      </c>
      <c r="E369" s="22" t="s">
        <v>115</v>
      </c>
      <c r="F369" s="34">
        <v>9.33</v>
      </c>
      <c r="G369" s="34" t="s">
        <v>0</v>
      </c>
      <c r="H369" s="34" t="s">
        <v>0</v>
      </c>
    </row>
    <row r="370" spans="2:8" x14ac:dyDescent="0.25">
      <c r="B370" s="16">
        <v>778291256</v>
      </c>
      <c r="C370" s="16" t="s">
        <v>482</v>
      </c>
      <c r="D370" s="19">
        <v>45742</v>
      </c>
      <c r="E370" s="16" t="s">
        <v>554</v>
      </c>
      <c r="F370" s="33">
        <v>0</v>
      </c>
      <c r="G370" s="33" t="s">
        <v>0</v>
      </c>
      <c r="H370" s="33" t="s">
        <v>0</v>
      </c>
    </row>
    <row r="371" spans="2:8" x14ac:dyDescent="0.25">
      <c r="B371" s="22">
        <v>778733045</v>
      </c>
      <c r="C371" s="22" t="s">
        <v>482</v>
      </c>
      <c r="D371" s="24">
        <v>45742</v>
      </c>
      <c r="E371" s="22" t="s">
        <v>122</v>
      </c>
      <c r="F371" s="34">
        <v>4.55</v>
      </c>
      <c r="G371" s="34" t="s">
        <v>0</v>
      </c>
      <c r="H371" s="34" t="s">
        <v>0</v>
      </c>
    </row>
    <row r="372" spans="2:8" ht="31.5" x14ac:dyDescent="0.25">
      <c r="B372" s="16">
        <v>778903820</v>
      </c>
      <c r="C372" s="16" t="s">
        <v>482</v>
      </c>
      <c r="D372" s="19">
        <v>45743</v>
      </c>
      <c r="E372" s="16" t="s">
        <v>503</v>
      </c>
      <c r="F372" s="33">
        <v>85</v>
      </c>
      <c r="G372" s="33" t="s">
        <v>0</v>
      </c>
      <c r="H372" s="33" t="s">
        <v>0</v>
      </c>
    </row>
    <row r="373" spans="2:8" x14ac:dyDescent="0.25">
      <c r="B373" s="22">
        <v>779582657</v>
      </c>
      <c r="C373" s="22" t="s">
        <v>482</v>
      </c>
      <c r="D373" s="24">
        <v>45743</v>
      </c>
      <c r="E373" s="22" t="s">
        <v>555</v>
      </c>
      <c r="F373" s="34">
        <v>0</v>
      </c>
      <c r="G373" s="34" t="s">
        <v>0</v>
      </c>
      <c r="H373" s="34" t="s">
        <v>0</v>
      </c>
    </row>
    <row r="374" spans="2:8" x14ac:dyDescent="0.25">
      <c r="B374" s="16">
        <v>779864523</v>
      </c>
      <c r="C374" s="16" t="s">
        <v>484</v>
      </c>
      <c r="D374" s="19">
        <v>45743</v>
      </c>
      <c r="E374" s="16" t="s">
        <v>143</v>
      </c>
      <c r="F374" s="33">
        <v>-46.11</v>
      </c>
      <c r="G374" s="33" t="s">
        <v>0</v>
      </c>
      <c r="H374" s="33" t="s">
        <v>0</v>
      </c>
    </row>
    <row r="375" spans="2:8" x14ac:dyDescent="0.25">
      <c r="B375" s="22">
        <v>779865080</v>
      </c>
      <c r="C375" s="22" t="s">
        <v>484</v>
      </c>
      <c r="D375" s="24">
        <v>45743</v>
      </c>
      <c r="E375" s="22" t="s">
        <v>148</v>
      </c>
      <c r="F375" s="34">
        <v>-10</v>
      </c>
      <c r="G375" s="34" t="s">
        <v>0</v>
      </c>
      <c r="H375" s="34" t="s">
        <v>0</v>
      </c>
    </row>
    <row r="376" spans="2:8" x14ac:dyDescent="0.25">
      <c r="B376" s="16">
        <v>779868723</v>
      </c>
      <c r="C376" s="16" t="s">
        <v>482</v>
      </c>
      <c r="D376" s="19">
        <v>45743</v>
      </c>
      <c r="E376" s="16" t="s">
        <v>155</v>
      </c>
      <c r="F376" s="33">
        <v>2.04</v>
      </c>
      <c r="G376" s="33" t="s">
        <v>0</v>
      </c>
      <c r="H376" s="33" t="s">
        <v>0</v>
      </c>
    </row>
    <row r="377" spans="2:8" x14ac:dyDescent="0.25">
      <c r="B377" s="22">
        <v>779868933</v>
      </c>
      <c r="C377" s="22" t="s">
        <v>482</v>
      </c>
      <c r="D377" s="24">
        <v>45743</v>
      </c>
      <c r="E377" s="22" t="s">
        <v>130</v>
      </c>
      <c r="F377" s="34">
        <v>2.06</v>
      </c>
      <c r="G377" s="34" t="s">
        <v>0</v>
      </c>
      <c r="H377" s="34" t="s">
        <v>0</v>
      </c>
    </row>
    <row r="378" spans="2:8" x14ac:dyDescent="0.25">
      <c r="B378" s="16">
        <v>779869187</v>
      </c>
      <c r="C378" s="16" t="s">
        <v>484</v>
      </c>
      <c r="D378" s="19">
        <v>45743</v>
      </c>
      <c r="E378" s="16" t="s">
        <v>132</v>
      </c>
      <c r="F378" s="33">
        <v>-21.13</v>
      </c>
      <c r="G378" s="33" t="s">
        <v>0</v>
      </c>
      <c r="H378" s="33" t="s">
        <v>0</v>
      </c>
    </row>
    <row r="379" spans="2:8" x14ac:dyDescent="0.25">
      <c r="B379" s="22">
        <v>779869903</v>
      </c>
      <c r="C379" s="22" t="s">
        <v>482</v>
      </c>
      <c r="D379" s="24">
        <v>45743</v>
      </c>
      <c r="E379" s="22" t="s">
        <v>142</v>
      </c>
      <c r="F379" s="34">
        <v>10.25</v>
      </c>
      <c r="G379" s="34" t="s">
        <v>0</v>
      </c>
      <c r="H379" s="34" t="s">
        <v>0</v>
      </c>
    </row>
    <row r="380" spans="2:8" x14ac:dyDescent="0.25">
      <c r="B380" s="16">
        <v>779875711</v>
      </c>
      <c r="C380" s="16" t="s">
        <v>484</v>
      </c>
      <c r="D380" s="19">
        <v>45743</v>
      </c>
      <c r="E380" s="16" t="s">
        <v>156</v>
      </c>
      <c r="F380" s="33">
        <v>-72.87</v>
      </c>
      <c r="G380" s="33" t="s">
        <v>0</v>
      </c>
      <c r="H380" s="33" t="s">
        <v>0</v>
      </c>
    </row>
    <row r="381" spans="2:8" x14ac:dyDescent="0.25">
      <c r="B381" s="22">
        <v>780796413</v>
      </c>
      <c r="C381" s="22" t="s">
        <v>482</v>
      </c>
      <c r="D381" s="24">
        <v>45744</v>
      </c>
      <c r="E381" s="22" t="s">
        <v>558</v>
      </c>
      <c r="F381" s="34">
        <v>0</v>
      </c>
      <c r="G381" s="34" t="s">
        <v>0</v>
      </c>
      <c r="H381" s="34" t="s">
        <v>0</v>
      </c>
    </row>
    <row r="382" spans="2:8" x14ac:dyDescent="0.25">
      <c r="B382" s="16">
        <v>780803346</v>
      </c>
      <c r="C382" s="16" t="s">
        <v>482</v>
      </c>
      <c r="D382" s="19">
        <v>45744</v>
      </c>
      <c r="E382" s="16" t="s">
        <v>556</v>
      </c>
      <c r="F382" s="33">
        <v>0</v>
      </c>
      <c r="G382" s="33" t="s">
        <v>0</v>
      </c>
      <c r="H382" s="33" t="s">
        <v>0</v>
      </c>
    </row>
    <row r="383" spans="2:8" x14ac:dyDescent="0.25">
      <c r="B383" s="22">
        <v>780808318</v>
      </c>
      <c r="C383" s="22" t="s">
        <v>482</v>
      </c>
      <c r="D383" s="24">
        <v>45744</v>
      </c>
      <c r="E383" s="22" t="s">
        <v>557</v>
      </c>
      <c r="F383" s="34">
        <v>0</v>
      </c>
      <c r="G383" s="34" t="s">
        <v>0</v>
      </c>
      <c r="H383" s="34" t="s">
        <v>0</v>
      </c>
    </row>
    <row r="384" spans="2:8" x14ac:dyDescent="0.25">
      <c r="B384" s="16">
        <v>781014425</v>
      </c>
      <c r="C384" s="16" t="s">
        <v>484</v>
      </c>
      <c r="D384" s="19">
        <v>45744</v>
      </c>
      <c r="E384" s="16" t="s">
        <v>157</v>
      </c>
      <c r="F384" s="33">
        <v>-15</v>
      </c>
      <c r="G384" s="33" t="s">
        <v>0</v>
      </c>
      <c r="H384" s="33" t="s">
        <v>0</v>
      </c>
    </row>
    <row r="385" spans="2:8" x14ac:dyDescent="0.25">
      <c r="B385" s="22">
        <v>782151528</v>
      </c>
      <c r="C385" s="22" t="s">
        <v>482</v>
      </c>
      <c r="D385" s="24">
        <v>45747</v>
      </c>
      <c r="E385" s="22" t="s">
        <v>559</v>
      </c>
      <c r="F385" s="34">
        <v>0.12</v>
      </c>
      <c r="G385" s="34" t="s">
        <v>0</v>
      </c>
      <c r="H385" s="34" t="s">
        <v>0</v>
      </c>
    </row>
    <row r="386" spans="2:8" x14ac:dyDescent="0.25">
      <c r="B386" s="16">
        <v>782151529</v>
      </c>
      <c r="C386" s="16" t="s">
        <v>484</v>
      </c>
      <c r="D386" s="19">
        <v>45747</v>
      </c>
      <c r="E386" s="16" t="s">
        <v>560</v>
      </c>
      <c r="F386" s="33">
        <v>-0.04</v>
      </c>
      <c r="G386" s="33" t="s">
        <v>0</v>
      </c>
      <c r="H386" s="33" t="s">
        <v>0</v>
      </c>
    </row>
    <row r="387" spans="2:8" x14ac:dyDescent="0.25">
      <c r="B387" s="22">
        <v>782177357</v>
      </c>
      <c r="C387" s="22" t="s">
        <v>482</v>
      </c>
      <c r="D387" s="24">
        <v>45747</v>
      </c>
      <c r="E387" s="22" t="s">
        <v>559</v>
      </c>
      <c r="F387" s="34">
        <v>0.08</v>
      </c>
      <c r="G387" s="34" t="s">
        <v>0</v>
      </c>
      <c r="H387" s="34" t="s">
        <v>0</v>
      </c>
    </row>
    <row r="388" spans="2:8" x14ac:dyDescent="0.25">
      <c r="B388" s="16">
        <v>782177358</v>
      </c>
      <c r="C388" s="16" t="s">
        <v>484</v>
      </c>
      <c r="D388" s="19">
        <v>45747</v>
      </c>
      <c r="E388" s="16" t="s">
        <v>560</v>
      </c>
      <c r="F388" s="33">
        <v>-0.02</v>
      </c>
      <c r="G388" s="33" t="s">
        <v>0</v>
      </c>
      <c r="H388" s="33" t="s">
        <v>0</v>
      </c>
    </row>
    <row r="389" spans="2:8" x14ac:dyDescent="0.25">
      <c r="B389" s="22">
        <v>782177784</v>
      </c>
      <c r="C389" s="22" t="s">
        <v>482</v>
      </c>
      <c r="D389" s="24">
        <v>45747</v>
      </c>
      <c r="E389" s="22" t="s">
        <v>559</v>
      </c>
      <c r="F389" s="34">
        <v>0.1</v>
      </c>
      <c r="G389" s="34" t="s">
        <v>0</v>
      </c>
      <c r="H389" s="34" t="s">
        <v>0</v>
      </c>
    </row>
    <row r="390" spans="2:8" x14ac:dyDescent="0.25">
      <c r="B390" s="16">
        <v>782177785</v>
      </c>
      <c r="C390" s="16" t="s">
        <v>484</v>
      </c>
      <c r="D390" s="19">
        <v>45747</v>
      </c>
      <c r="E390" s="16" t="s">
        <v>560</v>
      </c>
      <c r="F390" s="33">
        <v>-0.03</v>
      </c>
      <c r="G390" s="33" t="s">
        <v>0</v>
      </c>
      <c r="H390" s="33" t="s">
        <v>0</v>
      </c>
    </row>
    <row r="391" spans="2:8" x14ac:dyDescent="0.25">
      <c r="B391" s="22">
        <v>782179517</v>
      </c>
      <c r="C391" s="22" t="s">
        <v>482</v>
      </c>
      <c r="D391" s="24">
        <v>45747</v>
      </c>
      <c r="E391" s="22" t="s">
        <v>559</v>
      </c>
      <c r="F391" s="34">
        <v>0.16</v>
      </c>
      <c r="G391" s="34" t="s">
        <v>0</v>
      </c>
      <c r="H391" s="34" t="s">
        <v>0</v>
      </c>
    </row>
    <row r="392" spans="2:8" x14ac:dyDescent="0.25">
      <c r="B392" s="16">
        <v>782179518</v>
      </c>
      <c r="C392" s="16" t="s">
        <v>484</v>
      </c>
      <c r="D392" s="19">
        <v>45747</v>
      </c>
      <c r="E392" s="16" t="s">
        <v>560</v>
      </c>
      <c r="F392" s="33">
        <v>-0.05</v>
      </c>
      <c r="G392" s="33" t="s">
        <v>0</v>
      </c>
      <c r="H392" s="33" t="s">
        <v>0</v>
      </c>
    </row>
    <row r="393" spans="2:8" x14ac:dyDescent="0.25">
      <c r="B393" s="22">
        <v>782184116</v>
      </c>
      <c r="C393" s="22" t="s">
        <v>482</v>
      </c>
      <c r="D393" s="24">
        <v>45747</v>
      </c>
      <c r="E393" s="22" t="s">
        <v>559</v>
      </c>
      <c r="F393" s="34">
        <v>0.14000000000000001</v>
      </c>
      <c r="G393" s="34" t="s">
        <v>0</v>
      </c>
      <c r="H393" s="34" t="s">
        <v>0</v>
      </c>
    </row>
    <row r="394" spans="2:8" x14ac:dyDescent="0.25">
      <c r="B394" s="16">
        <v>782184117</v>
      </c>
      <c r="C394" s="16" t="s">
        <v>484</v>
      </c>
      <c r="D394" s="19">
        <v>45747</v>
      </c>
      <c r="E394" s="16" t="s">
        <v>560</v>
      </c>
      <c r="F394" s="33">
        <v>-0.04</v>
      </c>
      <c r="G394" s="33" t="s">
        <v>0</v>
      </c>
      <c r="H394" s="33" t="s">
        <v>0</v>
      </c>
    </row>
    <row r="395" spans="2:8" x14ac:dyDescent="0.25">
      <c r="B395" s="22">
        <v>782201892</v>
      </c>
      <c r="C395" s="22" t="s">
        <v>482</v>
      </c>
      <c r="D395" s="24">
        <v>45747</v>
      </c>
      <c r="E395" s="22" t="s">
        <v>559</v>
      </c>
      <c r="F395" s="34">
        <v>0.08</v>
      </c>
      <c r="G395" s="34" t="s">
        <v>0</v>
      </c>
      <c r="H395" s="34" t="s">
        <v>0</v>
      </c>
    </row>
    <row r="396" spans="2:8" x14ac:dyDescent="0.25">
      <c r="B396" s="16">
        <v>782201893</v>
      </c>
      <c r="C396" s="16" t="s">
        <v>484</v>
      </c>
      <c r="D396" s="19">
        <v>45747</v>
      </c>
      <c r="E396" s="16" t="s">
        <v>560</v>
      </c>
      <c r="F396" s="33">
        <v>-0.02</v>
      </c>
      <c r="G396" s="33" t="s">
        <v>0</v>
      </c>
      <c r="H396" s="33" t="s">
        <v>0</v>
      </c>
    </row>
    <row r="397" spans="2:8" x14ac:dyDescent="0.25">
      <c r="B397" s="22">
        <v>785269866</v>
      </c>
      <c r="C397" s="22" t="s">
        <v>482</v>
      </c>
      <c r="D397" s="24">
        <v>45749</v>
      </c>
      <c r="E397" s="22" t="s">
        <v>561</v>
      </c>
      <c r="F397" s="34">
        <v>0.13</v>
      </c>
      <c r="G397" s="34" t="s">
        <v>0</v>
      </c>
      <c r="H397" s="34" t="s">
        <v>0</v>
      </c>
    </row>
    <row r="398" spans="2:8" x14ac:dyDescent="0.25">
      <c r="B398" s="16">
        <v>785269867</v>
      </c>
      <c r="C398" s="16" t="s">
        <v>484</v>
      </c>
      <c r="D398" s="19">
        <v>45749</v>
      </c>
      <c r="E398" s="16" t="s">
        <v>562</v>
      </c>
      <c r="F398" s="33">
        <v>-0.04</v>
      </c>
      <c r="G398" s="33" t="s">
        <v>0</v>
      </c>
      <c r="H398" s="33" t="s">
        <v>0</v>
      </c>
    </row>
    <row r="399" spans="2:8" x14ac:dyDescent="0.25">
      <c r="B399" s="22">
        <v>785270069</v>
      </c>
      <c r="C399" s="22" t="s">
        <v>482</v>
      </c>
      <c r="D399" s="24">
        <v>45749</v>
      </c>
      <c r="E399" s="22" t="s">
        <v>561</v>
      </c>
      <c r="F399" s="34">
        <v>0.1</v>
      </c>
      <c r="G399" s="34" t="s">
        <v>0</v>
      </c>
      <c r="H399" s="34" t="s">
        <v>0</v>
      </c>
    </row>
    <row r="400" spans="2:8" x14ac:dyDescent="0.25">
      <c r="B400" s="16">
        <v>785270070</v>
      </c>
      <c r="C400" s="16" t="s">
        <v>484</v>
      </c>
      <c r="D400" s="19">
        <v>45749</v>
      </c>
      <c r="E400" s="16" t="s">
        <v>562</v>
      </c>
      <c r="F400" s="33">
        <v>-0.03</v>
      </c>
      <c r="G400" s="33" t="s">
        <v>0</v>
      </c>
      <c r="H400" s="33" t="s">
        <v>0</v>
      </c>
    </row>
    <row r="401" spans="2:8" x14ac:dyDescent="0.25">
      <c r="B401" s="22">
        <v>785270081</v>
      </c>
      <c r="C401" s="22" t="s">
        <v>482</v>
      </c>
      <c r="D401" s="24">
        <v>45749</v>
      </c>
      <c r="E401" s="22" t="s">
        <v>561</v>
      </c>
      <c r="F401" s="34">
        <v>0.17</v>
      </c>
      <c r="G401" s="34" t="s">
        <v>0</v>
      </c>
      <c r="H401" s="34" t="s">
        <v>0</v>
      </c>
    </row>
    <row r="402" spans="2:8" x14ac:dyDescent="0.25">
      <c r="B402" s="16">
        <v>785270082</v>
      </c>
      <c r="C402" s="16" t="s">
        <v>484</v>
      </c>
      <c r="D402" s="19">
        <v>45749</v>
      </c>
      <c r="E402" s="16" t="s">
        <v>562</v>
      </c>
      <c r="F402" s="33">
        <v>-0.05</v>
      </c>
      <c r="G402" s="33" t="s">
        <v>0</v>
      </c>
      <c r="H402" s="33" t="s">
        <v>0</v>
      </c>
    </row>
    <row r="403" spans="2:8" x14ac:dyDescent="0.25">
      <c r="B403" s="22">
        <v>785270529</v>
      </c>
      <c r="C403" s="22" t="s">
        <v>482</v>
      </c>
      <c r="D403" s="24">
        <v>45749</v>
      </c>
      <c r="E403" s="22" t="s">
        <v>561</v>
      </c>
      <c r="F403" s="34">
        <v>0.1</v>
      </c>
      <c r="G403" s="34" t="s">
        <v>0</v>
      </c>
      <c r="H403" s="34" t="s">
        <v>0</v>
      </c>
    </row>
    <row r="404" spans="2:8" x14ac:dyDescent="0.25">
      <c r="B404" s="16">
        <v>785270530</v>
      </c>
      <c r="C404" s="16" t="s">
        <v>484</v>
      </c>
      <c r="D404" s="19">
        <v>45749</v>
      </c>
      <c r="E404" s="16" t="s">
        <v>562</v>
      </c>
      <c r="F404" s="33">
        <v>-0.03</v>
      </c>
      <c r="G404" s="33" t="s">
        <v>0</v>
      </c>
      <c r="H404" s="33" t="s">
        <v>0</v>
      </c>
    </row>
    <row r="405" spans="2:8" x14ac:dyDescent="0.25">
      <c r="B405" s="22">
        <v>785270735</v>
      </c>
      <c r="C405" s="22" t="s">
        <v>482</v>
      </c>
      <c r="D405" s="24">
        <v>45749</v>
      </c>
      <c r="E405" s="22" t="s">
        <v>561</v>
      </c>
      <c r="F405" s="34">
        <v>0.14000000000000001</v>
      </c>
      <c r="G405" s="34" t="s">
        <v>0</v>
      </c>
      <c r="H405" s="34" t="s">
        <v>0</v>
      </c>
    </row>
    <row r="406" spans="2:8" x14ac:dyDescent="0.25">
      <c r="B406" s="16">
        <v>785270736</v>
      </c>
      <c r="C406" s="16" t="s">
        <v>484</v>
      </c>
      <c r="D406" s="19">
        <v>45749</v>
      </c>
      <c r="E406" s="16" t="s">
        <v>562</v>
      </c>
      <c r="F406" s="33">
        <v>-0.04</v>
      </c>
      <c r="G406" s="33" t="s">
        <v>0</v>
      </c>
      <c r="H406" s="33" t="s">
        <v>0</v>
      </c>
    </row>
    <row r="407" spans="2:8" x14ac:dyDescent="0.25">
      <c r="B407" s="22">
        <v>786566950</v>
      </c>
      <c r="C407" s="22" t="s">
        <v>482</v>
      </c>
      <c r="D407" s="24">
        <v>45750</v>
      </c>
      <c r="E407" s="22" t="s">
        <v>565</v>
      </c>
      <c r="F407" s="34">
        <v>0.24</v>
      </c>
      <c r="G407" s="34" t="s">
        <v>0</v>
      </c>
      <c r="H407" s="34" t="s">
        <v>0</v>
      </c>
    </row>
    <row r="408" spans="2:8" x14ac:dyDescent="0.25">
      <c r="B408" s="16">
        <v>786566951</v>
      </c>
      <c r="C408" s="16" t="s">
        <v>484</v>
      </c>
      <c r="D408" s="19">
        <v>45750</v>
      </c>
      <c r="E408" s="16" t="s">
        <v>566</v>
      </c>
      <c r="F408" s="33">
        <v>-7.0000000000000007E-2</v>
      </c>
      <c r="G408" s="33" t="s">
        <v>0</v>
      </c>
      <c r="H408" s="33" t="s">
        <v>0</v>
      </c>
    </row>
    <row r="409" spans="2:8" x14ac:dyDescent="0.25">
      <c r="B409" s="22">
        <v>789436100</v>
      </c>
      <c r="C409" s="22" t="s">
        <v>484</v>
      </c>
      <c r="D409" s="24">
        <v>45751</v>
      </c>
      <c r="E409" s="22" t="s">
        <v>161</v>
      </c>
      <c r="F409" s="34">
        <v>-10</v>
      </c>
      <c r="G409" s="34" t="s">
        <v>0</v>
      </c>
      <c r="H409" s="34" t="s">
        <v>0</v>
      </c>
    </row>
    <row r="410" spans="2:8" ht="31.5" x14ac:dyDescent="0.25">
      <c r="B410" s="16">
        <v>789465419</v>
      </c>
      <c r="C410" s="16" t="s">
        <v>482</v>
      </c>
      <c r="D410" s="19">
        <v>45751</v>
      </c>
      <c r="E410" s="16" t="s">
        <v>504</v>
      </c>
      <c r="F410" s="33">
        <v>200</v>
      </c>
      <c r="G410" s="33" t="s">
        <v>0</v>
      </c>
      <c r="H410" s="33" t="s">
        <v>0</v>
      </c>
    </row>
    <row r="411" spans="2:8" x14ac:dyDescent="0.25">
      <c r="B411" s="22">
        <v>789480903</v>
      </c>
      <c r="C411" s="22" t="s">
        <v>484</v>
      </c>
      <c r="D411" s="24">
        <v>45751</v>
      </c>
      <c r="E411" s="22" t="s">
        <v>165</v>
      </c>
      <c r="F411" s="34">
        <v>-40</v>
      </c>
      <c r="G411" s="34" t="s">
        <v>0</v>
      </c>
      <c r="H411" s="34" t="s">
        <v>0</v>
      </c>
    </row>
    <row r="412" spans="2:8" x14ac:dyDescent="0.25">
      <c r="B412" s="16">
        <v>789487406</v>
      </c>
      <c r="C412" s="16" t="s">
        <v>484</v>
      </c>
      <c r="D412" s="19">
        <v>45751</v>
      </c>
      <c r="E412" s="16" t="s">
        <v>167</v>
      </c>
      <c r="F412" s="33">
        <v>-7.45</v>
      </c>
      <c r="G412" s="33" t="s">
        <v>0</v>
      </c>
      <c r="H412" s="33" t="s">
        <v>0</v>
      </c>
    </row>
    <row r="413" spans="2:8" x14ac:dyDescent="0.25">
      <c r="B413" s="22">
        <v>789487423</v>
      </c>
      <c r="C413" s="22" t="s">
        <v>484</v>
      </c>
      <c r="D413" s="24">
        <v>45751</v>
      </c>
      <c r="E413" s="22" t="s">
        <v>166</v>
      </c>
      <c r="F413" s="34">
        <v>-17.54</v>
      </c>
      <c r="G413" s="34" t="s">
        <v>0</v>
      </c>
      <c r="H413" s="34" t="s">
        <v>0</v>
      </c>
    </row>
    <row r="414" spans="2:8" x14ac:dyDescent="0.25">
      <c r="B414" s="16">
        <v>789492457</v>
      </c>
      <c r="C414" s="16" t="s">
        <v>484</v>
      </c>
      <c r="D414" s="19">
        <v>45751</v>
      </c>
      <c r="E414" s="16" t="s">
        <v>163</v>
      </c>
      <c r="F414" s="33">
        <v>-19.989999999999998</v>
      </c>
      <c r="G414" s="33" t="s">
        <v>0</v>
      </c>
      <c r="H414" s="33" t="s">
        <v>0</v>
      </c>
    </row>
    <row r="415" spans="2:8" x14ac:dyDescent="0.25">
      <c r="B415" s="22">
        <v>789493151</v>
      </c>
      <c r="C415" s="22" t="s">
        <v>484</v>
      </c>
      <c r="D415" s="24">
        <v>45751</v>
      </c>
      <c r="E415" s="22" t="s">
        <v>164</v>
      </c>
      <c r="F415" s="34">
        <v>-74.13</v>
      </c>
      <c r="G415" s="34" t="s">
        <v>0</v>
      </c>
      <c r="H415" s="34" t="s">
        <v>0</v>
      </c>
    </row>
    <row r="416" spans="2:8" x14ac:dyDescent="0.25">
      <c r="B416" s="16">
        <v>792553486</v>
      </c>
      <c r="C416" s="16" t="s">
        <v>484</v>
      </c>
      <c r="D416" s="19">
        <v>45754</v>
      </c>
      <c r="E416" s="16" t="s">
        <v>168</v>
      </c>
      <c r="F416" s="33">
        <v>-41.06</v>
      </c>
      <c r="G416" s="33" t="s">
        <v>0</v>
      </c>
      <c r="H416" s="33" t="s">
        <v>0</v>
      </c>
    </row>
    <row r="417" spans="2:8" x14ac:dyDescent="0.25">
      <c r="B417" s="22">
        <v>792744354</v>
      </c>
      <c r="C417" s="22" t="s">
        <v>482</v>
      </c>
      <c r="D417" s="24">
        <v>45754</v>
      </c>
      <c r="E417" s="22" t="s">
        <v>170</v>
      </c>
      <c r="F417" s="34">
        <v>10.99</v>
      </c>
      <c r="G417" s="34" t="s">
        <v>0</v>
      </c>
      <c r="H417" s="34" t="s">
        <v>0</v>
      </c>
    </row>
    <row r="418" spans="2:8" x14ac:dyDescent="0.25">
      <c r="B418" s="16">
        <v>792744356</v>
      </c>
      <c r="C418" s="16" t="s">
        <v>482</v>
      </c>
      <c r="D418" s="19">
        <v>45754</v>
      </c>
      <c r="E418" s="16" t="s">
        <v>172</v>
      </c>
      <c r="F418" s="33">
        <v>10</v>
      </c>
      <c r="G418" s="33" t="s">
        <v>0</v>
      </c>
      <c r="H418" s="33" t="s">
        <v>0</v>
      </c>
    </row>
    <row r="419" spans="2:8" x14ac:dyDescent="0.25">
      <c r="B419" s="22">
        <v>792744359</v>
      </c>
      <c r="C419" s="22" t="s">
        <v>482</v>
      </c>
      <c r="D419" s="24">
        <v>45754</v>
      </c>
      <c r="E419" s="22" t="s">
        <v>174</v>
      </c>
      <c r="F419" s="34">
        <v>7.72</v>
      </c>
      <c r="G419" s="34" t="s">
        <v>0</v>
      </c>
      <c r="H419" s="34" t="s">
        <v>0</v>
      </c>
    </row>
    <row r="420" spans="2:8" x14ac:dyDescent="0.25">
      <c r="B420" s="16">
        <v>795029431</v>
      </c>
      <c r="C420" s="16" t="s">
        <v>482</v>
      </c>
      <c r="D420" s="19">
        <v>45755</v>
      </c>
      <c r="E420" s="16" t="s">
        <v>568</v>
      </c>
      <c r="F420" s="33">
        <v>0</v>
      </c>
      <c r="G420" s="33" t="s">
        <v>0</v>
      </c>
      <c r="H420" s="33" t="s">
        <v>0</v>
      </c>
    </row>
    <row r="421" spans="2:8" x14ac:dyDescent="0.25">
      <c r="B421" s="22">
        <v>795056419</v>
      </c>
      <c r="C421" s="22" t="s">
        <v>484</v>
      </c>
      <c r="D421" s="24">
        <v>45755</v>
      </c>
      <c r="E421" s="22" t="s">
        <v>176</v>
      </c>
      <c r="F421" s="34">
        <v>-9.98</v>
      </c>
      <c r="G421" s="34" t="s">
        <v>0</v>
      </c>
      <c r="H421" s="34" t="s">
        <v>0</v>
      </c>
    </row>
    <row r="422" spans="2:8" x14ac:dyDescent="0.25">
      <c r="B422" s="16">
        <v>795057235</v>
      </c>
      <c r="C422" s="16" t="s">
        <v>484</v>
      </c>
      <c r="D422" s="19">
        <v>45755</v>
      </c>
      <c r="E422" s="16" t="s">
        <v>177</v>
      </c>
      <c r="F422" s="33">
        <v>-9.99</v>
      </c>
      <c r="G422" s="33" t="s">
        <v>0</v>
      </c>
      <c r="H422" s="33" t="s">
        <v>0</v>
      </c>
    </row>
    <row r="423" spans="2:8" x14ac:dyDescent="0.25">
      <c r="B423" s="22">
        <v>797443872</v>
      </c>
      <c r="C423" s="22" t="s">
        <v>482</v>
      </c>
      <c r="D423" s="24">
        <v>45757</v>
      </c>
      <c r="E423" s="22" t="s">
        <v>569</v>
      </c>
      <c r="F423" s="34">
        <v>0.06</v>
      </c>
      <c r="G423" s="34" t="s">
        <v>0</v>
      </c>
      <c r="H423" s="34" t="s">
        <v>0</v>
      </c>
    </row>
    <row r="424" spans="2:8" x14ac:dyDescent="0.25">
      <c r="B424" s="16">
        <v>797443873</v>
      </c>
      <c r="C424" s="16" t="s">
        <v>484</v>
      </c>
      <c r="D424" s="19">
        <v>45757</v>
      </c>
      <c r="E424" s="16" t="s">
        <v>570</v>
      </c>
      <c r="F424" s="33">
        <v>-0.01</v>
      </c>
      <c r="G424" s="33" t="s">
        <v>0</v>
      </c>
      <c r="H424" s="33" t="s">
        <v>0</v>
      </c>
    </row>
    <row r="425" spans="2:8" x14ac:dyDescent="0.25">
      <c r="B425" s="22">
        <v>797469070</v>
      </c>
      <c r="C425" s="22" t="s">
        <v>482</v>
      </c>
      <c r="D425" s="24">
        <v>45757</v>
      </c>
      <c r="E425" s="22" t="s">
        <v>569</v>
      </c>
      <c r="F425" s="34">
        <v>0.05</v>
      </c>
      <c r="G425" s="34" t="s">
        <v>0</v>
      </c>
      <c r="H425" s="34" t="s">
        <v>0</v>
      </c>
    </row>
    <row r="426" spans="2:8" x14ac:dyDescent="0.25">
      <c r="B426" s="16">
        <v>797469071</v>
      </c>
      <c r="C426" s="16" t="s">
        <v>484</v>
      </c>
      <c r="D426" s="19">
        <v>45757</v>
      </c>
      <c r="E426" s="16" t="s">
        <v>570</v>
      </c>
      <c r="F426" s="33">
        <v>-0.01</v>
      </c>
      <c r="G426" s="33" t="s">
        <v>0</v>
      </c>
      <c r="H426" s="33" t="s">
        <v>0</v>
      </c>
    </row>
    <row r="427" spans="2:8" x14ac:dyDescent="0.25">
      <c r="B427" s="22">
        <v>797471608</v>
      </c>
      <c r="C427" s="22" t="s">
        <v>482</v>
      </c>
      <c r="D427" s="24">
        <v>45757</v>
      </c>
      <c r="E427" s="22" t="s">
        <v>569</v>
      </c>
      <c r="F427" s="34">
        <v>0.05</v>
      </c>
      <c r="G427" s="34" t="s">
        <v>0</v>
      </c>
      <c r="H427" s="34" t="s">
        <v>0</v>
      </c>
    </row>
    <row r="428" spans="2:8" x14ac:dyDescent="0.25">
      <c r="B428" s="16">
        <v>797471609</v>
      </c>
      <c r="C428" s="16" t="s">
        <v>484</v>
      </c>
      <c r="D428" s="19">
        <v>45757</v>
      </c>
      <c r="E428" s="16" t="s">
        <v>570</v>
      </c>
      <c r="F428" s="33">
        <v>-0.01</v>
      </c>
      <c r="G428" s="33" t="s">
        <v>0</v>
      </c>
      <c r="H428" s="33" t="s">
        <v>0</v>
      </c>
    </row>
    <row r="429" spans="2:8" x14ac:dyDescent="0.25">
      <c r="B429" s="22">
        <v>797484070</v>
      </c>
      <c r="C429" s="22" t="s">
        <v>482</v>
      </c>
      <c r="D429" s="24">
        <v>45757</v>
      </c>
      <c r="E429" s="22" t="s">
        <v>569</v>
      </c>
      <c r="F429" s="34">
        <v>0.13</v>
      </c>
      <c r="G429" s="34" t="s">
        <v>0</v>
      </c>
      <c r="H429" s="34" t="s">
        <v>0</v>
      </c>
    </row>
    <row r="430" spans="2:8" x14ac:dyDescent="0.25">
      <c r="B430" s="16">
        <v>797484071</v>
      </c>
      <c r="C430" s="16" t="s">
        <v>484</v>
      </c>
      <c r="D430" s="19">
        <v>45757</v>
      </c>
      <c r="E430" s="16" t="s">
        <v>570</v>
      </c>
      <c r="F430" s="33">
        <v>-0.03</v>
      </c>
      <c r="G430" s="33" t="s">
        <v>0</v>
      </c>
      <c r="H430" s="33" t="s">
        <v>0</v>
      </c>
    </row>
    <row r="431" spans="2:8" x14ac:dyDescent="0.25">
      <c r="B431" s="22">
        <v>797512370</v>
      </c>
      <c r="C431" s="22" t="s">
        <v>482</v>
      </c>
      <c r="D431" s="24">
        <v>45757</v>
      </c>
      <c r="E431" s="22" t="s">
        <v>569</v>
      </c>
      <c r="F431" s="34">
        <v>0.05</v>
      </c>
      <c r="G431" s="34" t="s">
        <v>0</v>
      </c>
      <c r="H431" s="34" t="s">
        <v>0</v>
      </c>
    </row>
    <row r="432" spans="2:8" x14ac:dyDescent="0.25">
      <c r="B432" s="16">
        <v>797512371</v>
      </c>
      <c r="C432" s="16" t="s">
        <v>484</v>
      </c>
      <c r="D432" s="19">
        <v>45757</v>
      </c>
      <c r="E432" s="16" t="s">
        <v>570</v>
      </c>
      <c r="F432" s="33">
        <v>-0.01</v>
      </c>
      <c r="G432" s="33" t="s">
        <v>0</v>
      </c>
      <c r="H432" s="33" t="s">
        <v>0</v>
      </c>
    </row>
    <row r="433" spans="2:8" x14ac:dyDescent="0.25">
      <c r="B433" s="22">
        <v>797513339</v>
      </c>
      <c r="C433" s="22" t="s">
        <v>482</v>
      </c>
      <c r="D433" s="24">
        <v>45757</v>
      </c>
      <c r="E433" s="22" t="s">
        <v>569</v>
      </c>
      <c r="F433" s="34">
        <v>7.0000000000000007E-2</v>
      </c>
      <c r="G433" s="34" t="s">
        <v>0</v>
      </c>
      <c r="H433" s="34" t="s">
        <v>0</v>
      </c>
    </row>
    <row r="434" spans="2:8" x14ac:dyDescent="0.25">
      <c r="B434" s="16">
        <v>797513340</v>
      </c>
      <c r="C434" s="16" t="s">
        <v>484</v>
      </c>
      <c r="D434" s="19">
        <v>45757</v>
      </c>
      <c r="E434" s="16" t="s">
        <v>570</v>
      </c>
      <c r="F434" s="33">
        <v>-0.01</v>
      </c>
      <c r="G434" s="33" t="s">
        <v>0</v>
      </c>
      <c r="H434" s="33" t="s">
        <v>0</v>
      </c>
    </row>
    <row r="435" spans="2:8" x14ac:dyDescent="0.25">
      <c r="B435" s="22">
        <v>797514620</v>
      </c>
      <c r="C435" s="22" t="s">
        <v>482</v>
      </c>
      <c r="D435" s="24">
        <v>45757</v>
      </c>
      <c r="E435" s="22" t="s">
        <v>569</v>
      </c>
      <c r="F435" s="34">
        <v>0.06</v>
      </c>
      <c r="G435" s="34" t="s">
        <v>0</v>
      </c>
      <c r="H435" s="34" t="s">
        <v>0</v>
      </c>
    </row>
    <row r="436" spans="2:8" x14ac:dyDescent="0.25">
      <c r="B436" s="16">
        <v>797514621</v>
      </c>
      <c r="C436" s="16" t="s">
        <v>484</v>
      </c>
      <c r="D436" s="19">
        <v>45757</v>
      </c>
      <c r="E436" s="16" t="s">
        <v>570</v>
      </c>
      <c r="F436" s="33">
        <v>-0.01</v>
      </c>
      <c r="G436" s="33" t="s">
        <v>0</v>
      </c>
      <c r="H436" s="33" t="s">
        <v>0</v>
      </c>
    </row>
    <row r="437" spans="2:8" x14ac:dyDescent="0.25">
      <c r="B437" s="22">
        <v>805659569</v>
      </c>
      <c r="C437" s="22" t="s">
        <v>482</v>
      </c>
      <c r="D437" s="24">
        <v>45764</v>
      </c>
      <c r="E437" s="22" t="s">
        <v>183</v>
      </c>
      <c r="F437" s="34">
        <v>2.2799999999999998</v>
      </c>
      <c r="G437" s="34" t="s">
        <v>0</v>
      </c>
      <c r="H437" s="34" t="s">
        <v>0</v>
      </c>
    </row>
    <row r="438" spans="2:8" x14ac:dyDescent="0.25">
      <c r="B438" s="16">
        <v>805661087</v>
      </c>
      <c r="C438" s="16" t="s">
        <v>482</v>
      </c>
      <c r="D438" s="19">
        <v>45764</v>
      </c>
      <c r="E438" s="16" t="s">
        <v>184</v>
      </c>
      <c r="F438" s="33">
        <v>14.74</v>
      </c>
      <c r="G438" s="33" t="s">
        <v>0</v>
      </c>
      <c r="H438" s="33" t="s">
        <v>0</v>
      </c>
    </row>
    <row r="439" spans="2:8" x14ac:dyDescent="0.25">
      <c r="B439" s="22">
        <v>805663603</v>
      </c>
      <c r="C439" s="22" t="s">
        <v>484</v>
      </c>
      <c r="D439" s="24">
        <v>45764</v>
      </c>
      <c r="E439" s="22" t="s">
        <v>185</v>
      </c>
      <c r="F439" s="34">
        <v>-10</v>
      </c>
      <c r="G439" s="34" t="s">
        <v>0</v>
      </c>
      <c r="H439" s="34" t="s">
        <v>0</v>
      </c>
    </row>
    <row r="440" spans="2:8" x14ac:dyDescent="0.25">
      <c r="B440" s="16">
        <v>805899545</v>
      </c>
      <c r="C440" s="16" t="s">
        <v>482</v>
      </c>
      <c r="D440" s="19">
        <v>45765</v>
      </c>
      <c r="E440" s="16" t="s">
        <v>571</v>
      </c>
      <c r="F440" s="33">
        <v>0</v>
      </c>
      <c r="G440" s="33" t="s">
        <v>0</v>
      </c>
      <c r="H440" s="33" t="s">
        <v>0</v>
      </c>
    </row>
    <row r="441" spans="2:8" x14ac:dyDescent="0.25">
      <c r="B441" s="22">
        <v>805900668</v>
      </c>
      <c r="C441" s="22" t="s">
        <v>482</v>
      </c>
      <c r="D441" s="24">
        <v>45765</v>
      </c>
      <c r="E441" s="22" t="s">
        <v>572</v>
      </c>
      <c r="F441" s="34">
        <v>0</v>
      </c>
      <c r="G441" s="34" t="s">
        <v>0</v>
      </c>
      <c r="H441" s="34" t="s">
        <v>0</v>
      </c>
    </row>
    <row r="442" spans="2:8" x14ac:dyDescent="0.25">
      <c r="B442" s="16">
        <v>807709607</v>
      </c>
      <c r="C442" s="16" t="s">
        <v>482</v>
      </c>
      <c r="D442" s="19">
        <v>45769</v>
      </c>
      <c r="E442" s="16" t="s">
        <v>573</v>
      </c>
      <c r="F442" s="33">
        <v>0.15</v>
      </c>
      <c r="G442" s="33" t="s">
        <v>0</v>
      </c>
      <c r="H442" s="33" t="s">
        <v>0</v>
      </c>
    </row>
    <row r="443" spans="2:8" x14ac:dyDescent="0.25">
      <c r="B443" s="22">
        <v>807709608</v>
      </c>
      <c r="C443" s="22" t="s">
        <v>484</v>
      </c>
      <c r="D443" s="24">
        <v>45769</v>
      </c>
      <c r="E443" s="22" t="s">
        <v>574</v>
      </c>
      <c r="F443" s="34">
        <v>-0.05</v>
      </c>
      <c r="G443" s="34" t="s">
        <v>0</v>
      </c>
      <c r="H443" s="34" t="s">
        <v>0</v>
      </c>
    </row>
    <row r="444" spans="2:8" x14ac:dyDescent="0.25">
      <c r="B444" s="16">
        <v>807709619</v>
      </c>
      <c r="C444" s="16" t="s">
        <v>482</v>
      </c>
      <c r="D444" s="19">
        <v>45769</v>
      </c>
      <c r="E444" s="16" t="s">
        <v>573</v>
      </c>
      <c r="F444" s="33">
        <v>0.13</v>
      </c>
      <c r="G444" s="33" t="s">
        <v>0</v>
      </c>
      <c r="H444" s="33" t="s">
        <v>0</v>
      </c>
    </row>
    <row r="445" spans="2:8" x14ac:dyDescent="0.25">
      <c r="B445" s="22">
        <v>807709620</v>
      </c>
      <c r="C445" s="22" t="s">
        <v>484</v>
      </c>
      <c r="D445" s="24">
        <v>45769</v>
      </c>
      <c r="E445" s="22" t="s">
        <v>574</v>
      </c>
      <c r="F445" s="34">
        <v>-0.04</v>
      </c>
      <c r="G445" s="34" t="s">
        <v>0</v>
      </c>
      <c r="H445" s="34" t="s">
        <v>0</v>
      </c>
    </row>
    <row r="446" spans="2:8" x14ac:dyDescent="0.25">
      <c r="B446" s="16">
        <v>815444603</v>
      </c>
      <c r="C446" s="16" t="s">
        <v>482</v>
      </c>
      <c r="D446" s="19">
        <v>45777</v>
      </c>
      <c r="E446" s="16" t="s">
        <v>612</v>
      </c>
      <c r="F446" s="33">
        <v>0.38</v>
      </c>
      <c r="G446" s="33" t="s">
        <v>0</v>
      </c>
      <c r="H446" s="33" t="s">
        <v>0</v>
      </c>
    </row>
    <row r="447" spans="2:8" x14ac:dyDescent="0.25">
      <c r="B447" s="22">
        <v>815444604</v>
      </c>
      <c r="C447" s="22" t="s">
        <v>484</v>
      </c>
      <c r="D447" s="24">
        <v>45777</v>
      </c>
      <c r="E447" s="22" t="s">
        <v>613</v>
      </c>
      <c r="F447" s="34">
        <v>-0.11</v>
      </c>
      <c r="G447" s="34" t="s">
        <v>0</v>
      </c>
      <c r="H447" s="34" t="s">
        <v>0</v>
      </c>
    </row>
    <row r="448" spans="2:8" x14ac:dyDescent="0.25">
      <c r="B448" s="16">
        <v>815449894</v>
      </c>
      <c r="C448" s="16" t="s">
        <v>482</v>
      </c>
      <c r="D448" s="19">
        <v>45777</v>
      </c>
      <c r="E448" s="16" t="s">
        <v>612</v>
      </c>
      <c r="F448" s="33">
        <v>0.7</v>
      </c>
      <c r="G448" s="33" t="s">
        <v>0</v>
      </c>
      <c r="H448" s="33" t="s">
        <v>0</v>
      </c>
    </row>
    <row r="449" spans="2:8" x14ac:dyDescent="0.25">
      <c r="B449" s="22">
        <v>815449895</v>
      </c>
      <c r="C449" s="22" t="s">
        <v>484</v>
      </c>
      <c r="D449" s="24">
        <v>45777</v>
      </c>
      <c r="E449" s="22" t="s">
        <v>613</v>
      </c>
      <c r="F449" s="34">
        <v>-0.21</v>
      </c>
      <c r="G449" s="34" t="s">
        <v>0</v>
      </c>
      <c r="H449" s="34" t="s">
        <v>0</v>
      </c>
    </row>
    <row r="450" spans="2:8" x14ac:dyDescent="0.25">
      <c r="B450" s="16">
        <v>815479623</v>
      </c>
      <c r="C450" s="16" t="s">
        <v>482</v>
      </c>
      <c r="D450" s="19">
        <v>45777</v>
      </c>
      <c r="E450" s="16" t="s">
        <v>612</v>
      </c>
      <c r="F450" s="33">
        <v>0.4</v>
      </c>
      <c r="G450" s="33" t="s">
        <v>0</v>
      </c>
      <c r="H450" s="33" t="s">
        <v>0</v>
      </c>
    </row>
    <row r="451" spans="2:8" x14ac:dyDescent="0.25">
      <c r="B451" s="22">
        <v>815479624</v>
      </c>
      <c r="C451" s="22" t="s">
        <v>484</v>
      </c>
      <c r="D451" s="24">
        <v>45777</v>
      </c>
      <c r="E451" s="22" t="s">
        <v>613</v>
      </c>
      <c r="F451" s="34">
        <v>-0.12</v>
      </c>
      <c r="G451" s="34" t="s">
        <v>0</v>
      </c>
      <c r="H451" s="34" t="s">
        <v>0</v>
      </c>
    </row>
    <row r="452" spans="2:8" x14ac:dyDescent="0.25">
      <c r="B452" s="16">
        <v>815480415</v>
      </c>
      <c r="C452" s="16" t="s">
        <v>482</v>
      </c>
      <c r="D452" s="19">
        <v>45777</v>
      </c>
      <c r="E452" s="16" t="s">
        <v>612</v>
      </c>
      <c r="F452" s="33">
        <v>0.28999999999999998</v>
      </c>
      <c r="G452" s="33" t="s">
        <v>0</v>
      </c>
      <c r="H452" s="33" t="s">
        <v>0</v>
      </c>
    </row>
    <row r="453" spans="2:8" x14ac:dyDescent="0.25">
      <c r="B453" s="22">
        <v>815480416</v>
      </c>
      <c r="C453" s="22" t="s">
        <v>484</v>
      </c>
      <c r="D453" s="24">
        <v>45777</v>
      </c>
      <c r="E453" s="22" t="s">
        <v>613</v>
      </c>
      <c r="F453" s="34">
        <v>-0.09</v>
      </c>
      <c r="G453" s="34" t="s">
        <v>0</v>
      </c>
      <c r="H453" s="34" t="s">
        <v>0</v>
      </c>
    </row>
    <row r="454" spans="2:8" x14ac:dyDescent="0.25">
      <c r="B454" s="16">
        <v>815876878</v>
      </c>
      <c r="C454" s="16" t="s">
        <v>484</v>
      </c>
      <c r="D454" s="19">
        <v>45777</v>
      </c>
      <c r="E454" s="16" t="s">
        <v>452</v>
      </c>
      <c r="F454" s="33">
        <v>-10</v>
      </c>
      <c r="G454" s="33" t="s">
        <v>0</v>
      </c>
      <c r="H454" s="33" t="s">
        <v>0</v>
      </c>
    </row>
    <row r="455" spans="2:8" x14ac:dyDescent="0.25">
      <c r="B455" s="22">
        <v>820672691</v>
      </c>
      <c r="C455" s="22" t="s">
        <v>482</v>
      </c>
      <c r="D455" s="24">
        <v>45782</v>
      </c>
      <c r="E455" s="22" t="s">
        <v>454</v>
      </c>
      <c r="F455" s="34">
        <v>51.41</v>
      </c>
      <c r="G455" s="34" t="s">
        <v>0</v>
      </c>
      <c r="H455" s="34" t="s">
        <v>0</v>
      </c>
    </row>
    <row r="456" spans="2:8" x14ac:dyDescent="0.25">
      <c r="B456" s="16">
        <v>820672693</v>
      </c>
      <c r="C456" s="16" t="s">
        <v>482</v>
      </c>
      <c r="D456" s="19">
        <v>45782</v>
      </c>
      <c r="E456" s="16" t="s">
        <v>454</v>
      </c>
      <c r="F456" s="33">
        <v>41.06</v>
      </c>
      <c r="G456" s="33" t="s">
        <v>0</v>
      </c>
      <c r="H456" s="33" t="s">
        <v>0</v>
      </c>
    </row>
    <row r="457" spans="2:8" x14ac:dyDescent="0.25">
      <c r="B457" s="22">
        <v>820749462</v>
      </c>
      <c r="C457" s="22" t="s">
        <v>482</v>
      </c>
      <c r="D457" s="24">
        <v>45782</v>
      </c>
      <c r="E457" s="22" t="s">
        <v>633</v>
      </c>
      <c r="F457" s="34">
        <v>0.24</v>
      </c>
      <c r="G457" s="34" t="s">
        <v>0</v>
      </c>
      <c r="H457" s="34" t="s">
        <v>0</v>
      </c>
    </row>
    <row r="458" spans="2:8" x14ac:dyDescent="0.25">
      <c r="B458" s="16">
        <v>820749463</v>
      </c>
      <c r="C458" s="16" t="s">
        <v>484</v>
      </c>
      <c r="D458" s="19">
        <v>45782</v>
      </c>
      <c r="E458" s="16" t="s">
        <v>566</v>
      </c>
      <c r="F458" s="33">
        <v>-7.0000000000000007E-2</v>
      </c>
      <c r="G458" s="33" t="s">
        <v>0</v>
      </c>
      <c r="H458" s="33" t="s">
        <v>0</v>
      </c>
    </row>
    <row r="459" spans="2:8" x14ac:dyDescent="0.25">
      <c r="B459" s="22">
        <v>820749464</v>
      </c>
      <c r="C459" s="22" t="s">
        <v>482</v>
      </c>
      <c r="D459" s="24">
        <v>45782</v>
      </c>
      <c r="E459" s="22" t="s">
        <v>633</v>
      </c>
      <c r="F459" s="34">
        <v>0.24</v>
      </c>
      <c r="G459" s="34" t="s">
        <v>0</v>
      </c>
      <c r="H459" s="34" t="s">
        <v>0</v>
      </c>
    </row>
    <row r="460" spans="2:8" x14ac:dyDescent="0.25">
      <c r="B460" s="16">
        <v>820749465</v>
      </c>
      <c r="C460" s="16" t="s">
        <v>484</v>
      </c>
      <c r="D460" s="19">
        <v>45782</v>
      </c>
      <c r="E460" s="16" t="s">
        <v>566</v>
      </c>
      <c r="F460" s="33">
        <v>-7.0000000000000007E-2</v>
      </c>
      <c r="G460" s="33" t="s">
        <v>0</v>
      </c>
      <c r="H460" s="33" t="s">
        <v>0</v>
      </c>
    </row>
    <row r="461" spans="2:8" x14ac:dyDescent="0.25">
      <c r="B461" s="22">
        <v>822343243</v>
      </c>
      <c r="C461" s="22" t="s">
        <v>484</v>
      </c>
      <c r="D461" s="24">
        <v>45783</v>
      </c>
      <c r="E461" s="22" t="s">
        <v>458</v>
      </c>
      <c r="F461" s="34">
        <v>-10</v>
      </c>
      <c r="G461" s="34" t="s">
        <v>0</v>
      </c>
      <c r="H461" s="34" t="s">
        <v>0</v>
      </c>
    </row>
    <row r="462" spans="2:8" x14ac:dyDescent="0.25">
      <c r="B462" s="16">
        <v>822343729</v>
      </c>
      <c r="C462" s="16" t="s">
        <v>484</v>
      </c>
      <c r="D462" s="19">
        <v>45783</v>
      </c>
      <c r="E462" s="16" t="s">
        <v>456</v>
      </c>
      <c r="F462" s="33">
        <v>-10.99</v>
      </c>
      <c r="G462" s="33" t="s">
        <v>0</v>
      </c>
      <c r="H462" s="33" t="s">
        <v>0</v>
      </c>
    </row>
    <row r="463" spans="2:8" x14ac:dyDescent="0.25">
      <c r="B463" s="22">
        <v>822343856</v>
      </c>
      <c r="C463" s="22" t="s">
        <v>484</v>
      </c>
      <c r="D463" s="24">
        <v>45783</v>
      </c>
      <c r="E463" s="22" t="s">
        <v>457</v>
      </c>
      <c r="F463" s="34">
        <v>-10</v>
      </c>
      <c r="G463" s="34" t="s">
        <v>0</v>
      </c>
      <c r="H463" s="34" t="s">
        <v>0</v>
      </c>
    </row>
    <row r="464" spans="2:8" x14ac:dyDescent="0.25">
      <c r="B464" s="16">
        <v>822344460</v>
      </c>
      <c r="C464" s="16" t="s">
        <v>484</v>
      </c>
      <c r="D464" s="19">
        <v>45783</v>
      </c>
      <c r="E464" s="16" t="s">
        <v>459</v>
      </c>
      <c r="F464" s="33">
        <v>-3.88</v>
      </c>
      <c r="G464" s="33" t="s">
        <v>0</v>
      </c>
      <c r="H464" s="33" t="s">
        <v>0</v>
      </c>
    </row>
    <row r="465" spans="2:8" x14ac:dyDescent="0.25">
      <c r="B465" s="22">
        <v>822344465</v>
      </c>
      <c r="C465" s="22" t="s">
        <v>484</v>
      </c>
      <c r="D465" s="24">
        <v>45783</v>
      </c>
      <c r="E465" s="22" t="s">
        <v>460</v>
      </c>
      <c r="F465" s="34">
        <v>-16.12</v>
      </c>
      <c r="G465" s="34" t="s">
        <v>0</v>
      </c>
      <c r="H465" s="34" t="s">
        <v>0</v>
      </c>
    </row>
    <row r="466" spans="2:8" x14ac:dyDescent="0.25">
      <c r="B466" s="16">
        <v>823547671</v>
      </c>
      <c r="C466" s="16" t="s">
        <v>482</v>
      </c>
      <c r="D466" s="19">
        <v>45784</v>
      </c>
      <c r="E466" s="16" t="s">
        <v>462</v>
      </c>
      <c r="F466" s="33">
        <v>10.75</v>
      </c>
      <c r="G466" s="33" t="s">
        <v>0</v>
      </c>
      <c r="H466" s="33" t="s">
        <v>0</v>
      </c>
    </row>
    <row r="467" spans="2:8" x14ac:dyDescent="0.25">
      <c r="B467" s="22">
        <v>823547673</v>
      </c>
      <c r="C467" s="22" t="s">
        <v>482</v>
      </c>
      <c r="D467" s="24">
        <v>45784</v>
      </c>
      <c r="E467" s="22" t="s">
        <v>464</v>
      </c>
      <c r="F467" s="34">
        <v>15.61</v>
      </c>
      <c r="G467" s="34" t="s">
        <v>0</v>
      </c>
      <c r="H467" s="34" t="s">
        <v>0</v>
      </c>
    </row>
    <row r="468" spans="2:8" x14ac:dyDescent="0.25">
      <c r="B468" s="29" t="s">
        <v>56</v>
      </c>
      <c r="C468" s="29" t="s">
        <v>0</v>
      </c>
      <c r="D468" s="29" t="s">
        <v>0</v>
      </c>
      <c r="E468" s="29" t="s">
        <v>0</v>
      </c>
      <c r="F468" s="30">
        <v>68.27</v>
      </c>
      <c r="G468" s="36" t="s">
        <v>0</v>
      </c>
      <c r="H468" s="35" t="s">
        <v>0</v>
      </c>
    </row>
  </sheetData>
  <mergeCells count="5">
    <mergeCell ref="K1:K2"/>
    <mergeCell ref="B2:B3"/>
    <mergeCell ref="B9:E9"/>
    <mergeCell ref="H9:I9"/>
    <mergeCell ref="B10:D10"/>
  </mergeCells>
  <pageMargins left="0.39370078740157499" right="0.39370078740157499" top="0.39370078740157499" bottom="1.36888188976378" header="0.39370078740157499" footer="0.39370078740157499"/>
  <pageSetup paperSize="0" orientation="landscape" horizontalDpi="300" verticalDpi="300"/>
  <headerFooter alignWithMargins="0">
    <oddFooter>&amp;L&amp;"Segoe UI,Regular"&amp;10&amp;P</oddFooter>
  </headerFooter>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PVT</vt:lpstr>
      <vt:lpstr>Summary</vt:lpstr>
      <vt:lpstr>Positions</vt:lpstr>
      <vt:lpstr>CLOSED POSITION HISTORY</vt:lpstr>
      <vt:lpstr>OPEN POSITION</vt:lpstr>
      <vt:lpstr>PENDING ORDERS HISTORY </vt:lpstr>
      <vt:lpstr>CASH OPERATION HISTORY</vt:lpstr>
      <vt:lpstr>CLOSED POSITION HISTORY MT</vt:lpstr>
      <vt:lpstr>BALANCE OPERATION HISTORY MT</vt:lpstr>
      <vt:lpstr>'BALANCE OPERATION HISTORY MT'!Print_Titles</vt:lpstr>
      <vt:lpstr>'CASH OPERATION HISTORY'!Print_Titles</vt:lpstr>
      <vt:lpstr>'CLOSED POSITION HISTORY'!Print_Titles</vt:lpstr>
      <vt:lpstr>'CLOSED POSITION HISTORY MT'!Print_Titles</vt:lpstr>
      <vt:lpstr>'OPEN POSITION'!Print_Titles</vt:lpstr>
      <vt:lpstr>'PENDING ORDERS HISTORY '!Print_Titles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walton</dc:creator>
  <cp:lastModifiedBy>Samuel Rodriguez Walton</cp:lastModifiedBy>
  <dcterms:created xsi:type="dcterms:W3CDTF">2025-05-09T00:24:43Z</dcterms:created>
  <dcterms:modified xsi:type="dcterms:W3CDTF">2025-05-16T02:35:28Z</dcterms:modified>
</cp:coreProperties>
</file>